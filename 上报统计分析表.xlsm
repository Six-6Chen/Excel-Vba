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9215" windowHeight="8310" tabRatio="862" activeTab="5"/>
  </bookViews>
  <sheets>
    <sheet name="每日审计" sheetId="1" r:id="rId1"/>
    <sheet name="月度分析" sheetId="2" r:id="rId2"/>
    <sheet name="API2" sheetId="3" state="hidden" r:id="rId3"/>
    <sheet name="API1" sheetId="4" state="hidden" r:id="rId4"/>
    <sheet name="DATA" sheetId="5" r:id="rId5"/>
    <sheet name="控制台" sheetId="7" r:id="rId6"/>
  </sheets>
  <definedNames>
    <definedName name="_xlnm._FilterDatabase" localSheetId="0" hidden="1">每日审计!#REF!</definedName>
    <definedName name="_xlnm.Criteria" localSheetId="0">每日审计!#REF!</definedName>
    <definedName name="_xlnm.Extract" localSheetId="0">每日审计!#REF!</definedName>
  </definedNames>
  <calcPr calcId="144525"/>
</workbook>
</file>

<file path=xl/sharedStrings.xml><?xml version="1.0" encoding="utf-8"?>
<sst xmlns="http://schemas.openxmlformats.org/spreadsheetml/2006/main" count="906" uniqueCount="334">
  <si>
    <t>往期查询(如果未刷新请按F9)</t>
  </si>
  <si>
    <t>下方输入查询时间并回车即可自动查询</t>
  </si>
  <si>
    <t>未索引数据将在下方显示</t>
  </si>
  <si>
    <t>缺报</t>
  </si>
  <si>
    <t>上报</t>
  </si>
  <si>
    <t>应报</t>
  </si>
  <si>
    <t>输入公历年</t>
  </si>
  <si>
    <t>输入月份</t>
  </si>
  <si>
    <t>输入日期</t>
  </si>
  <si>
    <t>月平均上报率分布图</t>
  </si>
  <si>
    <t>未上报总数</t>
  </si>
  <si>
    <t>上报总数</t>
  </si>
  <si>
    <t>平均上报率</t>
  </si>
  <si>
    <t>年</t>
  </si>
  <si>
    <t>月</t>
  </si>
  <si>
    <t>出勤总计分析</t>
  </si>
  <si>
    <t>FLASE</t>
  </si>
  <si>
    <t>TURE</t>
  </si>
  <si>
    <t>排名因子</t>
  </si>
  <si>
    <t>排名</t>
  </si>
  <si>
    <t>当月出勤率</t>
  </si>
  <si>
    <t>ID/总计</t>
  </si>
  <si>
    <t>蔡振龙</t>
  </si>
  <si>
    <t>分布</t>
  </si>
  <si>
    <t>余飞</t>
  </si>
  <si>
    <t>阮光强</t>
  </si>
  <si>
    <t>总数</t>
  </si>
  <si>
    <t>马坚强</t>
  </si>
  <si>
    <t>0%-20%</t>
  </si>
  <si>
    <t>丁江涛</t>
  </si>
  <si>
    <t>20%-40%</t>
  </si>
  <si>
    <t>赵卓然</t>
  </si>
  <si>
    <t>40%-60%</t>
  </si>
  <si>
    <t>柯金梁</t>
  </si>
  <si>
    <t>60%-80%</t>
  </si>
  <si>
    <t>翁凯凯</t>
  </si>
  <si>
    <t>80%-100%</t>
  </si>
  <si>
    <t>黄锐</t>
  </si>
  <si>
    <t>李文霞</t>
  </si>
  <si>
    <t>舒成昌</t>
  </si>
  <si>
    <t>刘腾</t>
  </si>
  <si>
    <t>项康乐</t>
  </si>
  <si>
    <t>朱磊</t>
  </si>
  <si>
    <t>乔坤</t>
  </si>
  <si>
    <t>吴自强</t>
  </si>
  <si>
    <t>黄璟亮</t>
  </si>
  <si>
    <t>周浩</t>
  </si>
  <si>
    <t>费伟</t>
  </si>
  <si>
    <t>毛永恒</t>
  </si>
  <si>
    <t>郭衍钢</t>
  </si>
  <si>
    <t>张扬</t>
  </si>
  <si>
    <t>周美霖</t>
  </si>
  <si>
    <t>柯常铝</t>
  </si>
  <si>
    <t>余良成</t>
  </si>
  <si>
    <t>黄文辉</t>
  </si>
  <si>
    <t>冯俊</t>
  </si>
  <si>
    <t>陈创业</t>
  </si>
  <si>
    <t>丁江</t>
  </si>
  <si>
    <t>杨草晖</t>
  </si>
  <si>
    <t>涂天赐</t>
  </si>
  <si>
    <t>柯雨婷</t>
  </si>
  <si>
    <t>徐文锃</t>
  </si>
  <si>
    <t>胡栋杰</t>
  </si>
  <si>
    <t>熊立武</t>
  </si>
  <si>
    <t>陈相</t>
  </si>
  <si>
    <t>柯宇豪</t>
  </si>
  <si>
    <t>占玄辉</t>
  </si>
  <si>
    <t>周洋</t>
  </si>
  <si>
    <t>王思雨</t>
  </si>
  <si>
    <t>陈纳森</t>
  </si>
  <si>
    <t>请勿随意更改此目录</t>
  </si>
  <si>
    <t>工作日调配</t>
  </si>
  <si>
    <t>作</t>
  </si>
  <si>
    <t>21.02.04</t>
  </si>
  <si>
    <t xml:space="preserve">   提交更改请撤销保护并输入密码   提交更改请撤销保护并输入密码</t>
  </si>
  <si>
    <t>核实名单</t>
  </si>
  <si>
    <t>星期四</t>
  </si>
  <si>
    <t>星期五</t>
  </si>
  <si>
    <t>星期六</t>
  </si>
  <si>
    <t>星期日</t>
  </si>
  <si>
    <t>星期一</t>
  </si>
  <si>
    <t>星期二</t>
  </si>
  <si>
    <t>星期三</t>
  </si>
  <si>
    <t>01-29 19:06</t>
  </si>
  <si>
    <t>01-30 14:16</t>
  </si>
  <si>
    <t>01-30 15:08</t>
  </si>
  <si>
    <t>01-30 14:39</t>
  </si>
  <si>
    <t>02-02 12:23</t>
  </si>
  <si>
    <t>02-03 15:38</t>
  </si>
  <si>
    <t>02-04 11:21</t>
  </si>
  <si>
    <t>01-29 14:27</t>
  </si>
  <si>
    <t>01-30 14:09</t>
  </si>
  <si>
    <t>01-30 15:01</t>
  </si>
  <si>
    <t>01-30 12:07</t>
  </si>
  <si>
    <t>02-02 12:21</t>
  </si>
  <si>
    <t>02-03 12:07</t>
  </si>
  <si>
    <t>02-04 10:37</t>
  </si>
  <si>
    <t>01-29 13:44</t>
  </si>
  <si>
    <t>01-30 13:20</t>
  </si>
  <si>
    <t>01-30 13:11</t>
  </si>
  <si>
    <t>01-30 11:52</t>
  </si>
  <si>
    <t>02-02 12:18</t>
  </si>
  <si>
    <t>02-03 12:06</t>
  </si>
  <si>
    <t>02-04 10:31</t>
  </si>
  <si>
    <t>01-29 13:30</t>
  </si>
  <si>
    <t>01-30 12:27</t>
  </si>
  <si>
    <t>01-30 13:08</t>
  </si>
  <si>
    <t>01-30 11:50</t>
  </si>
  <si>
    <t>02-02 12:03</t>
  </si>
  <si>
    <t>02-03 11:49</t>
  </si>
  <si>
    <t>02-04 10:27</t>
  </si>
  <si>
    <t>01-29 12:44</t>
  </si>
  <si>
    <t>01-30 12:25</t>
  </si>
  <si>
    <t>01-30 12:50</t>
  </si>
  <si>
    <t>01-30 11:45</t>
  </si>
  <si>
    <t>02-02 11:56</t>
  </si>
  <si>
    <t>02-03 11:47</t>
  </si>
  <si>
    <t>02-04 10:26</t>
  </si>
  <si>
    <t>01-29 12:25</t>
  </si>
  <si>
    <t>01-30 12:10</t>
  </si>
  <si>
    <t>01-30 12:14</t>
  </si>
  <si>
    <t>01-30 11:31</t>
  </si>
  <si>
    <t>02-02 11:48</t>
  </si>
  <si>
    <t>02-03 11:31</t>
  </si>
  <si>
    <t>02-04 10:23</t>
  </si>
  <si>
    <t>01-29 12:24</t>
  </si>
  <si>
    <t>01-30 11:44</t>
  </si>
  <si>
    <t>01-30 12:11</t>
  </si>
  <si>
    <t>02-02 11:23</t>
  </si>
  <si>
    <t>02-03 11:08</t>
  </si>
  <si>
    <t>02-04 09:52</t>
  </si>
  <si>
    <t>01-29 12:15</t>
  </si>
  <si>
    <t>01-30 11:39</t>
  </si>
  <si>
    <t>02-02 10:34</t>
  </si>
  <si>
    <t>02-03 11:06</t>
  </si>
  <si>
    <t>01-29 12:13</t>
  </si>
  <si>
    <t>01-30 11:48</t>
  </si>
  <si>
    <t>01-30 11:28</t>
  </si>
  <si>
    <t>02-02 10:33</t>
  </si>
  <si>
    <t>02-03 10:42</t>
  </si>
  <si>
    <t>02-04 09:48</t>
  </si>
  <si>
    <t>01-29 11:21</t>
  </si>
  <si>
    <t>01-30 11:32</t>
  </si>
  <si>
    <t>01-30 11:37</t>
  </si>
  <si>
    <t>01-30 11:10</t>
  </si>
  <si>
    <t>02-02 10:26</t>
  </si>
  <si>
    <t>02-03 10:40</t>
  </si>
  <si>
    <t>02-04 09:47</t>
  </si>
  <si>
    <t>01-30 11:09</t>
  </si>
  <si>
    <t>01-30 10:56</t>
  </si>
  <si>
    <t>02-02 10:25</t>
  </si>
  <si>
    <t>01-29 11:14</t>
  </si>
  <si>
    <t>01-30 11:30</t>
  </si>
  <si>
    <t>01-30 11:03</t>
  </si>
  <si>
    <t>01-30 10:14</t>
  </si>
  <si>
    <t>02-02 10:07</t>
  </si>
  <si>
    <t>02-03 10:01</t>
  </si>
  <si>
    <t>02-04 09:31</t>
  </si>
  <si>
    <t>01-29 10:52</t>
  </si>
  <si>
    <t>01-30 11:25</t>
  </si>
  <si>
    <t>01-30 10:29</t>
  </si>
  <si>
    <t>01-30 10:09</t>
  </si>
  <si>
    <t>02-02 10:01</t>
  </si>
  <si>
    <t>02-03 09:49</t>
  </si>
  <si>
    <t>02-04 09:10</t>
  </si>
  <si>
    <t>01-29 10:31</t>
  </si>
  <si>
    <t>01-30 10:08</t>
  </si>
  <si>
    <t>02-02 10:00</t>
  </si>
  <si>
    <t>02-03 09:37</t>
  </si>
  <si>
    <t>02-04 08:56</t>
  </si>
  <si>
    <t>01-29 10:10</t>
  </si>
  <si>
    <t>01-30 11:04</t>
  </si>
  <si>
    <t>01-30 09:50</t>
  </si>
  <si>
    <t>01-30 09:56</t>
  </si>
  <si>
    <t>02-02 09:51</t>
  </si>
  <si>
    <t>02-03 09:32</t>
  </si>
  <si>
    <t>02-04 08:54</t>
  </si>
  <si>
    <t>01-29 10:05</t>
  </si>
  <si>
    <t>01-30 10:58</t>
  </si>
  <si>
    <t>01-30 09:41</t>
  </si>
  <si>
    <t>01-30 09:51</t>
  </si>
  <si>
    <t>02-02 09:40</t>
  </si>
  <si>
    <t>02-03 09:30</t>
  </si>
  <si>
    <t>02-04 08:52</t>
  </si>
  <si>
    <t>01-29 09:54</t>
  </si>
  <si>
    <t>01-30 10:06</t>
  </si>
  <si>
    <t>01-30 09:38</t>
  </si>
  <si>
    <t>01-30 09:37</t>
  </si>
  <si>
    <t>02-02 09:36</t>
  </si>
  <si>
    <t>02-03 09:27</t>
  </si>
  <si>
    <t>02-04 08:49</t>
  </si>
  <si>
    <t>01-29 09:53</t>
  </si>
  <si>
    <t>01-30 09:12</t>
  </si>
  <si>
    <t>01-30 09:34</t>
  </si>
  <si>
    <t>01-30 09:32</t>
  </si>
  <si>
    <t>02-02 09:35</t>
  </si>
  <si>
    <t>02-03 09:20</t>
  </si>
  <si>
    <t>02-04 08:48</t>
  </si>
  <si>
    <t>01-30 09:10</t>
  </si>
  <si>
    <t>01-30 09:31</t>
  </si>
  <si>
    <t>01-30 09:30</t>
  </si>
  <si>
    <t>02-04 08:37</t>
  </si>
  <si>
    <t>01-29 09:24</t>
  </si>
  <si>
    <t>01-30 08:56</t>
  </si>
  <si>
    <t>01-30 09:14</t>
  </si>
  <si>
    <t>01-30 09:26</t>
  </si>
  <si>
    <t>02-02 09:16</t>
  </si>
  <si>
    <t>02-03 09:11</t>
  </si>
  <si>
    <t>02-04 08:24</t>
  </si>
  <si>
    <t>01-29 09:16</t>
  </si>
  <si>
    <t>01-30 08:42</t>
  </si>
  <si>
    <t>01-30 09:11</t>
  </si>
  <si>
    <t>02-02 09:13</t>
  </si>
  <si>
    <t>02-03 09:09</t>
  </si>
  <si>
    <t>02-04 08:10</t>
  </si>
  <si>
    <t>01-29 09:02</t>
  </si>
  <si>
    <t>01-30 08:28</t>
  </si>
  <si>
    <t>01-30 09:05</t>
  </si>
  <si>
    <t>01-30 09:25</t>
  </si>
  <si>
    <t>02-02 09:00</t>
  </si>
  <si>
    <t>02-03 09:03</t>
  </si>
  <si>
    <t>02-04 08:09</t>
  </si>
  <si>
    <t>01-29 08:53</t>
  </si>
  <si>
    <t>01-30 08:20</t>
  </si>
  <si>
    <t>01-30 09:04</t>
  </si>
  <si>
    <t>02-03 08:34</t>
  </si>
  <si>
    <t>02-04 08:05</t>
  </si>
  <si>
    <t>01-29 08:51</t>
  </si>
  <si>
    <t>01-30 08:18</t>
  </si>
  <si>
    <t>01-30 09:00</t>
  </si>
  <si>
    <t>01-30 09:06</t>
  </si>
  <si>
    <t>02-02 08:54</t>
  </si>
  <si>
    <t>02-03 08:31</t>
  </si>
  <si>
    <t>02-04 08:04</t>
  </si>
  <si>
    <t>01-29 08:34</t>
  </si>
  <si>
    <t>01-30 08:10</t>
  </si>
  <si>
    <t>01-30 08:41</t>
  </si>
  <si>
    <t>02-03 08:24</t>
  </si>
  <si>
    <t>02-04 07:56</t>
  </si>
  <si>
    <t>01-29 08:18</t>
  </si>
  <si>
    <t>01-30 08:08</t>
  </si>
  <si>
    <t>01-30 08:37</t>
  </si>
  <si>
    <t>01-30 08:32</t>
  </si>
  <si>
    <t>02-02 08:35</t>
  </si>
  <si>
    <t>02-03 08:17</t>
  </si>
  <si>
    <t>02-04 07:50</t>
  </si>
  <si>
    <t>01-29 08:11</t>
  </si>
  <si>
    <t>01-30 07:58</t>
  </si>
  <si>
    <t>01-30 08:27</t>
  </si>
  <si>
    <t>02-02 08:30</t>
  </si>
  <si>
    <t>02-03 08:05</t>
  </si>
  <si>
    <t>02-04 07:49</t>
  </si>
  <si>
    <t>01-29 08:08</t>
  </si>
  <si>
    <t>01-30 07:56</t>
  </si>
  <si>
    <t>01-30 08:22</t>
  </si>
  <si>
    <t>01-30 08:13</t>
  </si>
  <si>
    <t>02-02 08:05</t>
  </si>
  <si>
    <t>02-03 08:02</t>
  </si>
  <si>
    <t>02-04 07:46</t>
  </si>
  <si>
    <t>01-29 07:54</t>
  </si>
  <si>
    <t>01-30 07:55</t>
  </si>
  <si>
    <t>01-30 08:21</t>
  </si>
  <si>
    <t>01-30 08:00</t>
  </si>
  <si>
    <t>02-02 07:46</t>
  </si>
  <si>
    <t>02-03 07:33</t>
  </si>
  <si>
    <t>02-04 07:30</t>
  </si>
  <si>
    <t>01-29 07:31</t>
  </si>
  <si>
    <t>01-30 07:46</t>
  </si>
  <si>
    <t>01-30 08:01</t>
  </si>
  <si>
    <t>01-30 07:42</t>
  </si>
  <si>
    <t>02-02 07:34</t>
  </si>
  <si>
    <t>02-03 07:27</t>
  </si>
  <si>
    <t>02-04 07:29</t>
  </si>
  <si>
    <t>01-29 07:20</t>
  </si>
  <si>
    <t>01-30 07:22</t>
  </si>
  <si>
    <t>01-30 07:59</t>
  </si>
  <si>
    <t>01-30 07:38</t>
  </si>
  <si>
    <t>02-02 07:30</t>
  </si>
  <si>
    <t>02-03 07:09</t>
  </si>
  <si>
    <t>02-04 07:28</t>
  </si>
  <si>
    <t>01-29 07:19</t>
  </si>
  <si>
    <t>01-30 07:21</t>
  </si>
  <si>
    <t>01-30 07:34</t>
  </si>
  <si>
    <t>01-30 07:37</t>
  </si>
  <si>
    <t>02-03 07:03</t>
  </si>
  <si>
    <t>02-04 07:27</t>
  </si>
  <si>
    <t>01-29 07:01</t>
  </si>
  <si>
    <t>01-30 07:16</t>
  </si>
  <si>
    <t>01-30 07:31</t>
  </si>
  <si>
    <t>01-30 07:35</t>
  </si>
  <si>
    <t>02-02 07:28</t>
  </si>
  <si>
    <t>02-03 06:49</t>
  </si>
  <si>
    <t>01-30 07:03</t>
  </si>
  <si>
    <t>01-30 07:29</t>
  </si>
  <si>
    <t>01-30 07:28</t>
  </si>
  <si>
    <t>02-02 07:10</t>
  </si>
  <si>
    <t>02-03 06:46</t>
  </si>
  <si>
    <t>02-04 07:10</t>
  </si>
  <si>
    <t>01-29 06:59</t>
  </si>
  <si>
    <t>01-30 06:44</t>
  </si>
  <si>
    <t>01-30 07:26</t>
  </si>
  <si>
    <t>02-02 06:39</t>
  </si>
  <si>
    <t>02-03 06:43</t>
  </si>
  <si>
    <t>02-04 06:29</t>
  </si>
  <si>
    <t>01-29 06:13</t>
  </si>
  <si>
    <t>01-30 06:40</t>
  </si>
  <si>
    <t>01-30 07:24</t>
  </si>
  <si>
    <t>01-30 07:27</t>
  </si>
  <si>
    <t>02-02 05:34</t>
  </si>
  <si>
    <t>02-03 06:23</t>
  </si>
  <si>
    <t>02-04 06:06</t>
  </si>
  <si>
    <t>01-29 05:40</t>
  </si>
  <si>
    <t>01-30 06:24</t>
  </si>
  <si>
    <t>01-30 07:25</t>
  </si>
  <si>
    <t>02-02 05:24</t>
  </si>
  <si>
    <t>02-03 05:35</t>
  </si>
  <si>
    <t>02-04 05:46</t>
  </si>
  <si>
    <t>01-29 05:13</t>
  </si>
  <si>
    <t>01-30 05:34</t>
  </si>
  <si>
    <t>01-30 07:23</t>
  </si>
  <si>
    <t>02-03 05:24</t>
  </si>
  <si>
    <t>02-04 05:37</t>
  </si>
  <si>
    <t>01-30 05:15</t>
  </si>
  <si>
    <t>01-30 07:15</t>
  </si>
  <si>
    <t>02-02 05:12</t>
  </si>
  <si>
    <t>02-04 05:28</t>
  </si>
  <si>
    <t>01-30 05:12</t>
  </si>
  <si>
    <t>02-02 05:11</t>
  </si>
  <si>
    <t>02-03 05:13</t>
  </si>
  <si>
    <t>02-04 05:15</t>
  </si>
  <si>
    <t>Software_Version</t>
  </si>
  <si>
    <t>2.0.2.5</t>
  </si>
  <si>
    <t>Data_Version</t>
  </si>
  <si>
    <t>Last_Updated</t>
  </si>
</sst>
</file>

<file path=xl/styles.xml><?xml version="1.0" encoding="utf-8"?>
<styleSheet xmlns="http://schemas.openxmlformats.org/spreadsheetml/2006/main">
  <numFmts count="6">
    <numFmt numFmtId="176" formatCode="m&quot;月&quot;d&quot;日&quot;;@"/>
    <numFmt numFmtId="43" formatCode="_ * #,##0.00_ ;_ * \-#,##0.00_ ;_ * &quot;-&quot;??_ ;_ @_ "/>
    <numFmt numFmtId="41" formatCode="_ * #,##0_ ;_ * \-#,##0_ ;_ * &quot;-&quot;_ ;_ @_ "/>
    <numFmt numFmtId="177" formatCode="yyyy/m/d;@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35">
    <font>
      <sz val="11"/>
      <color theme="1"/>
      <name val="宋体"/>
      <charset val="134"/>
      <scheme val="minor"/>
    </font>
    <font>
      <sz val="10"/>
      <color theme="1"/>
      <name val="微软雅黑"/>
      <charset val="134"/>
    </font>
    <font>
      <sz val="11"/>
      <color theme="1"/>
      <name val="微软雅黑"/>
      <charset val="134"/>
    </font>
    <font>
      <sz val="10"/>
      <color theme="0"/>
      <name val="微软雅黑"/>
      <charset val="134"/>
    </font>
    <font>
      <sz val="10"/>
      <color rgb="FF000000"/>
      <name val="微软雅黑"/>
      <charset val="134"/>
    </font>
    <font>
      <sz val="10"/>
      <color rgb="FFB8B8B8"/>
      <name val="微软雅黑"/>
      <charset val="134"/>
    </font>
    <font>
      <sz val="10"/>
      <color rgb="FF2786E4"/>
      <name val="微软雅黑"/>
      <charset val="134"/>
    </font>
    <font>
      <b/>
      <sz val="22"/>
      <color theme="1"/>
      <name val="楷体"/>
      <charset val="134"/>
    </font>
    <font>
      <b/>
      <sz val="12"/>
      <color theme="1"/>
      <name val="微软雅黑"/>
      <charset val="134"/>
    </font>
    <font>
      <b/>
      <sz val="14"/>
      <color theme="1"/>
      <name val="宋体"/>
      <charset val="134"/>
      <scheme val="minor"/>
    </font>
    <font>
      <b/>
      <sz val="14"/>
      <color theme="1"/>
      <name val="宋体"/>
      <charset val="134"/>
      <scheme val="major"/>
    </font>
    <font>
      <b/>
      <sz val="14"/>
      <color theme="1"/>
      <name val="微软雅黑"/>
      <charset val="134"/>
    </font>
    <font>
      <b/>
      <sz val="11"/>
      <color theme="1"/>
      <name val="微软雅黑"/>
      <charset val="134"/>
    </font>
    <font>
      <b/>
      <sz val="1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name val="微软雅黑"/>
      <charset val="134"/>
    </font>
    <font>
      <sz val="11"/>
      <color rgb="FF3F3F76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rgb="FF9C0006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17" borderId="0" applyNumberFormat="0" applyBorder="0" applyAlignment="0" applyProtection="0">
      <alignment vertical="center"/>
    </xf>
    <xf numFmtId="0" fontId="16" fillId="6" borderId="13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14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9" fillId="20" borderId="0" applyNumberFormat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0" fillId="21" borderId="19" applyNumberFormat="0" applyFont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1" fillId="0" borderId="14" applyNumberFormat="0" applyFill="0" applyAlignment="0" applyProtection="0">
      <alignment vertical="center"/>
    </xf>
    <xf numFmtId="0" fontId="17" fillId="0" borderId="14" applyNumberFormat="0" applyFill="0" applyAlignment="0" applyProtection="0">
      <alignment vertical="center"/>
    </xf>
    <xf numFmtId="0" fontId="19" fillId="16" borderId="0" applyNumberFormat="0" applyBorder="0" applyAlignment="0" applyProtection="0">
      <alignment vertical="center"/>
    </xf>
    <xf numFmtId="0" fontId="26" fillId="0" borderId="18" applyNumberFormat="0" applyFill="0" applyAlignment="0" applyProtection="0">
      <alignment vertical="center"/>
    </xf>
    <xf numFmtId="0" fontId="19" fillId="15" borderId="0" applyNumberFormat="0" applyBorder="0" applyAlignment="0" applyProtection="0">
      <alignment vertical="center"/>
    </xf>
    <xf numFmtId="0" fontId="21" fillId="9" borderId="15" applyNumberFormat="0" applyAlignment="0" applyProtection="0">
      <alignment vertical="center"/>
    </xf>
    <xf numFmtId="0" fontId="25" fillId="9" borderId="13" applyNumberFormat="0" applyAlignment="0" applyProtection="0">
      <alignment vertical="center"/>
    </xf>
    <xf numFmtId="0" fontId="23" fillId="13" borderId="16" applyNumberFormat="0" applyAlignment="0" applyProtection="0">
      <alignment vertical="center"/>
    </xf>
    <xf numFmtId="0" fontId="20" fillId="26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4" fillId="0" borderId="17" applyNumberFormat="0" applyFill="0" applyAlignment="0" applyProtection="0">
      <alignment vertical="center"/>
    </xf>
    <xf numFmtId="0" fontId="32" fillId="0" borderId="20" applyNumberFormat="0" applyFill="0" applyAlignment="0" applyProtection="0">
      <alignment vertical="center"/>
    </xf>
    <xf numFmtId="0" fontId="33" fillId="29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19" fillId="3" borderId="0" applyNumberFormat="0" applyBorder="0" applyAlignment="0" applyProtection="0">
      <alignment vertical="center"/>
    </xf>
    <xf numFmtId="0" fontId="20" fillId="34" borderId="0" applyNumberFormat="0" applyBorder="0" applyAlignment="0" applyProtection="0">
      <alignment vertical="center"/>
    </xf>
    <xf numFmtId="0" fontId="20" fillId="22" borderId="0" applyNumberFormat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19" fillId="28" borderId="0" applyNumberFormat="0" applyBorder="0" applyAlignment="0" applyProtection="0">
      <alignment vertical="center"/>
    </xf>
    <xf numFmtId="0" fontId="19" fillId="32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7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19" fillId="11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19" fillId="31" borderId="0" applyNumberFormat="0" applyBorder="0" applyAlignment="0" applyProtection="0">
      <alignment vertical="center"/>
    </xf>
  </cellStyleXfs>
  <cellXfs count="71">
    <xf numFmtId="0" fontId="0" fillId="0" borderId="0" xfId="0">
      <alignment vertical="center"/>
    </xf>
    <xf numFmtId="177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Fon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9" fontId="0" fillId="0" borderId="0" xfId="0" applyNumberFormat="1" applyBorder="1" applyAlignment="1">
      <alignment horizontal="center" vertical="center"/>
    </xf>
    <xf numFmtId="176" fontId="1" fillId="0" borderId="0" xfId="0" applyNumberFormat="1" applyFont="1" applyFill="1" applyAlignment="1" applyProtection="1">
      <alignment horizontal="center" vertical="center" wrapText="1"/>
      <protection hidden="1"/>
    </xf>
    <xf numFmtId="0" fontId="1" fillId="0" borderId="0" xfId="0" applyNumberFormat="1" applyFont="1" applyFill="1" applyAlignment="1" applyProtection="1">
      <alignment horizontal="center" vertical="center" wrapText="1"/>
      <protection locked="0"/>
    </xf>
    <xf numFmtId="0" fontId="2" fillId="0" borderId="0" xfId="0" applyNumberFormat="1" applyFont="1" applyFill="1" applyAlignment="1" applyProtection="1">
      <alignment vertical="center" wrapText="1"/>
      <protection locked="0"/>
    </xf>
    <xf numFmtId="0" fontId="2" fillId="0" borderId="0" xfId="0" applyNumberFormat="1" applyFont="1" applyFill="1" applyAlignment="1" applyProtection="1">
      <alignment horizontal="center" vertical="center" wrapText="1"/>
      <protection locked="0"/>
    </xf>
    <xf numFmtId="176" fontId="1" fillId="0" borderId="0" xfId="0" applyNumberFormat="1" applyFont="1" applyFill="1" applyAlignment="1" applyProtection="1">
      <alignment horizontal="center" vertical="center"/>
      <protection hidden="1"/>
    </xf>
    <xf numFmtId="176" fontId="3" fillId="2" borderId="0" xfId="0" applyNumberFormat="1" applyFont="1" applyFill="1" applyAlignment="1" applyProtection="1">
      <alignment horizontal="center" vertical="top" textRotation="255"/>
      <protection hidden="1"/>
    </xf>
    <xf numFmtId="176" fontId="1" fillId="0" borderId="0" xfId="0" applyNumberFormat="1" applyFont="1" applyFill="1" applyBorder="1" applyAlignment="1" applyProtection="1">
      <alignment horizontal="center" vertical="center"/>
      <protection hidden="1"/>
    </xf>
    <xf numFmtId="0" fontId="1" fillId="0" borderId="0" xfId="0" applyNumberFormat="1" applyFont="1" applyFill="1" applyBorder="1" applyAlignment="1" applyProtection="1">
      <alignment horizontal="center" vertical="center"/>
      <protection locked="0"/>
    </xf>
    <xf numFmtId="0" fontId="3" fillId="2" borderId="0" xfId="0" applyNumberFormat="1" applyFont="1" applyFill="1" applyAlignment="1" applyProtection="1">
      <alignment horizontal="center" vertical="top" textRotation="255"/>
      <protection locked="0"/>
    </xf>
    <xf numFmtId="0" fontId="4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NumberFormat="1" applyFont="1" applyFill="1" applyAlignment="1">
      <alignment vertical="center"/>
    </xf>
    <xf numFmtId="0" fontId="4" fillId="0" borderId="0" xfId="0" applyNumberFormat="1" applyFont="1" applyFill="1" applyAlignment="1">
      <alignment horizontal="left" vertical="center" indent="1"/>
    </xf>
    <xf numFmtId="0" fontId="5" fillId="0" borderId="0" xfId="0" applyNumberFormat="1" applyFont="1" applyFill="1" applyAlignment="1">
      <alignment horizontal="left" vertical="center" indent="1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Alignment="1">
      <alignment vertical="center"/>
    </xf>
    <xf numFmtId="0" fontId="4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 indent="1"/>
    </xf>
    <xf numFmtId="0" fontId="1" fillId="0" borderId="0" xfId="0" applyNumberFormat="1" applyFont="1" applyFill="1" applyAlignment="1" applyProtection="1">
      <alignment vertical="center"/>
      <protection locked="0"/>
    </xf>
    <xf numFmtId="0" fontId="6" fillId="0" borderId="0" xfId="0" applyFont="1" applyAlignment="1">
      <alignment horizontal="left" vertical="center" indent="1"/>
    </xf>
    <xf numFmtId="0" fontId="0" fillId="0" borderId="0" xfId="0" applyBorder="1" applyProtection="1">
      <alignment vertical="center"/>
      <protection hidden="1"/>
    </xf>
    <xf numFmtId="0" fontId="0" fillId="0" borderId="0" xfId="0" applyBorder="1" applyProtection="1">
      <alignment vertical="center"/>
      <protection locked="0" hidden="1"/>
    </xf>
    <xf numFmtId="0" fontId="0" fillId="0" borderId="0" xfId="0" applyProtection="1">
      <alignment vertical="center"/>
      <protection hidden="1"/>
    </xf>
    <xf numFmtId="176" fontId="7" fillId="0" borderId="0" xfId="0" applyNumberFormat="1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hidden="1"/>
    </xf>
    <xf numFmtId="176" fontId="9" fillId="0" borderId="0" xfId="0" applyNumberFormat="1" applyFont="1" applyBorder="1" applyAlignment="1" applyProtection="1">
      <alignment horizontal="center" vertical="center"/>
      <protection hidden="1"/>
    </xf>
    <xf numFmtId="0" fontId="10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 applyProtection="1">
      <alignment horizontal="center" vertical="center"/>
      <protection locked="0" hidden="1"/>
    </xf>
    <xf numFmtId="58" fontId="10" fillId="0" borderId="0" xfId="0" applyNumberFormat="1" applyFont="1" applyBorder="1" applyAlignment="1" applyProtection="1">
      <alignment horizontal="center" vertical="center"/>
      <protection locked="0"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Protection="1">
      <alignment vertical="center"/>
      <protection locked="0" hidden="1"/>
    </xf>
    <xf numFmtId="0" fontId="11" fillId="0" borderId="0" xfId="0" applyFont="1" applyAlignment="1" applyProtection="1">
      <alignment horizontal="center" vertical="center"/>
      <protection hidden="1"/>
    </xf>
    <xf numFmtId="0" fontId="12" fillId="3" borderId="2" xfId="0" applyFont="1" applyFill="1" applyBorder="1" applyAlignment="1" applyProtection="1">
      <alignment horizontal="center" vertical="center"/>
      <protection hidden="1"/>
    </xf>
    <xf numFmtId="0" fontId="12" fillId="3" borderId="3" xfId="0" applyFont="1" applyFill="1" applyBorder="1" applyAlignment="1" applyProtection="1">
      <alignment horizontal="center" vertical="center"/>
      <protection hidden="1"/>
    </xf>
    <xf numFmtId="0" fontId="12" fillId="3" borderId="4" xfId="0" applyFont="1" applyFill="1" applyBorder="1" applyAlignment="1" applyProtection="1">
      <alignment horizontal="center" vertical="center"/>
      <protection hidden="1"/>
    </xf>
    <xf numFmtId="0" fontId="12" fillId="3" borderId="5" xfId="0" applyFont="1" applyFill="1" applyBorder="1" applyAlignment="1" applyProtection="1">
      <alignment horizontal="center" vertical="center" wrapText="1"/>
      <protection hidden="1"/>
    </xf>
    <xf numFmtId="0" fontId="12" fillId="3" borderId="5" xfId="0" applyFont="1" applyFill="1" applyBorder="1" applyAlignment="1" applyProtection="1">
      <alignment horizontal="center" vertical="center"/>
      <protection hidden="1"/>
    </xf>
    <xf numFmtId="10" fontId="12" fillId="3" borderId="5" xfId="0" applyNumberFormat="1" applyFont="1" applyFill="1" applyBorder="1" applyAlignment="1" applyProtection="1">
      <alignment horizontal="center" vertical="center" wrapText="1"/>
      <protection hidden="1"/>
    </xf>
    <xf numFmtId="0" fontId="12" fillId="3" borderId="5" xfId="0" applyNumberFormat="1" applyFont="1" applyFill="1" applyBorder="1" applyAlignment="1" applyProtection="1">
      <alignment horizontal="center" vertical="center"/>
      <protection locked="0" hidden="1"/>
    </xf>
    <xf numFmtId="0" fontId="12" fillId="4" borderId="6" xfId="0" applyFont="1" applyFill="1" applyBorder="1" applyAlignment="1" applyProtection="1">
      <alignment horizontal="center" vertical="center"/>
      <protection hidden="1"/>
    </xf>
    <xf numFmtId="0" fontId="12" fillId="4" borderId="0" xfId="0" applyFont="1" applyFill="1" applyAlignment="1" applyProtection="1">
      <alignment horizontal="center" vertical="center"/>
      <protection hidden="1"/>
    </xf>
    <xf numFmtId="0" fontId="0" fillId="4" borderId="0" xfId="0" applyFill="1" applyProtection="1">
      <alignment vertical="center"/>
      <protection hidden="1"/>
    </xf>
    <xf numFmtId="0" fontId="0" fillId="4" borderId="7" xfId="0" applyFill="1" applyBorder="1" applyProtection="1">
      <alignment vertical="center"/>
      <protection hidden="1"/>
    </xf>
    <xf numFmtId="0" fontId="0" fillId="4" borderId="8" xfId="0" applyFill="1" applyBorder="1" applyProtection="1">
      <alignment vertical="center"/>
      <protection hidden="1"/>
    </xf>
    <xf numFmtId="0" fontId="0" fillId="4" borderId="9" xfId="0" applyFill="1" applyBorder="1" applyProtection="1">
      <alignment vertical="center"/>
      <protection hidden="1"/>
    </xf>
    <xf numFmtId="0" fontId="0" fillId="4" borderId="10" xfId="0" applyFill="1" applyBorder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14" fillId="0" borderId="0" xfId="0" applyFont="1" applyProtection="1">
      <alignment vertical="center"/>
      <protection hidden="1"/>
    </xf>
    <xf numFmtId="0" fontId="15" fillId="0" borderId="0" xfId="0" applyFont="1" applyFill="1" applyBorder="1" applyAlignment="1" applyProtection="1">
      <alignment horizontal="center" vertical="center"/>
      <protection hidden="1"/>
    </xf>
    <xf numFmtId="0" fontId="15" fillId="5" borderId="5" xfId="0" applyFont="1" applyFill="1" applyBorder="1" applyAlignment="1" applyProtection="1">
      <alignment horizontal="center" vertical="center"/>
      <protection hidden="1"/>
    </xf>
    <xf numFmtId="0" fontId="15" fillId="5" borderId="3" xfId="0" applyFont="1" applyFill="1" applyBorder="1" applyAlignment="1" applyProtection="1">
      <alignment horizontal="center" vertical="center"/>
      <protection hidden="1"/>
    </xf>
    <xf numFmtId="0" fontId="15" fillId="5" borderId="4" xfId="0" applyFont="1" applyFill="1" applyBorder="1" applyAlignment="1" applyProtection="1">
      <alignment horizontal="center" vertical="center"/>
      <protection hidden="1"/>
    </xf>
    <xf numFmtId="0" fontId="15" fillId="5" borderId="2" xfId="0" applyFont="1" applyFill="1" applyBorder="1" applyAlignment="1" applyProtection="1">
      <alignment horizontal="center" vertical="center"/>
      <protection hidden="1"/>
    </xf>
    <xf numFmtId="0" fontId="15" fillId="5" borderId="11" xfId="0" applyFont="1" applyFill="1" applyBorder="1" applyAlignment="1" applyProtection="1">
      <alignment horizontal="center" vertical="center" wrapText="1"/>
      <protection hidden="1"/>
    </xf>
    <xf numFmtId="0" fontId="15" fillId="5" borderId="10" xfId="0" applyFont="1" applyFill="1" applyBorder="1" applyAlignment="1" applyProtection="1">
      <alignment horizontal="center" vertical="center"/>
      <protection hidden="1"/>
    </xf>
    <xf numFmtId="0" fontId="15" fillId="5" borderId="12" xfId="0" applyFont="1" applyFill="1" applyBorder="1" applyAlignment="1" applyProtection="1">
      <alignment horizontal="center" vertical="center"/>
      <protection hidden="1"/>
    </xf>
    <xf numFmtId="0" fontId="15" fillId="5" borderId="12" xfId="0" applyFont="1" applyFill="1" applyBorder="1" applyAlignment="1" applyProtection="1">
      <alignment horizontal="center" vertical="center" wrapText="1"/>
      <protection hidden="1"/>
    </xf>
    <xf numFmtId="0" fontId="15" fillId="5" borderId="5" xfId="0" applyNumberFormat="1" applyFont="1" applyFill="1" applyBorder="1" applyAlignment="1" applyProtection="1">
      <alignment horizontal="center" vertical="center"/>
      <protection locked="0" hidden="1"/>
    </xf>
    <xf numFmtId="0" fontId="15" fillId="5" borderId="11" xfId="0" applyFont="1" applyFill="1" applyBorder="1" applyAlignment="1" applyProtection="1">
      <alignment horizontal="center" vertical="center"/>
      <protection hidden="1"/>
    </xf>
    <xf numFmtId="0" fontId="15" fillId="5" borderId="0" xfId="0" applyFont="1" applyFill="1" applyBorder="1" applyAlignment="1" applyProtection="1">
      <alignment horizontal="center" vertical="center"/>
      <protection hidden="1"/>
    </xf>
    <xf numFmtId="14" fontId="15" fillId="5" borderId="0" xfId="0" applyNumberFormat="1" applyFont="1" applyFill="1" applyBorder="1" applyAlignment="1" applyProtection="1">
      <alignment horizontal="center" vertical="center"/>
      <protection hidden="1"/>
    </xf>
    <xf numFmtId="14" fontId="15" fillId="5" borderId="5" xfId="0" applyNumberFormat="1" applyFont="1" applyFill="1" applyBorder="1" applyAlignment="1" applyProtection="1">
      <alignment horizontal="center" vertical="center" wrapText="1"/>
      <protection hidden="1"/>
    </xf>
    <xf numFmtId="14" fontId="15" fillId="5" borderId="5" xfId="0" applyNumberFormat="1" applyFont="1" applyFill="1" applyBorder="1" applyAlignment="1" applyProtection="1">
      <alignment horizontal="center" vertical="center" wrapText="1"/>
      <protection locked="0" hidden="1"/>
    </xf>
    <xf numFmtId="0" fontId="15" fillId="5" borderId="7" xfId="0" applyFont="1" applyFill="1" applyBorder="1" applyAlignment="1" applyProtection="1">
      <alignment horizontal="center" vertical="center"/>
      <protection hidden="1"/>
    </xf>
    <xf numFmtId="0" fontId="15" fillId="5" borderId="9" xfId="0" applyFont="1" applyFill="1" applyBorder="1" applyAlignment="1" applyProtection="1">
      <alignment horizontal="center" vertical="center"/>
      <protection hidden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sharedStrings" Target="sharedStrings.xml"/><Relationship Id="rId8" Type="http://schemas.openxmlformats.org/officeDocument/2006/relationships/styles" Target="styles.xml"/><Relationship Id="rId7" Type="http://schemas.openxmlformats.org/officeDocument/2006/relationships/theme" Target="theme/theme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0" Type="http://schemas.microsoft.com/office/2006/relationships/vbaProject" Target="vbaProject.bin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0.000686537352992355"/>
          <c:w val="0.776059551290431"/>
          <c:h val="1"/>
        </c:manualLayout>
      </c:layout>
      <c:doughnutChart>
        <c:varyColors val="1"/>
        <c:ser>
          <c:idx val="0"/>
          <c:order val="0"/>
          <c:tx>
            <c:strRef>
              <c:f>每日审计!$D$2:$E$2</c:f>
              <c:strCache>
                <c:ptCount val="1"/>
                <c:pt idx="0">
                  <c:v>缺报 上报</c:v>
                </c:pt>
              </c:strCache>
            </c:strRef>
          </c:tx>
          <c:spPr>
            <a:solidFill>
              <a:srgbClr val="00B050"/>
            </a:solidFill>
          </c:spPr>
          <c:explosion val="8"/>
          <c:dPt>
            <c:idx val="0"/>
            <c:bubble3D val="0"/>
            <c:spPr>
              <a:solidFill>
                <a:srgbClr val="C0000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1"/>
            <c:bubble3D val="0"/>
            <c:spPr>
              <a:solidFill>
                <a:srgbClr val="00B0F0"/>
              </a:solidFill>
              <a:ln>
                <a:noFill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0" vertOverflow="ellipsis" vert="horz" wrap="square" lIns="38100" tIns="19050" rIns="38100" bIns="19050" anchor="ctr" anchorCtr="1"/>
              <a:lstStyle/>
              <a:p>
                <a:pPr>
                  <a:defRPr lang="zh-CN" sz="2000" b="0" i="0" u="none" strike="noStrike" kern="1200" cap="none" spc="0" normalizeH="0" baseline="0">
                    <a:solidFill>
                      <a:schemeClr val="bg1"/>
                    </a:solidFill>
                    <a:uFill>
                      <a:solidFill>
                        <a:schemeClr val="tx2"/>
                      </a:solidFill>
                    </a:u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1"/>
            <c:showBubbleSize val="0"/>
            <c:separator>
</c:separator>
            <c:showLeaderLines val="1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每日审计!$D$2:$E$2</c:f>
              <c:strCache>
                <c:ptCount val="2"/>
                <c:pt idx="0">
                  <c:v>缺报</c:v>
                </c:pt>
                <c:pt idx="1">
                  <c:v>上报</c:v>
                </c:pt>
              </c:strCache>
            </c:strRef>
          </c:cat>
          <c:val>
            <c:numRef>
              <c:f>每日审计!$D$3:$E$3</c:f>
              <c:numCache>
                <c:formatCode>General</c:formatCode>
                <c:ptCount val="2"/>
                <c:pt idx="0">
                  <c:v>1</c:v>
                </c:pt>
                <c:pt idx="1">
                  <c:v>40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75"/>
      </c:doughnutChart>
      <c:spPr>
        <a:noFill/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lang="zh-CN" sz="2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2"/>
                  </a:solidFill>
                </a:uFill>
                <a:latin typeface="+mn-lt"/>
                <a:ea typeface="+mn-ea"/>
                <a:cs typeface="+mn-cs"/>
              </a:defRPr>
            </a:pPr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lang="zh-CN" sz="2000" b="0" i="0" u="none" strike="noStrike" kern="1200" cap="none" spc="0" normalizeH="0" baseline="0">
                <a:solidFill>
                  <a:schemeClr val="bg1"/>
                </a:solidFill>
                <a:uFill>
                  <a:solidFill>
                    <a:schemeClr val="tx2"/>
                  </a:solidFill>
                </a:uFill>
                <a:latin typeface="+mn-lt"/>
                <a:ea typeface="+mn-ea"/>
                <a:cs typeface="+mn-cs"/>
              </a:defRPr>
            </a:pPr>
          </a:p>
        </c:txPr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2000" b="0" i="0" u="none" strike="noStrike" kern="1200" cap="none" spc="0" normalizeH="0" baseline="0">
              <a:solidFill>
                <a:schemeClr val="bg1"/>
              </a:solidFill>
              <a:uFill>
                <a:solidFill>
                  <a:schemeClr val="tx2"/>
                </a:solidFill>
              </a:u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rgbClr val="002060">
        <a:alpha val="20000"/>
      </a:srgb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2000" u="none" strike="noStrike" kern="1200" cap="none" spc="0" normalizeH="0">
          <a:solidFill>
            <a:schemeClr val="bg1"/>
          </a:solidFill>
          <a:uFill>
            <a:solidFill>
              <a:schemeClr val="tx2"/>
            </a:solidFill>
          </a:uFill>
        </a:defRPr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 defTabSz="914400">
              <a:defRPr lang="zh-CN" sz="1800" b="1" i="0" u="none" strike="noStrike" kern="1200" spc="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月平均上报率分布图</a:t>
            </a:r>
            <a:endParaRPr lang="zh-CN" altLang="en-US"/>
          </a:p>
        </c:rich>
      </c:tx>
      <c:layout>
        <c:manualLayout>
          <c:xMode val="edge"/>
          <c:yMode val="edge"/>
          <c:x val="0.0139257947052455"/>
          <c:y val="0.0231203973283096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97608032286642"/>
          <c:y val="0.00515995872033024"/>
          <c:w val="0.569248941824983"/>
          <c:h val="0.989731302413144"/>
        </c:manualLayout>
      </c:layout>
      <c:doughnutChart>
        <c:varyColors val="1"/>
        <c:ser>
          <c:idx val="0"/>
          <c:order val="0"/>
          <c:tx>
            <c:strRef>
              <c:f>"当月平均出勤率分布"</c:f>
              <c:strCache>
                <c:ptCount val="1"/>
                <c:pt idx="0">
                  <c:v>当月平均出勤率分布</c:v>
                </c:pt>
              </c:strCache>
            </c:strRef>
          </c:tx>
          <c:spPr>
            <a:ln w="19050">
              <a:noFill/>
            </a:ln>
          </c:spPr>
          <c:explosion val="8"/>
          <c:dPt>
            <c:idx val="0"/>
            <c:bubble3D val="0"/>
            <c:spPr>
              <a:solidFill>
                <a:schemeClr val="tx1"/>
              </a:solidFill>
              <a:ln w="19050">
                <a:noFill/>
              </a:ln>
              <a:effectLst/>
            </c:spPr>
          </c:dPt>
          <c:dPt>
            <c:idx val="1"/>
            <c:bubble3D val="0"/>
            <c:spPr>
              <a:solidFill>
                <a:schemeClr val="bg1">
                  <a:lumMod val="50000"/>
                </a:schemeClr>
              </a:solidFill>
              <a:ln w="19050">
                <a:noFill/>
              </a:ln>
              <a:effectLst/>
            </c:spPr>
          </c:dPt>
          <c:dPt>
            <c:idx val="2"/>
            <c:bubble3D val="0"/>
            <c:spPr>
              <a:solidFill>
                <a:srgbClr val="C00000"/>
              </a:solidFill>
              <a:ln w="19050">
                <a:noFill/>
              </a:ln>
              <a:effectLst/>
            </c:spPr>
          </c:dPt>
          <c:dPt>
            <c:idx val="3"/>
            <c:bubble3D val="0"/>
            <c:spPr>
              <a:solidFill>
                <a:srgbClr val="FFFF00"/>
              </a:solidFill>
              <a:ln w="19050">
                <a:noFill/>
              </a:ln>
              <a:effectLst/>
            </c:spPr>
          </c:dPt>
          <c:dPt>
            <c:idx val="4"/>
            <c:bubble3D val="0"/>
            <c:spPr>
              <a:solidFill>
                <a:srgbClr val="0070C0"/>
              </a:solidFill>
              <a:ln w="19050">
                <a:noFill/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cb188ab5-af0c-4a23-927a-512b40e862ca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e47b9437-7dcb-4e32-b69e-ed6e539df724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547a1c14-0c6b-45b8-91ee-79f897a810ba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6c8608aa-2434-4cd6-a22b-d3117305bba2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 rot="0" spcFirstLastPara="0" vertOverflow="ellipsis" vert="horz" wrap="square" lIns="0" tIns="0" rIns="0" bIns="0" anchor="ctr" anchorCtr="1"/>
                  <a:lstStyle/>
                  <a:p>
                    <a:fld id="{4c93a38a-d85f-4ae3-80d3-2ed1e9010552}" type="CELLRANGE">
                      <a:t>[CELLRANGE]</a:t>
                    </a:fld>
                    <a:endParaRPr b="0" i="0" u="none" strike="noStrike" baseline="0">
                      <a:latin typeface="Arial" panose="020B0604020202020204" pitchFamily="7" charset="0"/>
                      <a:ea typeface="Arial" panose="020B0604020202020204" pitchFamily="7" charset="0"/>
                      <a:cs typeface="+mn-ea"/>
                    </a:endParaRPr>
                  </a:p>
                </c:rich>
              </c:tx>
              <c:showLegendKey val="0"/>
              <c:showVal val="0"/>
              <c:showCatName val="0"/>
              <c:showSerName val="0"/>
              <c:showPercent val="1"/>
              <c:showBubbleSize val="0"/>
              <c:separator>
</c:separator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numFmt formatCode="General" sourceLinked="0"/>
            <c:spPr>
              <a:noFill/>
              <a:ln>
                <a:noFill/>
              </a:ln>
              <a:effectLst>
                <a:glow>
                  <a:schemeClr val="accent5"/>
                </a:glow>
              </a:effectLst>
            </c:spPr>
            <c:txPr>
              <a:bodyPr rot="0" spcFirstLastPara="0" vertOverflow="ellipsis" vert="horz" wrap="square" lIns="0" tIns="0" rIns="0" bIns="0" anchor="ctr" anchorCtr="1"/>
              <a:lstStyle/>
              <a:p>
                <a:pPr>
                  <a:defRPr lang="zh-CN" sz="1500" b="1" i="0" u="none" strike="noStrike" kern="1200" baseline="0">
                    <a:ln>
                      <a:noFill/>
                    </a:ln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'API2'!$F$8:$F$12</c:f>
              <c:strCache>
                <c:ptCount val="5"/>
                <c:pt idx="0">
                  <c:v>0%-20%</c:v>
                </c:pt>
                <c:pt idx="1">
                  <c:v>20%-40%</c:v>
                </c:pt>
                <c:pt idx="2">
                  <c:v>40%-60%</c:v>
                </c:pt>
                <c:pt idx="3">
                  <c:v>60%-80%</c:v>
                </c:pt>
                <c:pt idx="4">
                  <c:v>80%-100%</c:v>
                </c:pt>
              </c:strCache>
            </c:strRef>
          </c:cat>
          <c:val>
            <c:numRef>
              <c:f>'API2'!$G$8:$G$12</c:f>
              <c:numCache>
                <c:formatCode>General</c:formatCode>
                <c:ptCount val="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40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'API2'!$G$8:$G$12</c15:f>
                <c15:dlblRangeCache>
                  <c:ptCount val="5"/>
                  <c:pt idx="0">
                    <c:v>1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40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0"/>
        </c:dLbls>
        <c:firstSliceAng val="0"/>
        <c:holeSize val="70"/>
      </c:doughnutChart>
      <c:spPr>
        <a:noFill/>
        <a:ln>
          <a:noFill/>
        </a:ln>
        <a:effectLst/>
      </c:spPr>
    </c:plotArea>
    <c:legend>
      <c:legendPos val="t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1500" b="1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 sz="1500" b="1" i="0" baseline="0">
          <a:solidFill>
            <a:schemeClr val="bg1"/>
          </a:solidFill>
        </a:defRPr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4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99" Type="http://schemas.openxmlformats.org/officeDocument/2006/relationships/image" Target="../media/image100.jpeg"/><Relationship Id="rId98" Type="http://schemas.openxmlformats.org/officeDocument/2006/relationships/image" Target="../media/image99.jpeg"/><Relationship Id="rId97" Type="http://schemas.openxmlformats.org/officeDocument/2006/relationships/image" Target="../media/image98.jpeg"/><Relationship Id="rId96" Type="http://schemas.openxmlformats.org/officeDocument/2006/relationships/image" Target="../media/image97.jpeg"/><Relationship Id="rId95" Type="http://schemas.openxmlformats.org/officeDocument/2006/relationships/image" Target="../media/image96.jpeg"/><Relationship Id="rId94" Type="http://schemas.openxmlformats.org/officeDocument/2006/relationships/image" Target="../media/image95.jpeg"/><Relationship Id="rId93" Type="http://schemas.openxmlformats.org/officeDocument/2006/relationships/image" Target="../media/image94.jpeg"/><Relationship Id="rId92" Type="http://schemas.openxmlformats.org/officeDocument/2006/relationships/image" Target="../media/image93.jpeg"/><Relationship Id="rId91" Type="http://schemas.openxmlformats.org/officeDocument/2006/relationships/image" Target="../media/image92.jpeg"/><Relationship Id="rId90" Type="http://schemas.openxmlformats.org/officeDocument/2006/relationships/image" Target="../media/image91.jpeg"/><Relationship Id="rId9" Type="http://schemas.openxmlformats.org/officeDocument/2006/relationships/image" Target="../media/image10.jpeg"/><Relationship Id="rId89" Type="http://schemas.openxmlformats.org/officeDocument/2006/relationships/image" Target="../media/image90.jpeg"/><Relationship Id="rId88" Type="http://schemas.openxmlformats.org/officeDocument/2006/relationships/image" Target="../media/image89.jpeg"/><Relationship Id="rId87" Type="http://schemas.openxmlformats.org/officeDocument/2006/relationships/image" Target="../media/image88.jpeg"/><Relationship Id="rId86" Type="http://schemas.openxmlformats.org/officeDocument/2006/relationships/image" Target="../media/image87.jpeg"/><Relationship Id="rId85" Type="http://schemas.openxmlformats.org/officeDocument/2006/relationships/image" Target="../media/image86.jpeg"/><Relationship Id="rId84" Type="http://schemas.openxmlformats.org/officeDocument/2006/relationships/image" Target="../media/image85.jpeg"/><Relationship Id="rId83" Type="http://schemas.openxmlformats.org/officeDocument/2006/relationships/image" Target="../media/image84.jpeg"/><Relationship Id="rId82" Type="http://schemas.openxmlformats.org/officeDocument/2006/relationships/image" Target="../media/image83.jpeg"/><Relationship Id="rId81" Type="http://schemas.openxmlformats.org/officeDocument/2006/relationships/image" Target="../media/image82.jpeg"/><Relationship Id="rId80" Type="http://schemas.openxmlformats.org/officeDocument/2006/relationships/image" Target="../media/image81.jpeg"/><Relationship Id="rId8" Type="http://schemas.openxmlformats.org/officeDocument/2006/relationships/image" Target="../media/image9.jpeg"/><Relationship Id="rId79" Type="http://schemas.openxmlformats.org/officeDocument/2006/relationships/image" Target="../media/image80.jpeg"/><Relationship Id="rId78" Type="http://schemas.openxmlformats.org/officeDocument/2006/relationships/image" Target="../media/image79.jpeg"/><Relationship Id="rId77" Type="http://schemas.openxmlformats.org/officeDocument/2006/relationships/image" Target="../media/image78.jpeg"/><Relationship Id="rId76" Type="http://schemas.openxmlformats.org/officeDocument/2006/relationships/image" Target="../media/image77.jpeg"/><Relationship Id="rId75" Type="http://schemas.openxmlformats.org/officeDocument/2006/relationships/image" Target="../media/image76.jpeg"/><Relationship Id="rId74" Type="http://schemas.openxmlformats.org/officeDocument/2006/relationships/image" Target="../media/image75.jpeg"/><Relationship Id="rId73" Type="http://schemas.openxmlformats.org/officeDocument/2006/relationships/image" Target="../media/image74.jpeg"/><Relationship Id="rId72" Type="http://schemas.openxmlformats.org/officeDocument/2006/relationships/image" Target="../media/image73.jpeg"/><Relationship Id="rId71" Type="http://schemas.openxmlformats.org/officeDocument/2006/relationships/image" Target="../media/image72.jpeg"/><Relationship Id="rId70" Type="http://schemas.openxmlformats.org/officeDocument/2006/relationships/image" Target="../media/image71.jpeg"/><Relationship Id="rId7" Type="http://schemas.openxmlformats.org/officeDocument/2006/relationships/image" Target="../media/image8.png"/><Relationship Id="rId69" Type="http://schemas.openxmlformats.org/officeDocument/2006/relationships/image" Target="../media/image70.jpeg"/><Relationship Id="rId68" Type="http://schemas.openxmlformats.org/officeDocument/2006/relationships/image" Target="../media/image69.jpeg"/><Relationship Id="rId67" Type="http://schemas.openxmlformats.org/officeDocument/2006/relationships/image" Target="../media/image68.jpeg"/><Relationship Id="rId66" Type="http://schemas.openxmlformats.org/officeDocument/2006/relationships/image" Target="../media/image67.jpeg"/><Relationship Id="rId65" Type="http://schemas.openxmlformats.org/officeDocument/2006/relationships/image" Target="../media/image66.jpeg"/><Relationship Id="rId64" Type="http://schemas.openxmlformats.org/officeDocument/2006/relationships/image" Target="../media/image65.jpeg"/><Relationship Id="rId63" Type="http://schemas.openxmlformats.org/officeDocument/2006/relationships/image" Target="../media/image64.jpeg"/><Relationship Id="rId62" Type="http://schemas.openxmlformats.org/officeDocument/2006/relationships/image" Target="../media/image63.jpeg"/><Relationship Id="rId61" Type="http://schemas.openxmlformats.org/officeDocument/2006/relationships/image" Target="../media/image62.jpeg"/><Relationship Id="rId60" Type="http://schemas.openxmlformats.org/officeDocument/2006/relationships/image" Target="../media/image61.jpeg"/><Relationship Id="rId6" Type="http://schemas.openxmlformats.org/officeDocument/2006/relationships/image" Target="../media/image7.jpeg"/><Relationship Id="rId59" Type="http://schemas.openxmlformats.org/officeDocument/2006/relationships/image" Target="../media/image60.jpeg"/><Relationship Id="rId58" Type="http://schemas.openxmlformats.org/officeDocument/2006/relationships/image" Target="../media/image59.jpeg"/><Relationship Id="rId57" Type="http://schemas.openxmlformats.org/officeDocument/2006/relationships/image" Target="../media/image58.jpeg"/><Relationship Id="rId56" Type="http://schemas.openxmlformats.org/officeDocument/2006/relationships/image" Target="../media/image57.jpeg"/><Relationship Id="rId55" Type="http://schemas.openxmlformats.org/officeDocument/2006/relationships/image" Target="../media/image56.jpeg"/><Relationship Id="rId54" Type="http://schemas.openxmlformats.org/officeDocument/2006/relationships/image" Target="../media/image55.jpeg"/><Relationship Id="rId53" Type="http://schemas.openxmlformats.org/officeDocument/2006/relationships/image" Target="../media/image54.jpeg"/><Relationship Id="rId52" Type="http://schemas.openxmlformats.org/officeDocument/2006/relationships/image" Target="../media/image53.jpeg"/><Relationship Id="rId51" Type="http://schemas.openxmlformats.org/officeDocument/2006/relationships/image" Target="../media/image52.jpeg"/><Relationship Id="rId50" Type="http://schemas.openxmlformats.org/officeDocument/2006/relationships/image" Target="../media/image51.jpeg"/><Relationship Id="rId5" Type="http://schemas.openxmlformats.org/officeDocument/2006/relationships/image" Target="../media/image6.jpeg"/><Relationship Id="rId49" Type="http://schemas.openxmlformats.org/officeDocument/2006/relationships/image" Target="../media/image50.jpeg"/><Relationship Id="rId48" Type="http://schemas.openxmlformats.org/officeDocument/2006/relationships/image" Target="../media/image49.jpeg"/><Relationship Id="rId47" Type="http://schemas.openxmlformats.org/officeDocument/2006/relationships/image" Target="../media/image48.jpeg"/><Relationship Id="rId46" Type="http://schemas.openxmlformats.org/officeDocument/2006/relationships/image" Target="../media/image47.jpeg"/><Relationship Id="rId45" Type="http://schemas.openxmlformats.org/officeDocument/2006/relationships/image" Target="../media/image46.jpeg"/><Relationship Id="rId44" Type="http://schemas.openxmlformats.org/officeDocument/2006/relationships/image" Target="../media/image45.jpeg"/><Relationship Id="rId43" Type="http://schemas.openxmlformats.org/officeDocument/2006/relationships/image" Target="../media/image44.jpeg"/><Relationship Id="rId42" Type="http://schemas.openxmlformats.org/officeDocument/2006/relationships/image" Target="../media/image43.jpeg"/><Relationship Id="rId41" Type="http://schemas.openxmlformats.org/officeDocument/2006/relationships/image" Target="../media/image42.jpeg"/><Relationship Id="rId40" Type="http://schemas.openxmlformats.org/officeDocument/2006/relationships/image" Target="../media/image41.jpeg"/><Relationship Id="rId4" Type="http://schemas.openxmlformats.org/officeDocument/2006/relationships/image" Target="../media/image5.jpeg"/><Relationship Id="rId39" Type="http://schemas.openxmlformats.org/officeDocument/2006/relationships/image" Target="../media/image40.jpeg"/><Relationship Id="rId38" Type="http://schemas.openxmlformats.org/officeDocument/2006/relationships/image" Target="../media/image39.jpeg"/><Relationship Id="rId37" Type="http://schemas.openxmlformats.org/officeDocument/2006/relationships/image" Target="../media/image38.jpeg"/><Relationship Id="rId36" Type="http://schemas.openxmlformats.org/officeDocument/2006/relationships/image" Target="../media/image37.jpeg"/><Relationship Id="rId35" Type="http://schemas.openxmlformats.org/officeDocument/2006/relationships/image" Target="../media/image36.jpeg"/><Relationship Id="rId34" Type="http://schemas.openxmlformats.org/officeDocument/2006/relationships/image" Target="../media/image35.jpeg"/><Relationship Id="rId33" Type="http://schemas.openxmlformats.org/officeDocument/2006/relationships/image" Target="../media/image34.jpeg"/><Relationship Id="rId32" Type="http://schemas.openxmlformats.org/officeDocument/2006/relationships/image" Target="../media/image33.jpeg"/><Relationship Id="rId31" Type="http://schemas.openxmlformats.org/officeDocument/2006/relationships/image" Target="../media/image32.jpeg"/><Relationship Id="rId30" Type="http://schemas.openxmlformats.org/officeDocument/2006/relationships/image" Target="../media/image31.jpeg"/><Relationship Id="rId3" Type="http://schemas.openxmlformats.org/officeDocument/2006/relationships/image" Target="../media/image4.jpeg"/><Relationship Id="rId29" Type="http://schemas.openxmlformats.org/officeDocument/2006/relationships/image" Target="../media/image30.jpeg"/><Relationship Id="rId28" Type="http://schemas.openxmlformats.org/officeDocument/2006/relationships/image" Target="../media/image29.jpeg"/><Relationship Id="rId27" Type="http://schemas.openxmlformats.org/officeDocument/2006/relationships/image" Target="../media/image28.jpeg"/><Relationship Id="rId26" Type="http://schemas.openxmlformats.org/officeDocument/2006/relationships/image" Target="../media/image27.jpeg"/><Relationship Id="rId25" Type="http://schemas.openxmlformats.org/officeDocument/2006/relationships/image" Target="../media/image26.jpeg"/><Relationship Id="rId24" Type="http://schemas.openxmlformats.org/officeDocument/2006/relationships/image" Target="../media/image25.jpeg"/><Relationship Id="rId23" Type="http://schemas.openxmlformats.org/officeDocument/2006/relationships/image" Target="../media/image24.jpeg"/><Relationship Id="rId225" Type="http://schemas.openxmlformats.org/officeDocument/2006/relationships/image" Target="../media/image226.jpeg"/><Relationship Id="rId224" Type="http://schemas.openxmlformats.org/officeDocument/2006/relationships/image" Target="../media/image225.jpeg"/><Relationship Id="rId223" Type="http://schemas.openxmlformats.org/officeDocument/2006/relationships/image" Target="../media/image224.jpeg"/><Relationship Id="rId222" Type="http://schemas.openxmlformats.org/officeDocument/2006/relationships/image" Target="../media/image223.jpeg"/><Relationship Id="rId221" Type="http://schemas.openxmlformats.org/officeDocument/2006/relationships/image" Target="../media/image222.jpeg"/><Relationship Id="rId220" Type="http://schemas.openxmlformats.org/officeDocument/2006/relationships/image" Target="../media/image221.jpeg"/><Relationship Id="rId22" Type="http://schemas.openxmlformats.org/officeDocument/2006/relationships/image" Target="../media/image23.jpeg"/><Relationship Id="rId219" Type="http://schemas.openxmlformats.org/officeDocument/2006/relationships/image" Target="../media/image220.jpeg"/><Relationship Id="rId218" Type="http://schemas.openxmlformats.org/officeDocument/2006/relationships/image" Target="../media/image219.jpeg"/><Relationship Id="rId217" Type="http://schemas.openxmlformats.org/officeDocument/2006/relationships/image" Target="../media/image218.jpeg"/><Relationship Id="rId216" Type="http://schemas.openxmlformats.org/officeDocument/2006/relationships/image" Target="../media/image217.jpeg"/><Relationship Id="rId215" Type="http://schemas.openxmlformats.org/officeDocument/2006/relationships/image" Target="../media/image216.jpeg"/><Relationship Id="rId214" Type="http://schemas.openxmlformats.org/officeDocument/2006/relationships/image" Target="../media/image215.jpeg"/><Relationship Id="rId213" Type="http://schemas.openxmlformats.org/officeDocument/2006/relationships/image" Target="../media/image214.jpeg"/><Relationship Id="rId212" Type="http://schemas.openxmlformats.org/officeDocument/2006/relationships/image" Target="../media/image213.jpeg"/><Relationship Id="rId211" Type="http://schemas.openxmlformats.org/officeDocument/2006/relationships/image" Target="../media/image212.jpeg"/><Relationship Id="rId210" Type="http://schemas.openxmlformats.org/officeDocument/2006/relationships/image" Target="../media/image211.jpeg"/><Relationship Id="rId21" Type="http://schemas.openxmlformats.org/officeDocument/2006/relationships/image" Target="../media/image22.jpeg"/><Relationship Id="rId209" Type="http://schemas.openxmlformats.org/officeDocument/2006/relationships/image" Target="../media/image210.jpeg"/><Relationship Id="rId208" Type="http://schemas.openxmlformats.org/officeDocument/2006/relationships/image" Target="../media/image209.jpeg"/><Relationship Id="rId207" Type="http://schemas.openxmlformats.org/officeDocument/2006/relationships/image" Target="../media/image208.jpeg"/><Relationship Id="rId206" Type="http://schemas.openxmlformats.org/officeDocument/2006/relationships/image" Target="../media/image207.jpeg"/><Relationship Id="rId205" Type="http://schemas.openxmlformats.org/officeDocument/2006/relationships/image" Target="../media/image206.jpeg"/><Relationship Id="rId204" Type="http://schemas.openxmlformats.org/officeDocument/2006/relationships/image" Target="../media/image205.jpeg"/><Relationship Id="rId203" Type="http://schemas.openxmlformats.org/officeDocument/2006/relationships/image" Target="../media/image204.jpeg"/><Relationship Id="rId202" Type="http://schemas.openxmlformats.org/officeDocument/2006/relationships/image" Target="../media/image203.jpeg"/><Relationship Id="rId201" Type="http://schemas.openxmlformats.org/officeDocument/2006/relationships/image" Target="../media/image202.jpeg"/><Relationship Id="rId200" Type="http://schemas.openxmlformats.org/officeDocument/2006/relationships/image" Target="../media/image201.jpeg"/><Relationship Id="rId20" Type="http://schemas.openxmlformats.org/officeDocument/2006/relationships/image" Target="../media/image21.jpeg"/><Relationship Id="rId2" Type="http://schemas.openxmlformats.org/officeDocument/2006/relationships/image" Target="NULL" TargetMode="External"/><Relationship Id="rId199" Type="http://schemas.openxmlformats.org/officeDocument/2006/relationships/image" Target="../media/image200.jpeg"/><Relationship Id="rId198" Type="http://schemas.openxmlformats.org/officeDocument/2006/relationships/image" Target="../media/image199.jpeg"/><Relationship Id="rId197" Type="http://schemas.openxmlformats.org/officeDocument/2006/relationships/image" Target="../media/image198.jpeg"/><Relationship Id="rId196" Type="http://schemas.openxmlformats.org/officeDocument/2006/relationships/image" Target="../media/image197.jpeg"/><Relationship Id="rId195" Type="http://schemas.openxmlformats.org/officeDocument/2006/relationships/image" Target="../media/image196.jpeg"/><Relationship Id="rId194" Type="http://schemas.openxmlformats.org/officeDocument/2006/relationships/image" Target="../media/image195.jpeg"/><Relationship Id="rId193" Type="http://schemas.openxmlformats.org/officeDocument/2006/relationships/image" Target="../media/image194.jpeg"/><Relationship Id="rId192" Type="http://schemas.openxmlformats.org/officeDocument/2006/relationships/image" Target="../media/image193.jpeg"/><Relationship Id="rId191" Type="http://schemas.openxmlformats.org/officeDocument/2006/relationships/image" Target="../media/image192.jpeg"/><Relationship Id="rId190" Type="http://schemas.openxmlformats.org/officeDocument/2006/relationships/image" Target="../media/image191.jpeg"/><Relationship Id="rId19" Type="http://schemas.openxmlformats.org/officeDocument/2006/relationships/image" Target="../media/image20.jpeg"/><Relationship Id="rId189" Type="http://schemas.openxmlformats.org/officeDocument/2006/relationships/image" Target="../media/image190.jpeg"/><Relationship Id="rId188" Type="http://schemas.openxmlformats.org/officeDocument/2006/relationships/image" Target="../media/image189.jpeg"/><Relationship Id="rId187" Type="http://schemas.openxmlformats.org/officeDocument/2006/relationships/image" Target="../media/image188.jpeg"/><Relationship Id="rId186" Type="http://schemas.openxmlformats.org/officeDocument/2006/relationships/image" Target="../media/image187.jpeg"/><Relationship Id="rId185" Type="http://schemas.openxmlformats.org/officeDocument/2006/relationships/image" Target="../media/image186.jpeg"/><Relationship Id="rId184" Type="http://schemas.openxmlformats.org/officeDocument/2006/relationships/image" Target="../media/image185.jpeg"/><Relationship Id="rId183" Type="http://schemas.openxmlformats.org/officeDocument/2006/relationships/image" Target="../media/image184.jpeg"/><Relationship Id="rId182" Type="http://schemas.openxmlformats.org/officeDocument/2006/relationships/image" Target="../media/image183.jpeg"/><Relationship Id="rId181" Type="http://schemas.openxmlformats.org/officeDocument/2006/relationships/image" Target="../media/image182.jpeg"/><Relationship Id="rId180" Type="http://schemas.openxmlformats.org/officeDocument/2006/relationships/image" Target="../media/image181.jpeg"/><Relationship Id="rId18" Type="http://schemas.openxmlformats.org/officeDocument/2006/relationships/image" Target="../media/image19.jpeg"/><Relationship Id="rId179" Type="http://schemas.openxmlformats.org/officeDocument/2006/relationships/image" Target="../media/image180.jpeg"/><Relationship Id="rId178" Type="http://schemas.openxmlformats.org/officeDocument/2006/relationships/image" Target="../media/image179.jpeg"/><Relationship Id="rId177" Type="http://schemas.openxmlformats.org/officeDocument/2006/relationships/image" Target="../media/image178.jpeg"/><Relationship Id="rId176" Type="http://schemas.openxmlformats.org/officeDocument/2006/relationships/image" Target="../media/image177.jpeg"/><Relationship Id="rId175" Type="http://schemas.openxmlformats.org/officeDocument/2006/relationships/image" Target="../media/image176.jpeg"/><Relationship Id="rId174" Type="http://schemas.openxmlformats.org/officeDocument/2006/relationships/image" Target="../media/image175.jpeg"/><Relationship Id="rId173" Type="http://schemas.openxmlformats.org/officeDocument/2006/relationships/image" Target="../media/image174.jpeg"/><Relationship Id="rId172" Type="http://schemas.openxmlformats.org/officeDocument/2006/relationships/image" Target="../media/image173.jpeg"/><Relationship Id="rId171" Type="http://schemas.openxmlformats.org/officeDocument/2006/relationships/image" Target="../media/image172.jpeg"/><Relationship Id="rId170" Type="http://schemas.openxmlformats.org/officeDocument/2006/relationships/image" Target="../media/image171.jpeg"/><Relationship Id="rId17" Type="http://schemas.openxmlformats.org/officeDocument/2006/relationships/image" Target="../media/image18.jpeg"/><Relationship Id="rId169" Type="http://schemas.openxmlformats.org/officeDocument/2006/relationships/image" Target="../media/image170.jpeg"/><Relationship Id="rId168" Type="http://schemas.openxmlformats.org/officeDocument/2006/relationships/image" Target="../media/image169.jpeg"/><Relationship Id="rId167" Type="http://schemas.openxmlformats.org/officeDocument/2006/relationships/image" Target="../media/image168.jpeg"/><Relationship Id="rId166" Type="http://schemas.openxmlformats.org/officeDocument/2006/relationships/image" Target="../media/image167.jpeg"/><Relationship Id="rId165" Type="http://schemas.openxmlformats.org/officeDocument/2006/relationships/image" Target="../media/image166.jpeg"/><Relationship Id="rId164" Type="http://schemas.openxmlformats.org/officeDocument/2006/relationships/image" Target="../media/image165.jpeg"/><Relationship Id="rId163" Type="http://schemas.openxmlformats.org/officeDocument/2006/relationships/image" Target="../media/image164.jpeg"/><Relationship Id="rId162" Type="http://schemas.openxmlformats.org/officeDocument/2006/relationships/image" Target="../media/image163.jpeg"/><Relationship Id="rId161" Type="http://schemas.openxmlformats.org/officeDocument/2006/relationships/image" Target="../media/image162.jpeg"/><Relationship Id="rId160" Type="http://schemas.openxmlformats.org/officeDocument/2006/relationships/image" Target="../media/image161.jpeg"/><Relationship Id="rId16" Type="http://schemas.openxmlformats.org/officeDocument/2006/relationships/image" Target="../media/image17.jpeg"/><Relationship Id="rId159" Type="http://schemas.openxmlformats.org/officeDocument/2006/relationships/image" Target="../media/image160.jpeg"/><Relationship Id="rId158" Type="http://schemas.openxmlformats.org/officeDocument/2006/relationships/image" Target="../media/image159.jpeg"/><Relationship Id="rId157" Type="http://schemas.openxmlformats.org/officeDocument/2006/relationships/image" Target="../media/image158.jpeg"/><Relationship Id="rId156" Type="http://schemas.openxmlformats.org/officeDocument/2006/relationships/image" Target="../media/image157.jpeg"/><Relationship Id="rId155" Type="http://schemas.openxmlformats.org/officeDocument/2006/relationships/image" Target="../media/image156.jpeg"/><Relationship Id="rId154" Type="http://schemas.openxmlformats.org/officeDocument/2006/relationships/image" Target="../media/image155.jpeg"/><Relationship Id="rId153" Type="http://schemas.openxmlformats.org/officeDocument/2006/relationships/image" Target="../media/image154.jpeg"/><Relationship Id="rId152" Type="http://schemas.openxmlformats.org/officeDocument/2006/relationships/image" Target="../media/image153.jpeg"/><Relationship Id="rId151" Type="http://schemas.openxmlformats.org/officeDocument/2006/relationships/image" Target="../media/image152.jpeg"/><Relationship Id="rId150" Type="http://schemas.openxmlformats.org/officeDocument/2006/relationships/image" Target="../media/image151.jpeg"/><Relationship Id="rId15" Type="http://schemas.openxmlformats.org/officeDocument/2006/relationships/image" Target="../media/image16.jpeg"/><Relationship Id="rId149" Type="http://schemas.openxmlformats.org/officeDocument/2006/relationships/image" Target="../media/image150.jpeg"/><Relationship Id="rId148" Type="http://schemas.openxmlformats.org/officeDocument/2006/relationships/image" Target="../media/image149.jpeg"/><Relationship Id="rId147" Type="http://schemas.openxmlformats.org/officeDocument/2006/relationships/image" Target="../media/image148.jpeg"/><Relationship Id="rId146" Type="http://schemas.openxmlformats.org/officeDocument/2006/relationships/image" Target="../media/image147.jpeg"/><Relationship Id="rId145" Type="http://schemas.openxmlformats.org/officeDocument/2006/relationships/image" Target="../media/image146.jpeg"/><Relationship Id="rId144" Type="http://schemas.openxmlformats.org/officeDocument/2006/relationships/image" Target="../media/image145.jpeg"/><Relationship Id="rId143" Type="http://schemas.openxmlformats.org/officeDocument/2006/relationships/image" Target="../media/image144.jpeg"/><Relationship Id="rId142" Type="http://schemas.openxmlformats.org/officeDocument/2006/relationships/image" Target="../media/image143.jpeg"/><Relationship Id="rId141" Type="http://schemas.openxmlformats.org/officeDocument/2006/relationships/image" Target="../media/image142.jpeg"/><Relationship Id="rId140" Type="http://schemas.openxmlformats.org/officeDocument/2006/relationships/image" Target="../media/image141.jpeg"/><Relationship Id="rId14" Type="http://schemas.openxmlformats.org/officeDocument/2006/relationships/image" Target="../media/image15.jpeg"/><Relationship Id="rId139" Type="http://schemas.openxmlformats.org/officeDocument/2006/relationships/image" Target="../media/image140.jpeg"/><Relationship Id="rId138" Type="http://schemas.openxmlformats.org/officeDocument/2006/relationships/image" Target="../media/image139.jpeg"/><Relationship Id="rId137" Type="http://schemas.openxmlformats.org/officeDocument/2006/relationships/image" Target="../media/image138.jpeg"/><Relationship Id="rId136" Type="http://schemas.openxmlformats.org/officeDocument/2006/relationships/image" Target="../media/image137.jpeg"/><Relationship Id="rId135" Type="http://schemas.openxmlformats.org/officeDocument/2006/relationships/image" Target="../media/image136.jpeg"/><Relationship Id="rId134" Type="http://schemas.openxmlformats.org/officeDocument/2006/relationships/image" Target="../media/image135.jpeg"/><Relationship Id="rId133" Type="http://schemas.openxmlformats.org/officeDocument/2006/relationships/image" Target="../media/image134.jpeg"/><Relationship Id="rId132" Type="http://schemas.openxmlformats.org/officeDocument/2006/relationships/image" Target="../media/image133.jpeg"/><Relationship Id="rId131" Type="http://schemas.openxmlformats.org/officeDocument/2006/relationships/image" Target="../media/image132.jpeg"/><Relationship Id="rId130" Type="http://schemas.openxmlformats.org/officeDocument/2006/relationships/image" Target="../media/image131.jpeg"/><Relationship Id="rId13" Type="http://schemas.openxmlformats.org/officeDocument/2006/relationships/image" Target="../media/image14.jpeg"/><Relationship Id="rId129" Type="http://schemas.openxmlformats.org/officeDocument/2006/relationships/image" Target="../media/image130.jpeg"/><Relationship Id="rId128" Type="http://schemas.openxmlformats.org/officeDocument/2006/relationships/image" Target="../media/image129.jpeg"/><Relationship Id="rId127" Type="http://schemas.openxmlformats.org/officeDocument/2006/relationships/image" Target="../media/image128.jpeg"/><Relationship Id="rId126" Type="http://schemas.openxmlformats.org/officeDocument/2006/relationships/image" Target="../media/image127.jpeg"/><Relationship Id="rId125" Type="http://schemas.openxmlformats.org/officeDocument/2006/relationships/image" Target="../media/image126.jpeg"/><Relationship Id="rId124" Type="http://schemas.openxmlformats.org/officeDocument/2006/relationships/image" Target="../media/image125.jpeg"/><Relationship Id="rId123" Type="http://schemas.openxmlformats.org/officeDocument/2006/relationships/image" Target="../media/image124.jpeg"/><Relationship Id="rId122" Type="http://schemas.openxmlformats.org/officeDocument/2006/relationships/image" Target="../media/image123.jpeg"/><Relationship Id="rId121" Type="http://schemas.openxmlformats.org/officeDocument/2006/relationships/image" Target="../media/image122.jpeg"/><Relationship Id="rId120" Type="http://schemas.openxmlformats.org/officeDocument/2006/relationships/image" Target="../media/image121.jpeg"/><Relationship Id="rId12" Type="http://schemas.openxmlformats.org/officeDocument/2006/relationships/image" Target="../media/image13.jpeg"/><Relationship Id="rId119" Type="http://schemas.openxmlformats.org/officeDocument/2006/relationships/image" Target="../media/image120.jpeg"/><Relationship Id="rId118" Type="http://schemas.openxmlformats.org/officeDocument/2006/relationships/image" Target="../media/image119.jpeg"/><Relationship Id="rId117" Type="http://schemas.openxmlformats.org/officeDocument/2006/relationships/image" Target="../media/image118.jpeg"/><Relationship Id="rId116" Type="http://schemas.openxmlformats.org/officeDocument/2006/relationships/image" Target="../media/image117.jpeg"/><Relationship Id="rId115" Type="http://schemas.openxmlformats.org/officeDocument/2006/relationships/image" Target="../media/image116.jpeg"/><Relationship Id="rId114" Type="http://schemas.openxmlformats.org/officeDocument/2006/relationships/image" Target="../media/image115.jpeg"/><Relationship Id="rId113" Type="http://schemas.openxmlformats.org/officeDocument/2006/relationships/image" Target="../media/image114.jpeg"/><Relationship Id="rId112" Type="http://schemas.openxmlformats.org/officeDocument/2006/relationships/image" Target="../media/image113.jpeg"/><Relationship Id="rId111" Type="http://schemas.openxmlformats.org/officeDocument/2006/relationships/image" Target="../media/image112.jpeg"/><Relationship Id="rId110" Type="http://schemas.openxmlformats.org/officeDocument/2006/relationships/image" Target="../media/image111.jpeg"/><Relationship Id="rId11" Type="http://schemas.openxmlformats.org/officeDocument/2006/relationships/image" Target="../media/image12.jpeg"/><Relationship Id="rId109" Type="http://schemas.openxmlformats.org/officeDocument/2006/relationships/image" Target="../media/image110.jpeg"/><Relationship Id="rId108" Type="http://schemas.openxmlformats.org/officeDocument/2006/relationships/image" Target="../media/image109.jpeg"/><Relationship Id="rId107" Type="http://schemas.openxmlformats.org/officeDocument/2006/relationships/image" Target="../media/image108.jpeg"/><Relationship Id="rId106" Type="http://schemas.openxmlformats.org/officeDocument/2006/relationships/image" Target="../media/image107.jpeg"/><Relationship Id="rId105" Type="http://schemas.openxmlformats.org/officeDocument/2006/relationships/image" Target="../media/image106.jpeg"/><Relationship Id="rId104" Type="http://schemas.openxmlformats.org/officeDocument/2006/relationships/image" Target="../media/image105.jpeg"/><Relationship Id="rId103" Type="http://schemas.openxmlformats.org/officeDocument/2006/relationships/image" Target="../media/image104.jpeg"/><Relationship Id="rId102" Type="http://schemas.openxmlformats.org/officeDocument/2006/relationships/image" Target="../media/image103.jpeg"/><Relationship Id="rId101" Type="http://schemas.openxmlformats.org/officeDocument/2006/relationships/image" Target="../media/image102.jpeg"/><Relationship Id="rId100" Type="http://schemas.openxmlformats.org/officeDocument/2006/relationships/image" Target="../media/image101.jpeg"/><Relationship Id="rId10" Type="http://schemas.openxmlformats.org/officeDocument/2006/relationships/image" Target="../media/image11.jpeg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8.wmf"/><Relationship Id="rId1" Type="http://schemas.openxmlformats.org/officeDocument/2006/relationships/image" Target="../media/image227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3</xdr:col>
      <xdr:colOff>20320</xdr:colOff>
      <xdr:row>3</xdr:row>
      <xdr:rowOff>34925</xdr:rowOff>
    </xdr:from>
    <xdr:to>
      <xdr:col>9</xdr:col>
      <xdr:colOff>784225</xdr:colOff>
      <xdr:row>20</xdr:row>
      <xdr:rowOff>155575</xdr:rowOff>
    </xdr:to>
    <xdr:graphicFrame>
      <xdr:nvGraphicFramePr>
        <xdr:cNvPr id="4" name="图表 3"/>
        <xdr:cNvGraphicFramePr/>
      </xdr:nvGraphicFramePr>
      <xdr:xfrm>
        <a:off x="1591945" y="976630"/>
        <a:ext cx="5621655" cy="446024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</xdr:row>
          <xdr:rowOff>9525</xdr:rowOff>
        </xdr:from>
        <xdr:to>
          <xdr:col>16383</xdr:col>
          <xdr:colOff>9525</xdr:colOff>
          <xdr:row>3</xdr:row>
          <xdr:rowOff>9525</xdr:rowOff>
        </xdr:to>
        <xdr:sp>
          <xdr:nvSpPr>
            <xdr:cNvPr id="1031" name="GetTim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6438900" y="695960"/>
              <a:ext cx="809625" cy="25527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635</xdr:colOff>
      <xdr:row>3</xdr:row>
      <xdr:rowOff>26035</xdr:rowOff>
    </xdr:from>
    <xdr:to>
      <xdr:col>7</xdr:col>
      <xdr:colOff>786130</xdr:colOff>
      <xdr:row>16</xdr:row>
      <xdr:rowOff>257175</xdr:rowOff>
    </xdr:to>
    <xdr:graphicFrame>
      <xdr:nvGraphicFramePr>
        <xdr:cNvPr id="3" name="图表 2"/>
        <xdr:cNvGraphicFramePr/>
      </xdr:nvGraphicFramePr>
      <xdr:xfrm>
        <a:off x="635" y="883285"/>
        <a:ext cx="6452870" cy="37077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>
          <xdr:nvSpPr>
            <xdr:cNvPr id="2050" name="GetTime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4857750" y="0"/>
              <a:ext cx="1619250" cy="2857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2" name="图片 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3" name="图片 2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4" name="图片 3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5" name="图片 4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6" name="图片 5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7" name="图片 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8" name="图片 7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9" name="图片 8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10" name="图片 9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11" name="图片 10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12" name="图片 11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13" name="图片 12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14" name="图片 13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15" name="图片 1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16" name="图片 15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17" name="图片 16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18" name="图片 17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19" name="图片 18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20" name="图片 19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21" name="图片 20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22" name="图片 21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23" name="图片 22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24" name="图片 23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25" name="图片 24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26" name="图片 25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27" name="图片 26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28" name="图片 27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29" name="图片 28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30" name="图片 29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31" name="图片 30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32" name="图片 31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33" name="图片 32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34" name="图片 33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35" name="图片 34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36" name="图片 35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37" name="图片 36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38" name="图片 37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39" name="图片 38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40" name="图片 39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41" name="图片 40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42" name="图片 41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43" name="图片 42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44" name="图片 43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45" name="图片 44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46" name="图片 45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47" name="图片 46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48" name="图片 47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49" name="图片 4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50" name="图片 49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51" name="图片 50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52" name="图片 51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53" name="图片 52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54" name="图片 53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55" name="图片 54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56" name="图片 55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57" name="图片 56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58" name="图片 5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59" name="图片 58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60" name="图片 59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61" name="图片 60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62" name="图片 61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63" name="图片 62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64" name="图片 63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65" name="图片 64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66" name="图片 65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67" name="图片 66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68" name="图片 67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69" name="图片 68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70" name="图片 69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71" name="图片 70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72" name="图片 71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73" name="图片 72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74" name="图片 73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75" name="图片 74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76" name="图片 75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77" name="图片 76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78" name="图片 7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79" name="图片 78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80" name="图片 79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81" name="图片 80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82" name="图片 81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83" name="图片 82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84" name="图片 83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85" name="图片 84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86" name="图片 85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87" name="图片 86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88" name="图片 87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89" name="图片 88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90" name="图片 89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91" name="图片 9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92" name="图片 91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93" name="图片 9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94" name="图片 93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95" name="图片 94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96" name="图片 95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97" name="图片 96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98" name="图片 97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99" name="图片 98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100" name="图片 99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101" name="图片 100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102" name="图片 101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103" name="图片 102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104" name="图片 103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105" name="图片 104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106" name="图片 105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107" name="图片 106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108" name="图片 107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109" name="图片 108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110" name="图片 109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111" name="图片 110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112" name="图片 111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113" name="图片 112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114" name="图片 113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115" name="图片 114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116" name="图片 11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117" name="图片 116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118" name="图片 117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119" name="图片 118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120" name="图片 119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121" name="图片 120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122" name="图片 121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123" name="图片 122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124" name="图片 123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125" name="图片 124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126" name="图片 125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127" name="图片 12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128" name="图片 127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129" name="图片 128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130" name="图片 12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131" name="图片 130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132" name="图片 13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133" name="图片 132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134" name="图片 133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135" name="图片 134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136" name="图片 135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137" name="图片 136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138" name="图片 137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139" name="图片 138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140" name="图片 139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141" name="图片 140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142" name="图片 141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143" name="图片 142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144" name="图片 143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145" name="图片 144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146" name="图片 145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147" name="图片 146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148" name="图片 147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149" name="图片 148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150" name="图片 149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151" name="图片 150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152" name="图片 151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153" name="图片 152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154" name="图片 153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155" name="图片 154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156" name="图片 155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157" name="图片 156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158" name="图片 157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159" name="图片 158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160" name="图片 159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161" name="图片 160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162" name="图片 161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163" name="图片 16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164" name="图片 163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165" name="图片 164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166" name="图片 165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167" name="图片 166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168" name="图片 167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169" name="图片 168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170" name="图片 16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171" name="图片 170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172" name="图片 171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173" name="图片 172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174" name="图片 173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175" name="图片 174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176" name="图片 175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177" name="图片 176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178" name="图片 177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179" name="图片 178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180" name="图片 179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181" name="图片 180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182" name="图片 181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183" name="图片 182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184" name="图片 183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185" name="图片 184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186" name="图片 18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187" name="图片 186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188" name="图片 187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189" name="图片 188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190" name="图片 189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191" name="图片 190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192" name="图片 191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193" name="图片 192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194" name="图片 193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195" name="图片 194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196" name="图片 195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197" name="图片 196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198" name="图片 197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199" name="图片 198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200" name="图片 199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201" name="图片 20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202" name="图片 201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203" name="图片 202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204" name="图片 203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205" name="图片 204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206" name="图片 20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207" name="图片 206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208" name="图片 207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209" name="图片 208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210" name="图片 209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211" name="图片 210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212" name="图片 211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213" name="图片 212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214" name="图片 21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215" name="图片 214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216" name="图片 215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217" name="图片 216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218" name="图片 217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219" name="图片 218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220" name="图片 219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221" name="图片 220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222" name="图片 221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223" name="图片 222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224" name="图片 223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225" name="图片 224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226" name="图片 225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227" name="图片 226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228" name="图片 227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229" name="图片 228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230" name="图片 229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231" name="图片 230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232" name="图片 231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233" name="图片 232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234" name="图片 233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235" name="图片 234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236" name="图片 235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237" name="图片 236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238" name="图片 237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239" name="图片 238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240" name="图片 239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241" name="图片 240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242" name="图片 241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243" name="图片 242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244" name="图片 243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245" name="图片 244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246" name="图片 245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247" name="图片 246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248" name="图片 24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249" name="图片 248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250" name="图片 249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251" name="图片 250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252" name="图片 251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253" name="图片 252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254" name="图片 253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255" name="图片 254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256" name="图片 255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257" name="图片 25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258" name="图片 257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259" name="图片 258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260" name="图片 259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261" name="图片 260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262" name="图片 261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263" name="图片 262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264" name="图片 263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265" name="图片 264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266" name="图片 265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267" name="图片 266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268" name="图片 267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269" name="图片 268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270" name="图片 269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271" name="图片 270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272" name="图片 271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273" name="图片 272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274" name="图片 273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275" name="图片 274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276" name="图片 275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277" name="图片 27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278" name="图片 277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279" name="图片 278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280" name="图片 279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281" name="图片 280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282" name="图片 281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283" name="图片 282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284" name="图片 283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285" name="图片 284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286" name="图片 285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287" name="图片 286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288" name="图片 287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289" name="图片 288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290" name="图片 28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291" name="图片 290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292" name="图片 29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293" name="图片 292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294" name="图片 293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295" name="图片 294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296" name="图片 295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297" name="图片 296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298" name="图片 297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299" name="图片 298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300" name="图片 299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301" name="图片 300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302" name="图片 301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303" name="图片 302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304" name="图片 303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305" name="图片 304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306" name="图片 305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307" name="图片 306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308" name="图片 307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309" name="图片 308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310" name="图片 309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311" name="图片 310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312" name="图片 311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313" name="图片 312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314" name="图片 313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315" name="图片 31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316" name="图片 315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317" name="图片 316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318" name="图片 317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319" name="图片 318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320" name="图片 319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321" name="图片 320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322" name="图片 321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323" name="图片 322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324" name="图片 323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325" name="图片 324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326" name="图片 32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327" name="图片 326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328" name="图片 327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329" name="图片 32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330" name="图片 329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331" name="图片 33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332" name="图片 331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333" name="图片 332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334" name="图片 333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335" name="图片 334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336" name="图片 335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337" name="图片 336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338" name="图片 337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339" name="图片 338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340" name="图片 339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341" name="图片 340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342" name="图片 341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343" name="图片 342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344" name="图片 343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345" name="图片 344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346" name="图片 345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347" name="图片 346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348" name="图片 347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349" name="图片 348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350" name="图片 349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351" name="图片 350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352" name="图片 351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353" name="图片 352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354" name="图片 353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355" name="图片 354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356" name="图片 355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357" name="图片 356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358" name="图片 357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359" name="图片 358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360" name="图片 359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361" name="图片 360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362" name="图片 36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363" name="图片 362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364" name="图片 363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365" name="图片 364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366" name="图片 365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367" name="图片 366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368" name="图片 367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369" name="图片 36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370" name="图片 369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371" name="图片 370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372" name="图片 371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373" name="图片 372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374" name="图片 373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375" name="图片 374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376" name="图片 375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377" name="图片 376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378" name="图片 377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379" name="图片 378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380" name="图片 379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381" name="图片 380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382" name="图片 381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383" name="图片 382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384" name="图片 383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385" name="图片 38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386" name="图片 385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387" name="图片 386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388" name="图片 387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389" name="图片 388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390" name="图片 389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391" name="图片 390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392" name="图片 391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393" name="图片 392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394" name="图片 393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395" name="图片 394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396" name="图片 395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397" name="图片 396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398" name="图片 397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399" name="图片 398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400" name="图片 39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401" name="图片 400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402" name="图片 401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403" name="图片 402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404" name="图片 403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405" name="图片 40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406" name="图片 405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407" name="图片 406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408" name="图片 407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409" name="图片 408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410" name="图片 409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411" name="图片 410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412" name="图片 411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413" name="图片 41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414" name="图片 413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415" name="图片 414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416" name="图片 415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417" name="图片 416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418" name="图片 417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419" name="图片 418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420" name="图片 419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421" name="图片 420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422" name="图片 421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423" name="图片 422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424" name="图片 423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425" name="图片 424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426" name="图片 425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427" name="图片 426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428" name="图片 427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429" name="图片 428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430" name="图片 429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431" name="图片 430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432" name="图片 431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433" name="图片 432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434" name="图片 433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435" name="图片 434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436" name="图片 435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437" name="图片 436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438" name="图片 437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439" name="图片 438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440" name="图片 439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441" name="图片 440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442" name="图片 441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443" name="图片 442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444" name="图片 443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445" name="图片 444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446" name="图片 445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447" name="图片 44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448" name="图片 447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449" name="图片 448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450" name="图片 449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451" name="图片 450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452" name="图片 451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453" name="图片 452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454" name="图片 453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455" name="图片 454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456" name="图片 45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457" name="图片 456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458" name="图片 457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459" name="图片 458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460" name="图片 459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461" name="图片 460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462" name="图片 461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463" name="图片 462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464" name="图片 463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465" name="图片 464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466" name="图片 465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467" name="图片 466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468" name="图片 467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469" name="图片 468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470" name="图片 469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471" name="图片 470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472" name="图片 471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473" name="图片 472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474" name="图片 473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475" name="图片 474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476" name="图片 47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477" name="图片 476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478" name="图片 477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479" name="图片 478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480" name="图片 479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481" name="图片 480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482" name="图片 481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483" name="图片 482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484" name="图片 483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485" name="图片 484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486" name="图片 485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487" name="图片 486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488" name="图片 487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489" name="图片 48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490" name="图片 489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491" name="图片 49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492" name="图片 491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493" name="图片 492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494" name="图片 493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495" name="图片 494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496" name="图片 495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497" name="图片 496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498" name="图片 497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499" name="图片 498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500" name="图片 499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501" name="图片 500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502" name="图片 501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503" name="图片 502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504" name="图片 503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505" name="图片 504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506" name="图片 505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507" name="图片 506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508" name="图片 507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509" name="图片 508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510" name="图片 509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511" name="图片 510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512" name="图片 511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513" name="图片 512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514" name="图片 51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515" name="图片 514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516" name="图片 515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517" name="图片 516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518" name="图片 517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519" name="图片 518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520" name="图片 519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521" name="图片 520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522" name="图片 521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523" name="图片 522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524" name="图片 523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525" name="图片 52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526" name="图片 525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527" name="图片 526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528" name="图片 52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529" name="图片 528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530" name="图片 52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531" name="图片 530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532" name="图片 531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533" name="图片 532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534" name="图片 533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535" name="图片 534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536" name="图片 535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537" name="图片 536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538" name="图片 537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539" name="图片 538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540" name="图片 539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541" name="图片 540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542" name="图片 541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543" name="图片 542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544" name="图片 543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545" name="图片 544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546" name="图片 545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547" name="图片 546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548" name="图片 547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549" name="图片 548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550" name="图片 549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551" name="图片 550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552" name="图片 551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553" name="图片 552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554" name="图片 553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555" name="图片 554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556" name="图片 555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557" name="图片 556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558" name="图片 557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559" name="图片 558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560" name="图片 559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561" name="图片 56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562" name="图片 561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563" name="图片 562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564" name="图片 563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565" name="图片 564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566" name="图片 565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567" name="图片 566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568" name="图片 56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569" name="图片 568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570" name="图片 569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571" name="图片 570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572" name="图片 571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573" name="图片 572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574" name="图片 573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575" name="图片 574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576" name="图片 575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577" name="图片 576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578" name="图片 577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579" name="图片 578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580" name="图片 579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581" name="图片 580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582" name="图片 581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583" name="图片 582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584" name="图片 58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585" name="图片 584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586" name="图片 585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587" name="图片 586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588" name="图片 587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589" name="图片 588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590" name="图片 589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591" name="图片 590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592" name="图片 591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593" name="图片 592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594" name="图片 593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595" name="图片 594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596" name="图片 595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597" name="图片 596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598" name="图片 597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599" name="图片 59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600" name="图片 599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601" name="图片 600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602" name="图片 601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603" name="图片 602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604" name="图片 60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605" name="图片 604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606" name="图片 605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607" name="图片 606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608" name="图片 607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609" name="图片 608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610" name="图片 609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611" name="图片 610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612" name="图片 61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613" name="图片 612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614" name="图片 613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615" name="图片 614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616" name="图片 615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617" name="图片 616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618" name="图片 617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619" name="图片 618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620" name="图片 619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621" name="图片 620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622" name="图片 621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623" name="图片 622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624" name="图片 623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625" name="图片 624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626" name="图片 625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627" name="图片 626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628" name="图片 627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629" name="图片 628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630" name="图片 629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631" name="图片 630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632" name="图片 631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633" name="图片 632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634" name="图片 633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635" name="图片 634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636" name="图片 635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637" name="图片 636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638" name="图片 637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639" name="图片 638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640" name="图片 639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641" name="图片 640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642" name="图片 641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643" name="图片 642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644" name="图片 643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645" name="图片 644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646" name="图片 64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647" name="图片 646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648" name="图片 647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649" name="图片 648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650" name="图片 649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651" name="图片 650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652" name="图片 651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653" name="图片 652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654" name="图片 653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655" name="图片 65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656" name="图片 655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657" name="图片 656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658" name="图片 657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659" name="图片 658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660" name="图片 659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661" name="图片 660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662" name="图片 661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663" name="图片 662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664" name="图片 663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665" name="图片 664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666" name="图片 665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667" name="图片 666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668" name="图片 667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669" name="图片 668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670" name="图片 669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671" name="图片 670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672" name="图片 671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673" name="图片 672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674" name="图片 673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675" name="图片 67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676" name="图片 675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677" name="图片 676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678" name="图片 677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679" name="图片 678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680" name="图片 679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681" name="图片 680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682" name="图片 681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683" name="图片 682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684" name="图片 683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685" name="图片 684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686" name="图片 685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687" name="图片 686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688" name="图片 68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689" name="图片 688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690" name="图片 68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691" name="图片 690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692" name="图片 691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693" name="图片 692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694" name="图片 693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695" name="图片 694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696" name="图片 695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697" name="图片 696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698" name="图片 697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699" name="图片 698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700" name="图片 699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701" name="图片 700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702" name="图片 701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703" name="图片 702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704" name="图片 703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705" name="图片 704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706" name="图片 705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707" name="图片 706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708" name="图片 707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709" name="图片 708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710" name="图片 709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711" name="图片 710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712" name="图片 711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713" name="图片 71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714" name="图片 713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715" name="图片 714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716" name="图片 715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717" name="图片 716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718" name="图片 717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719" name="图片 718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720" name="图片 719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721" name="图片 720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722" name="图片 721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723" name="图片 722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724" name="图片 72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725" name="图片 724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726" name="图片 725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727" name="图片 72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728" name="图片 727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729" name="图片 72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730" name="图片 729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731" name="图片 730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732" name="图片 731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733" name="图片 732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734" name="图片 733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735" name="图片 734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736" name="图片 735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737" name="图片 736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738" name="图片 737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739" name="图片 738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740" name="图片 739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741" name="图片 740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742" name="图片 741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743" name="图片 742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744" name="图片 743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745" name="图片 744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746" name="图片 745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747" name="图片 746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748" name="图片 747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749" name="图片 748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750" name="图片 749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751" name="图片 750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752" name="图片 751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753" name="图片 752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754" name="图片 753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755" name="图片 754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756" name="图片 755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757" name="图片 756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758" name="图片 757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759" name="图片 758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760" name="图片 75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761" name="图片 760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762" name="图片 761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763" name="图片 762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764" name="图片 763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765" name="图片 764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766" name="图片 765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767" name="图片 76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768" name="图片 767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769" name="图片 768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770" name="图片 769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771" name="图片 770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772" name="图片 771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773" name="图片 772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774" name="图片 773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775" name="图片 774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776" name="图片 775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777" name="图片 776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778" name="图片 777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779" name="图片 778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780" name="图片 779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781" name="图片 780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782" name="图片 781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783" name="图片 78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784" name="图片 783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785" name="图片 784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786" name="图片 785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787" name="图片 786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788" name="图片 787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789" name="图片 788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790" name="图片 789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791" name="图片 790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792" name="图片 791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793" name="图片 792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794" name="图片 793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795" name="图片 794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796" name="图片 795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797" name="图片 796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798" name="图片 79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799" name="图片 798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800" name="图片 799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801" name="图片 800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802" name="图片 801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803" name="图片 80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804" name="图片 803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805" name="图片 804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806" name="图片 805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807" name="图片 806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808" name="图片 807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809" name="图片 808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810" name="图片 809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811" name="图片 81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812" name="图片 811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813" name="图片 812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814" name="图片 813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815" name="图片 814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816" name="图片 815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817" name="图片 816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818" name="图片 817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819" name="图片 818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820" name="图片 819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821" name="图片 820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822" name="图片 821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823" name="图片 822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824" name="图片 823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825" name="图片 824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826" name="图片 825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827" name="图片 826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828" name="图片 827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829" name="图片 828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830" name="图片 829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831" name="图片 830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832" name="图片 831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833" name="图片 832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834" name="图片 833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835" name="图片 834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836" name="图片 835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837" name="图片 836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838" name="图片 837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839" name="图片 838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840" name="图片 839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841" name="图片 840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842" name="图片 841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843" name="图片 842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844" name="图片 843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845" name="图片 84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846" name="图片 845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847" name="图片 846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848" name="图片 847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849" name="图片 848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850" name="图片 849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851" name="图片 850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852" name="图片 851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853" name="图片 852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854" name="图片 85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855" name="图片 854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856" name="图片 855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857" name="图片 856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858" name="图片 857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859" name="图片 858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860" name="图片 859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861" name="图片 860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862" name="图片 861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863" name="图片 862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864" name="图片 863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865" name="图片 864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866" name="图片 865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867" name="图片 866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868" name="图片 867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869" name="图片 868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870" name="图片 869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871" name="图片 870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872" name="图片 871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873" name="图片 872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874" name="图片 87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875" name="图片 874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876" name="图片 875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877" name="图片 876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878" name="图片 877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879" name="图片 878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880" name="图片 879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881" name="图片 880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882" name="图片 881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883" name="图片 882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884" name="图片 883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885" name="图片 884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886" name="图片 885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887" name="图片 88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888" name="图片 887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889" name="图片 88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890" name="图片 889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891" name="图片 890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892" name="图片 891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893" name="图片 892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894" name="图片 893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895" name="图片 894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896" name="图片 895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897" name="图片 896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898" name="图片 897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899" name="图片 898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900" name="图片 899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901" name="图片 900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902" name="图片 901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903" name="图片 902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904" name="图片 903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905" name="图片 904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906" name="图片 905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907" name="图片 906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908" name="图片 907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909" name="图片 908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910" name="图片 909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911" name="图片 910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912" name="图片 91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913" name="图片 912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914" name="图片 913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915" name="图片 914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916" name="图片 915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917" name="图片 916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918" name="图片 917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919" name="图片 918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920" name="图片 919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921" name="图片 920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922" name="图片 921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923" name="图片 92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924" name="图片 923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925" name="图片 924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926" name="图片 92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927" name="图片 926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928" name="图片 92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929" name="图片 928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930" name="图片 929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931" name="图片 930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932" name="图片 931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933" name="图片 932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934" name="图片 933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935" name="图片 934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936" name="图片 935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937" name="图片 936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938" name="图片 937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939" name="图片 938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940" name="图片 939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941" name="图片 940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942" name="图片 941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943" name="图片 942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944" name="图片 943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945" name="图片 944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946" name="图片 945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947" name="图片 946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948" name="图片 947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949" name="图片 948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950" name="图片 949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951" name="图片 950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952" name="图片 951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953" name="图片 952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954" name="图片 953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955" name="图片 954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956" name="图片 955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957" name="图片 956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958" name="图片 957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959" name="图片 95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960" name="图片 959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961" name="图片 960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962" name="图片 961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963" name="图片 962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964" name="图片 963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965" name="图片 964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966" name="图片 96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967" name="图片 966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968" name="图片 967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969" name="图片 968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970" name="图片 969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971" name="图片 970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972" name="图片 971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973" name="图片 972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974" name="图片 973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975" name="图片 974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976" name="图片 975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977" name="图片 976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978" name="图片 977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979" name="图片 978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980" name="图片 979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981" name="图片 980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982" name="图片 98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983" name="图片 982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984" name="图片 983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985" name="图片 984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986" name="图片 985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987" name="图片 986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988" name="图片 987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989" name="图片 988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990" name="图片 989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991" name="图片 990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992" name="图片 991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993" name="图片 992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994" name="图片 993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995" name="图片 994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996" name="图片 995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997" name="图片 99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998" name="图片 997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999" name="图片 998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1000" name="图片 999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1001" name="图片 1000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1002" name="图片 100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1003" name="图片 1002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1004" name="图片 1003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1005" name="图片 1004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1006" name="图片 1005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1007" name="图片 1006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1008" name="图片 1007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1009" name="图片 1008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1010" name="图片 100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1011" name="图片 1010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1012" name="图片 1011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1013" name="图片 1012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1014" name="图片 1013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1015" name="图片 1014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1016" name="图片 1015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1017" name="图片 1016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1018" name="图片 1017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1019" name="图片 1018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1020" name="图片 1019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1021" name="图片 1020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1022" name="图片 1021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1023" name="图片 1022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1024" name="图片 1023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1025" name="图片 1024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1026" name="图片 1025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1027" name="图片 1026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1028" name="图片 1027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1029" name="图片 1028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1030" name="图片 1029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1031" name="图片 1030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1032" name="图片 1031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1033" name="图片 1032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1034" name="图片 1033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1035" name="图片 1034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1036" name="图片 1035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1037" name="图片 1036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1038" name="图片 1037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1039" name="图片 1038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1040" name="图片 1039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1041" name="图片 1040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1042" name="图片 1041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1043" name="图片 1042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1044" name="图片 104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1045" name="图片 1044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1046" name="图片 1045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1047" name="图片 1046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1048" name="图片 1047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1049" name="图片 1048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1050" name="图片 1049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1051" name="图片 1050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1052" name="图片 1051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1053" name="图片 105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1054" name="图片 1053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1055" name="图片 1054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1056" name="图片 1055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1057" name="图片 1056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1058" name="图片 1057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1059" name="图片 1058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1060" name="图片 1059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1061" name="图片 1060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1062" name="图片 1061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1063" name="图片 1062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1064" name="图片 1063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1065" name="图片 1064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1066" name="图片 1065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1067" name="图片 1066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1068" name="图片 1067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1069" name="图片 1068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1070" name="图片 1069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1071" name="图片 1070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1072" name="图片 1071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1073" name="图片 107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1074" name="图片 1073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1075" name="图片 1074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1076" name="图片 1075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1077" name="图片 1076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1078" name="图片 1077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1079" name="图片 1078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1080" name="图片 1079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1081" name="图片 1080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1082" name="图片 1081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1083" name="图片 1082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1084" name="图片 1083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1085" name="图片 1084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1086" name="图片 108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1087" name="图片 1086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1088" name="图片 108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1089" name="图片 1088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1090" name="图片 1089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1091" name="图片 1090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1092" name="图片 1091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1093" name="图片 1092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1094" name="图片 1093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1095" name="图片 1094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1096" name="图片 1095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1097" name="图片 1096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1098" name="图片 1097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1099" name="图片 1098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1100" name="图片 1099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1101" name="图片 1100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1102" name="图片 1101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1103" name="图片 1102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1104" name="图片 1103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1105" name="图片 1104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1106" name="图片 1105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1107" name="图片 1106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1108" name="图片 1107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1109" name="图片 1108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1110" name="图片 1109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1111" name="图片 111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1112" name="图片 1111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1113" name="图片 1112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1114" name="图片 1113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1115" name="图片 1114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1116" name="图片 1115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1117" name="图片 1116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1118" name="图片 1117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1119" name="图片 1118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1120" name="图片 1119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1121" name="图片 1120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1122" name="图片 112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1123" name="图片 1122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1124" name="图片 1123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1125" name="图片 112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1126" name="图片 1125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1127" name="图片 112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1128" name="图片 1127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1129" name="图片 1128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1130" name="图片 1129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1131" name="图片 1130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1132" name="图片 1131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1133" name="图片 1132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1134" name="图片 1133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1135" name="图片 1134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1136" name="图片 1135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1137" name="图片 1136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1138" name="图片 1137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1139" name="图片 1138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1140" name="图片 1139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1141" name="图片 1140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1142" name="图片 1141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1143" name="图片 1142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1144" name="图片 1143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1145" name="图片 1144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1146" name="图片 1145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1147" name="图片 1146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1148" name="图片 1147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1149" name="图片 1148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1150" name="图片 1149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1151" name="图片 1150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1152" name="图片 1151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1153" name="图片 1152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1154" name="图片 1153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1155" name="图片 1154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1156" name="图片 1155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1157" name="图片 1156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1158" name="图片 115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1159" name="图片 1158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1160" name="图片 1159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1161" name="图片 1160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1162" name="图片 1161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1163" name="图片 1162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1164" name="图片 1163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1165" name="图片 116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1166" name="图片 1165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1167" name="图片 1166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1168" name="图片 1167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1169" name="图片 1168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1170" name="图片 1169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1171" name="图片 1170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1172" name="图片 1171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1173" name="图片 1172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1174" name="图片 1173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1175" name="图片 1174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1176" name="图片 1175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1177" name="图片 1176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1178" name="图片 1177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1179" name="图片 1178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1180" name="图片 1179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1181" name="图片 118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1182" name="图片 1181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1183" name="图片 1182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1184" name="图片 1183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1185" name="图片 1184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1186" name="图片 1185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1187" name="图片 1186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1188" name="图片 1187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1189" name="图片 1188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1190" name="图片 1189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1191" name="图片 1190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1192" name="图片 1191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1193" name="图片 1192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1194" name="图片 1193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1195" name="图片 1194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1196" name="图片 119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1197" name="图片 1196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1198" name="图片 1197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1199" name="图片 1198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1200" name="图片 1199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1201" name="图片 120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1202" name="图片 1201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1203" name="图片 1202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1204" name="图片 1203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1205" name="图片 1204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1206" name="图片 1205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1207" name="图片 1206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1208" name="图片 1207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1209" name="图片 120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1210" name="图片 1209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1211" name="图片 1210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1212" name="图片 1211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1213" name="图片 1212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1214" name="图片 1213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1215" name="图片 1214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1216" name="图片 1215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1217" name="图片 1216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1218" name="图片 1217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1219" name="图片 1218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1220" name="图片 1219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1221" name="图片 1220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1222" name="图片 1221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1223" name="图片 1222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1224" name="图片 1223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1225" name="图片 1224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1226" name="图片 1225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1227" name="图片 1226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1228" name="图片 1227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1229" name="图片 1228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1230" name="图片 1229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1231" name="图片 1230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1232" name="图片 1231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1233" name="图片 1232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1234" name="图片 1233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1235" name="图片 1234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1236" name="图片 1235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1237" name="图片 1236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1238" name="图片 1237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1239" name="图片 1238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1240" name="图片 1239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1241" name="图片 1240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1242" name="图片 1241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1243" name="图片 124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1244" name="图片 1243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1245" name="图片 1244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1246" name="图片 1245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1247" name="图片 1246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1248" name="图片 1247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1249" name="图片 1248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1250" name="图片 1249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1251" name="图片 1250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1252" name="图片 125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1253" name="图片 1252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1254" name="图片 1253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1255" name="图片 1254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1256" name="图片 1255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1257" name="图片 1256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1258" name="图片 1257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1259" name="图片 1258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1260" name="图片 1259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1261" name="图片 1260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1262" name="图片 1261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1263" name="图片 1262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1264" name="图片 1263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1265" name="图片 1264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1266" name="图片 1265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1267" name="图片 1266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1268" name="图片 1267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1269" name="图片 1268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1270" name="图片 1269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1271" name="图片 1270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1272" name="图片 127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1273" name="图片 1272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1274" name="图片 1273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1275" name="图片 1274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1276" name="图片 1275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1277" name="图片 1276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1278" name="图片 1277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1279" name="图片 1278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1280" name="图片 1279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1281" name="图片 1280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1282" name="图片 1281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1283" name="图片 1282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1284" name="图片 1283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1285" name="图片 128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1286" name="图片 1285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1287" name="图片 128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1288" name="图片 1287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1289" name="图片 1288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1290" name="图片 1289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1291" name="图片 1290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1292" name="图片 1291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1293" name="图片 1292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1294" name="图片 1293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1295" name="图片 1294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1296" name="图片 1295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1297" name="图片 1296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1298" name="图片 1297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1299" name="图片 1298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1300" name="图片 1299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1301" name="图片 1300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1302" name="图片 1301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1303" name="图片 1302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1304" name="图片 1303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1305" name="图片 1304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1306" name="图片 1305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1307" name="图片 1306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1308" name="图片 1307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1309" name="图片 1308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1310" name="图片 130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1311" name="图片 1310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1312" name="图片 1311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1313" name="图片 1312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1314" name="图片 1313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1315" name="图片 1314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1316" name="图片 1315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1317" name="图片 1316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1318" name="图片 1317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1319" name="图片 1318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1320" name="图片 1319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1321" name="图片 132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1322" name="图片 1321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1323" name="图片 1322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1324" name="图片 132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1325" name="图片 1324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1326" name="图片 132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1327" name="图片 1326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1328" name="图片 1327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1329" name="图片 1328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1330" name="图片 1329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1331" name="图片 1330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1332" name="图片 1331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1333" name="图片 1332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1334" name="图片 1333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1335" name="图片 1334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1336" name="图片 1335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1337" name="图片 1336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1338" name="图片 1337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1339" name="图片 1338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1340" name="图片 1339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1341" name="图片 1340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1342" name="图片 1341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1343" name="图片 1342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1344" name="图片 1343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1345" name="图片 1344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1346" name="图片 1345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1347" name="图片 1346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1348" name="图片 1347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1349" name="图片 1348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1350" name="图片 1349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1351" name="图片 1350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1352" name="图片 1351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1353" name="图片 1352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1354" name="图片 1353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1355" name="图片 1354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1356" name="图片 1355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1357" name="图片 135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1358" name="图片 1357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1359" name="图片 1358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1360" name="图片 1359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1361" name="图片 1360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1362" name="图片 1361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1363" name="图片 1362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1364" name="图片 136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1365" name="图片 1364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1366" name="图片 1365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1367" name="图片 1366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1368" name="图片 1367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1369" name="图片 1368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1370" name="图片 1369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1371" name="图片 1370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1372" name="图片 1371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1373" name="图片 1372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1374" name="图片 1373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1375" name="图片 1374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1376" name="图片 1375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1377" name="图片 1376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1378" name="图片 1377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1379" name="图片 1378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1380" name="图片 137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1381" name="图片 1380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1382" name="图片 1381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1383" name="图片 1382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1384" name="图片 1383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1385" name="图片 1384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1386" name="图片 1385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1387" name="图片 1386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1388" name="图片 1387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1389" name="图片 1388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1390" name="图片 1389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1391" name="图片 1390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1392" name="图片 1391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1393" name="图片 1392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1394" name="图片 1393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1395" name="图片 139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1396" name="图片 1395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1397" name="图片 1396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1398" name="图片 1397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1399" name="图片 1398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1400" name="图片 139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1401" name="图片 1400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1402" name="图片 1401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1403" name="图片 1402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1404" name="图片 1403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1405" name="图片 1404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1406" name="图片 1405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1407" name="图片 1406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1408" name="图片 140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1409" name="图片 1408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1410" name="图片 1409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1411" name="图片 1410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1412" name="图片 1411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1413" name="图片 1412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1414" name="图片 1413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1415" name="图片 1414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1416" name="图片 1415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1417" name="图片 1416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1418" name="图片 1417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1419" name="图片 1418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1420" name="图片 1419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1421" name="图片 1420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1422" name="图片 1421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1423" name="图片 1422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1424" name="图片 1423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1425" name="图片 1424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1426" name="图片 1425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1427" name="图片 1426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1428" name="图片 1427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1429" name="图片 1428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1430" name="图片 1429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1431" name="图片 1430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1432" name="图片 1431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1433" name="图片 1432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1434" name="图片 1433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1435" name="图片 1434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1436" name="图片 1435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1437" name="图片 1436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1438" name="图片 1437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1439" name="图片 1438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1440" name="图片 1439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1441" name="图片 1440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1442" name="图片 144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1443" name="图片 1442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1444" name="图片 1443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1445" name="图片 1444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1446" name="图片 1445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1447" name="图片 1446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1448" name="图片 1447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1449" name="图片 1448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1450" name="图片 1449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1451" name="图片 145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1452" name="图片 1451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1453" name="图片 1452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1454" name="图片 1453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1455" name="图片 1454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1456" name="图片 1455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1457" name="图片 1456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1458" name="图片 1457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1459" name="图片 1458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1460" name="图片 1459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1461" name="图片 1460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1462" name="图片 1461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1463" name="图片 1462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1464" name="图片 1463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1465" name="图片 1464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1466" name="图片 1465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1467" name="图片 1466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1468" name="图片 1467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1469" name="图片 1468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1470" name="图片 1469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1471" name="图片 147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1472" name="图片 1471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1473" name="图片 1472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1474" name="图片 1473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1475" name="图片 1474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1476" name="图片 1475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1477" name="图片 1476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1478" name="图片 1477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1479" name="图片 1478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1480" name="图片 1479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1481" name="图片 1480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1482" name="图片 1481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1483" name="图片 1482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1484" name="图片 148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1485" name="图片 1484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1486" name="图片 148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1487" name="图片 1486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1488" name="图片 1487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1489" name="图片 1488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1490" name="图片 1489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1491" name="图片 1490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1492" name="图片 1491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1493" name="图片 1492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1494" name="图片 1493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1495" name="图片 1494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1496" name="图片 1495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1497" name="图片 1496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1498" name="图片 1497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1499" name="图片 1498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1500" name="图片 1499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1501" name="图片 1500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1502" name="图片 1501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1503" name="图片 1502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1504" name="图片 1503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1505" name="图片 1504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1506" name="图片 1505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1507" name="图片 1506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1508" name="图片 1507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1509" name="图片 150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1510" name="图片 1509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1511" name="图片 1510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1512" name="图片 1511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1513" name="图片 1512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1514" name="图片 1513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1515" name="图片 1514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1516" name="图片 1515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1517" name="图片 1516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1518" name="图片 1517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1519" name="图片 1518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1520" name="图片 151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1521" name="图片 1520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1522" name="图片 1521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1523" name="图片 152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1524" name="图片 1523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1525" name="图片 152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1526" name="图片 1525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1527" name="图片 1526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1528" name="图片 1527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1529" name="图片 1528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1530" name="图片 1529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1531" name="图片 1530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1532" name="图片 1531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1533" name="图片 1532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1534" name="图片 1533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1535" name="图片 1534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1536" name="图片 1535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1537" name="图片 1536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1538" name="图片 1537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1539" name="图片 1538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1540" name="图片 1539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1541" name="图片 1540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1542" name="图片 1541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1543" name="图片 1542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1544" name="图片 1543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1545" name="图片 1544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1546" name="图片 1545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1547" name="图片 1546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1548" name="图片 1547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1549" name="图片 1548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1550" name="图片 1549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1551" name="图片 1550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1552" name="图片 1551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1553" name="图片 1552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1554" name="图片 1553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1555" name="图片 1554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1556" name="图片 155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1557" name="图片 1556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1558" name="图片 1557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1559" name="图片 1558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1560" name="图片 1559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1561" name="图片 1560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1562" name="图片 1561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1563" name="图片 156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1564" name="图片 1563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1565" name="图片 1564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1566" name="图片 1565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1567" name="图片 1566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1568" name="图片 1567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1569" name="图片 1568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1570" name="图片 1569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1571" name="图片 1570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1572" name="图片 1571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1573" name="图片 1572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1574" name="图片 1573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1575" name="图片 1574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1576" name="图片 1575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1577" name="图片 1576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1578" name="图片 1577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1579" name="图片 157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1580" name="图片 1579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1581" name="图片 1580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1582" name="图片 1581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1583" name="图片 1582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1584" name="图片 1583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1585" name="图片 1584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1586" name="图片 1585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1587" name="图片 1586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1588" name="图片 1587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1589" name="图片 1588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1590" name="图片 1589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1591" name="图片 1590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1592" name="图片 1591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1593" name="图片 1592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1594" name="图片 159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1595" name="图片 1594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1596" name="图片 1595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1597" name="图片 1596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1598" name="图片 1597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1599" name="图片 159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1600" name="图片 1599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1601" name="图片 1600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1602" name="图片 1601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1603" name="图片 1602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1604" name="图片 1603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1605" name="图片 1604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1606" name="图片 1605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1607" name="图片 160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1608" name="图片 1607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1609" name="图片 1608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1610" name="图片 1609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1611" name="图片 1610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1612" name="图片 1611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1613" name="图片 1612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1614" name="图片 1613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1615" name="图片 1614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1616" name="图片 1615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1617" name="图片 1616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1618" name="图片 1617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1619" name="图片 1618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1620" name="图片 1619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1621" name="图片 1620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1622" name="图片 1621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1623" name="图片 1622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1624" name="图片 1623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1625" name="图片 1624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1626" name="图片 1625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1627" name="图片 1626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1628" name="图片 1627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1629" name="图片 1628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1630" name="图片 1629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1631" name="图片 1630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1632" name="图片 1631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1633" name="图片 1632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1634" name="图片 1633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1635" name="图片 1634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1636" name="图片 1635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1637" name="图片 1636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1638" name="图片 1637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1639" name="图片 1638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1640" name="图片 1639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1641" name="图片 164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1642" name="图片 1641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1643" name="图片 1642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1644" name="图片 1643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1645" name="图片 1644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1646" name="图片 1645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1647" name="图片 1646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1648" name="图片 1647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1649" name="图片 1648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1650" name="图片 164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1651" name="图片 1650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1652" name="图片 1651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1653" name="图片 1652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1654" name="图片 1653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1655" name="图片 1654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1656" name="图片 1655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1657" name="图片 1656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1658" name="图片 1657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1659" name="图片 1658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1660" name="图片 1659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1661" name="图片 1660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1662" name="图片 1661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1663" name="图片 1662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1664" name="图片 1663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1665" name="图片 1664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1666" name="图片 1665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1667" name="图片 1666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1668" name="图片 1667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1669" name="图片 1668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1670" name="图片 166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1671" name="图片 1670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1672" name="图片 1671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1673" name="图片 1672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1674" name="图片 1673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1675" name="图片 1674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1676" name="图片 1675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1677" name="图片 1676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1678" name="图片 1677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1679" name="图片 1678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1680" name="图片 1679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1681" name="图片 1680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1682" name="图片 1681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1683" name="图片 168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1684" name="图片 1683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1685" name="图片 168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1686" name="图片 1685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1687" name="图片 1686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1688" name="图片 1687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1689" name="图片 1688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1690" name="图片 1689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1691" name="图片 1690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1692" name="图片 1691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1693" name="图片 1692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1694" name="图片 1693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1695" name="图片 1694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1696" name="图片 1695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1697" name="图片 1696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1698" name="图片 1697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1699" name="图片 1698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1700" name="图片 1699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1701" name="图片 1700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1702" name="图片 1701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1703" name="图片 1702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1704" name="图片 1703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1705" name="图片 1704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1706" name="图片 1705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1707" name="图片 1706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1708" name="图片 170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1709" name="图片 1708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1710" name="图片 1709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1711" name="图片 1710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1712" name="图片 1711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1713" name="图片 1712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1714" name="图片 1713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1715" name="图片 1714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1716" name="图片 1715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1717" name="图片 1716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1718" name="图片 1717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1719" name="图片 171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1720" name="图片 1719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1721" name="图片 1720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1722" name="图片 172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1723" name="图片 1722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1724" name="图片 172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1725" name="图片 1724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1726" name="图片 1725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1727" name="图片 1726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1728" name="图片 1727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1729" name="图片 1728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1730" name="图片 1729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1731" name="图片 1730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1732" name="图片 1731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1733" name="图片 1732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1734" name="图片 1733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1735" name="图片 1734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1736" name="图片 1735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1737" name="图片 1736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1738" name="图片 1737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1739" name="图片 1738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1740" name="图片 1739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1741" name="图片 1740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1742" name="图片 1741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1743" name="图片 1742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1744" name="图片 1743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1745" name="图片 1744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1746" name="图片 1745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1747" name="图片 1746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1748" name="图片 1747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1749" name="图片 1748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1750" name="图片 1749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1751" name="图片 1750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1752" name="图片 1751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1753" name="图片 1752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1754" name="图片 1753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1755" name="图片 175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1756" name="图片 1755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1757" name="图片 1756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1758" name="图片 1757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1759" name="图片 1758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1760" name="图片 1759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1761" name="图片 1760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1762" name="图片 176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1763" name="图片 1762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1764" name="图片 1763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1765" name="图片 1764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1766" name="图片 1765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1767" name="图片 1766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1768" name="图片 1767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1769" name="图片 1768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1770" name="图片 1769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1771" name="图片 1770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1772" name="图片 1771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1773" name="图片 1772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1774" name="图片 1773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1775" name="图片 1774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1776" name="图片 1775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1777" name="图片 1776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1778" name="图片 177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1779" name="图片 1778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1780" name="图片 1779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1781" name="图片 1780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1782" name="图片 1781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1783" name="图片 1782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1784" name="图片 1783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1785" name="图片 1784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1786" name="图片 1785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1787" name="图片 1786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1788" name="图片 1787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1789" name="图片 1788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1790" name="图片 1789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1791" name="图片 1790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1792" name="图片 1791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1793" name="图片 179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1794" name="图片 1793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1795" name="图片 1794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1796" name="图片 1795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1797" name="图片 1796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1798" name="图片 179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1799" name="图片 1798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1800" name="图片 1799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1801" name="图片 1800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1802" name="图片 1801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1803" name="图片 1802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1804" name="图片 1803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1805" name="图片 1804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1806" name="图片 180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1807" name="图片 1806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1808" name="图片 1807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1809" name="图片 1808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1810" name="图片 1809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1811" name="图片 1810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1812" name="图片 1811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1813" name="图片 1812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1814" name="图片 1813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1815" name="图片 1814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1816" name="图片 1815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1817" name="图片 1816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1818" name="图片 1817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1819" name="图片 1818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1820" name="图片 1819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1821" name="图片 1820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1822" name="图片 1821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1823" name="图片 1822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1824" name="图片 1823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1825" name="图片 1824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1826" name="图片 1825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1827" name="图片 1826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1828" name="图片 1827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1829" name="图片 1828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1830" name="图片 1829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1831" name="图片 1830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1832" name="图片 1831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1833" name="图片 1832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1834" name="图片 1833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1835" name="图片 1834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1836" name="图片 1835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1837" name="图片 1836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1838" name="图片 1837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1839" name="图片 1838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1840" name="图片 183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1841" name="图片 1840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1842" name="图片 1841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1843" name="图片 1842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1844" name="图片 1843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1845" name="图片 1844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1846" name="图片 1845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1847" name="图片 1846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1848" name="图片 1847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1849" name="图片 184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1850" name="图片 1849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1851" name="图片 1850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1852" name="图片 1851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1853" name="图片 1852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1854" name="图片 1853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1855" name="图片 1854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1856" name="图片 1855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1857" name="图片 1856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1858" name="图片 1857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1859" name="图片 1858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1860" name="图片 1859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1861" name="图片 1860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1862" name="图片 1861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1863" name="图片 1862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1864" name="图片 1863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1865" name="图片 1864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1866" name="图片 1865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1867" name="图片 1866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1868" name="图片 1867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1869" name="图片 186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1870" name="图片 1869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1871" name="图片 1870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1872" name="图片 1871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1873" name="图片 1872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1874" name="图片 1873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1875" name="图片 1874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1876" name="图片 1875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1877" name="图片 1876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1878" name="图片 1877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1879" name="图片 1878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1880" name="图片 1879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1881" name="图片 1880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1882" name="图片 188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1883" name="图片 1882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1884" name="图片 188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1885" name="图片 1884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1886" name="图片 1885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1887" name="图片 1886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1888" name="图片 1887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1889" name="图片 1888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1890" name="图片 1889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1891" name="图片 1890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1892" name="图片 1891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1893" name="图片 1892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1894" name="图片 1893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1895" name="图片 1894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1896" name="图片 1895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1897" name="图片 1896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1898" name="图片 1897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1899" name="图片 1898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1900" name="图片 1899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1901" name="图片 1900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1902" name="图片 1901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1903" name="图片 1902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1904" name="图片 1903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1905" name="图片 1904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1906" name="图片 1905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1907" name="图片 190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1908" name="图片 1907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1909" name="图片 1908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1910" name="图片 1909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1911" name="图片 1910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1912" name="图片 1911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1913" name="图片 1912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1914" name="图片 1913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1915" name="图片 1914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1916" name="图片 1915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1917" name="图片 1916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1918" name="图片 191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1919" name="图片 1918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1920" name="图片 1919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1921" name="图片 192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1922" name="图片 1921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1923" name="图片 192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1924" name="图片 1923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1925" name="图片 1924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1926" name="图片 1925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1927" name="图片 1926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1928" name="图片 1927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1929" name="图片 1928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1930" name="图片 1929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1931" name="图片 1930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1932" name="图片 1931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1933" name="图片 1932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1934" name="图片 1933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1935" name="图片 1934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1936" name="图片 1935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1937" name="图片 1936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1938" name="图片 1937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1939" name="图片 1938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1940" name="图片 1939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1941" name="图片 1940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1942" name="图片 1941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1943" name="图片 1942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1944" name="图片 1943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1945" name="图片 1944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1946" name="图片 1945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1947" name="图片 1946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1948" name="图片 1947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1949" name="图片 1948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1950" name="图片 1949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1951" name="图片 1950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1952" name="图片 1951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1953" name="图片 1952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1954" name="图片 195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1955" name="图片 1954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1956" name="图片 1955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1957" name="图片 1956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1958" name="图片 1957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1959" name="图片 1958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1960" name="图片 1959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1961" name="图片 196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1962" name="图片 1961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1963" name="图片 1962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1964" name="图片 1963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1965" name="图片 1964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1966" name="图片 1965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1967" name="图片 1966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1968" name="图片 1967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1969" name="图片 1968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1970" name="图片 1969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1971" name="图片 1970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1972" name="图片 1971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1973" name="图片 1972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1974" name="图片 1973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1975" name="图片 1974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1976" name="图片 1975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1977" name="图片 197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1978" name="图片 1977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1979" name="图片 1978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1980" name="图片 1979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1981" name="图片 1980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1982" name="图片 1981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1983" name="图片 1982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1984" name="图片 1983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1985" name="图片 1984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1986" name="图片 1985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1987" name="图片 1986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1988" name="图片 1987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1989" name="图片 1988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1990" name="图片 1989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1991" name="图片 1990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1992" name="图片 199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1993" name="图片 1992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1994" name="图片 1993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1995" name="图片 1994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1996" name="图片 1995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1997" name="图片 199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1998" name="图片 1997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1999" name="图片 1998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2000" name="图片 1999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2001" name="图片 2000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2002" name="图片 2001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2003" name="图片 2002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2004" name="图片 2003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2005" name="图片 200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2006" name="图片 2005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2007" name="图片 2006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2008" name="图片 2007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2009" name="图片 2008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2010" name="图片 2009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2011" name="图片 2010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2012" name="图片 2011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2013" name="图片 2012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2014" name="图片 2013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2015" name="图片 2014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2016" name="图片 2015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2017" name="图片 2016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2018" name="图片 2017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2019" name="图片 2018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2020" name="图片 2019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2021" name="图片 2020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2022" name="图片 2021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2023" name="图片 2022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2024" name="图片 2023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2025" name="图片 2024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2026" name="图片 2025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2027" name="图片 2026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2028" name="图片 2027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2029" name="图片 2028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2030" name="图片 2029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2031" name="图片 2030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2032" name="图片 2031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2033" name="图片 2032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2034" name="图片 2033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2035" name="图片 2034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2036" name="图片 2035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2037" name="图片 2036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2038" name="图片 2037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2039" name="图片 203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2040" name="图片 2039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2041" name="图片 2040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2042" name="图片 2041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2043" name="图片 2042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2044" name="图片 2043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2045" name="图片 2044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2046" name="图片 2045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2047" name="图片 2046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2048" name="图片 204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2049" name="图片 2048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2050" name="图片 2049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2051" name="图片 2050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2052" name="图片 2051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2053" name="图片 2052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2054" name="图片 2053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2055" name="图片 2054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2056" name="图片 2055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2057" name="图片 2056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2058" name="图片 2057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2059" name="图片 2058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2060" name="图片 2059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2061" name="图片 2060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2062" name="图片 2061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2063" name="图片 2062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2064" name="图片 2063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2065" name="图片 2064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2066" name="图片 2065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2067" name="图片 2066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2068" name="图片 206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2069" name="图片 2068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2070" name="图片 2069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2071" name="图片 2070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2072" name="图片 2071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2073" name="图片 2072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2074" name="图片 2073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2075" name="图片 2074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2076" name="图片 2075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2077" name="图片 2076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2078" name="图片 2077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2079" name="图片 2078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2080" name="图片 2079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2081" name="图片 208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2082" name="图片 2081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2083" name="图片 208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2084" name="图片 2083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2085" name="图片 2084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2086" name="图片 2085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2087" name="图片 2086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2088" name="图片 2087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2089" name="图片 2088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2090" name="图片 2089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2091" name="图片 2090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2092" name="图片 2091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2093" name="图片 2092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2094" name="图片 2093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2095" name="图片 2094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2096" name="图片 2095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2097" name="图片 2096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2098" name="图片 2097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2099" name="图片 2098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2100" name="图片 2099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2101" name="图片 2100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2102" name="图片 2101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2103" name="图片 2102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2104" name="图片 2103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2105" name="图片 2104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2106" name="图片 210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2107" name="图片 2106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2108" name="图片 2107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2109" name="图片 2108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2110" name="图片 2109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2111" name="图片 2110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2112" name="图片 2111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2113" name="图片 2112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2114" name="图片 2113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2115" name="图片 2114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2116" name="图片 2115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2117" name="图片 211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2118" name="图片 2117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2119" name="图片 2118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2120" name="图片 211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2121" name="图片 2120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2122" name="图片 212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2123" name="图片 2122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2124" name="图片 2123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2125" name="图片 2124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2126" name="图片 2125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2127" name="图片 2126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2128" name="图片 2127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2129" name="图片 2128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2130" name="图片 2129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2131" name="图片 2130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2132" name="图片 2131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2133" name="图片 2132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2134" name="图片 2133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2135" name="图片 2134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2136" name="图片 2135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2137" name="图片 2136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2138" name="图片 2137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2139" name="图片 2138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2140" name="图片 2139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2141" name="图片 2140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2142" name="图片 2141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2143" name="图片 2142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2144" name="图片 2143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2145" name="图片 2144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2146" name="图片 2145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2147" name="图片 2146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2148" name="图片 2147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2149" name="图片 2148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2150" name="图片 2149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2151" name="图片 2150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2152" name="图片 2151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2153" name="图片 215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2154" name="图片 2153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2155" name="图片 2154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2156" name="图片 2155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2157" name="图片 2156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2158" name="图片 2157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2159" name="图片 2158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2160" name="图片 215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2161" name="图片 2160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2162" name="图片 2161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2163" name="图片 2162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2164" name="图片 2163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2165" name="图片 2164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2166" name="图片 2165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2167" name="图片 2166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2168" name="图片 2167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2169" name="图片 2168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2170" name="图片 2169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2171" name="图片 2170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2172" name="图片 2171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2173" name="图片 2172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2174" name="图片 2173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2175" name="图片 2174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2176" name="图片 217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2177" name="图片 2176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2178" name="图片 2177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2179" name="图片 2178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2180" name="图片 2179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2181" name="图片 2180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2182" name="图片 2181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2183" name="图片 2182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2184" name="图片 2183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2185" name="图片 2184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2186" name="图片 2185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2187" name="图片 2186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2188" name="图片 2187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2189" name="图片 2188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2190" name="图片 2189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172720</xdr:rowOff>
    </xdr:to>
    <xdr:pic>
      <xdr:nvPicPr>
        <xdr:cNvPr id="2191" name="图片 219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172720</xdr:rowOff>
    </xdr:to>
    <xdr:pic>
      <xdr:nvPicPr>
        <xdr:cNvPr id="2192" name="图片 2191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172720</xdr:rowOff>
    </xdr:to>
    <xdr:pic>
      <xdr:nvPicPr>
        <xdr:cNvPr id="2193" name="图片 2192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172720</xdr:rowOff>
    </xdr:to>
    <xdr:pic>
      <xdr:nvPicPr>
        <xdr:cNvPr id="2194" name="图片 2193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172720</xdr:rowOff>
    </xdr:to>
    <xdr:pic>
      <xdr:nvPicPr>
        <xdr:cNvPr id="2195" name="图片 2194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172720</xdr:rowOff>
    </xdr:to>
    <xdr:pic>
      <xdr:nvPicPr>
        <xdr:cNvPr id="2196" name="图片 219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172720</xdr:rowOff>
    </xdr:to>
    <xdr:pic>
      <xdr:nvPicPr>
        <xdr:cNvPr id="2197" name="图片 2196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172720</xdr:rowOff>
    </xdr:to>
    <xdr:pic>
      <xdr:nvPicPr>
        <xdr:cNvPr id="2198" name="图片 2197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172720</xdr:rowOff>
    </xdr:to>
    <xdr:pic>
      <xdr:nvPicPr>
        <xdr:cNvPr id="2199" name="图片 2198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172720</xdr:rowOff>
    </xdr:to>
    <xdr:pic>
      <xdr:nvPicPr>
        <xdr:cNvPr id="2200" name="图片 2199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172720</xdr:rowOff>
    </xdr:to>
    <xdr:pic>
      <xdr:nvPicPr>
        <xdr:cNvPr id="2201" name="图片 2200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172720</xdr:rowOff>
    </xdr:to>
    <xdr:pic>
      <xdr:nvPicPr>
        <xdr:cNvPr id="2202" name="图片 2201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172720</xdr:rowOff>
    </xdr:to>
    <xdr:pic>
      <xdr:nvPicPr>
        <xdr:cNvPr id="2203" name="图片 2202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172720</xdr:rowOff>
    </xdr:to>
    <xdr:pic>
      <xdr:nvPicPr>
        <xdr:cNvPr id="2204" name="图片 220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172720</xdr:rowOff>
    </xdr:to>
    <xdr:pic>
      <xdr:nvPicPr>
        <xdr:cNvPr id="2205" name="图片 2204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172720</xdr:rowOff>
    </xdr:to>
    <xdr:pic>
      <xdr:nvPicPr>
        <xdr:cNvPr id="2206" name="图片 2205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172720</xdr:rowOff>
    </xdr:to>
    <xdr:pic>
      <xdr:nvPicPr>
        <xdr:cNvPr id="2207" name="图片 2206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172720</xdr:rowOff>
    </xdr:to>
    <xdr:pic>
      <xdr:nvPicPr>
        <xdr:cNvPr id="2208" name="图片 2207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172720</xdr:rowOff>
    </xdr:to>
    <xdr:pic>
      <xdr:nvPicPr>
        <xdr:cNvPr id="2209" name="图片 2208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172720</xdr:rowOff>
    </xdr:to>
    <xdr:pic>
      <xdr:nvPicPr>
        <xdr:cNvPr id="2210" name="图片 2209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172720</xdr:rowOff>
    </xdr:to>
    <xdr:pic>
      <xdr:nvPicPr>
        <xdr:cNvPr id="2211" name="图片 2210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172720</xdr:rowOff>
    </xdr:to>
    <xdr:pic>
      <xdr:nvPicPr>
        <xdr:cNvPr id="2212" name="图片 2211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172720</xdr:rowOff>
    </xdr:to>
    <xdr:pic>
      <xdr:nvPicPr>
        <xdr:cNvPr id="2213" name="图片 2212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172720</xdr:rowOff>
    </xdr:to>
    <xdr:pic>
      <xdr:nvPicPr>
        <xdr:cNvPr id="2214" name="图片 2213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172720</xdr:rowOff>
    </xdr:to>
    <xdr:pic>
      <xdr:nvPicPr>
        <xdr:cNvPr id="2215" name="图片 2214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172720</xdr:rowOff>
    </xdr:to>
    <xdr:pic>
      <xdr:nvPicPr>
        <xdr:cNvPr id="2216" name="图片 2215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172720</xdr:rowOff>
    </xdr:to>
    <xdr:pic>
      <xdr:nvPicPr>
        <xdr:cNvPr id="2217" name="图片 2216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172720</xdr:rowOff>
    </xdr:to>
    <xdr:pic>
      <xdr:nvPicPr>
        <xdr:cNvPr id="2218" name="图片 2217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172720</xdr:rowOff>
    </xdr:to>
    <xdr:pic>
      <xdr:nvPicPr>
        <xdr:cNvPr id="2219" name="图片 2218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172720</xdr:rowOff>
    </xdr:to>
    <xdr:pic>
      <xdr:nvPicPr>
        <xdr:cNvPr id="2220" name="图片 2219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172720</xdr:rowOff>
    </xdr:to>
    <xdr:pic>
      <xdr:nvPicPr>
        <xdr:cNvPr id="2221" name="图片 2220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172720</xdr:rowOff>
    </xdr:to>
    <xdr:pic>
      <xdr:nvPicPr>
        <xdr:cNvPr id="2222" name="图片 2221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172720</xdr:rowOff>
    </xdr:to>
    <xdr:pic>
      <xdr:nvPicPr>
        <xdr:cNvPr id="2223" name="图片 2222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172720</xdr:rowOff>
    </xdr:to>
    <xdr:pic>
      <xdr:nvPicPr>
        <xdr:cNvPr id="2224" name="图片 2223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172720</xdr:rowOff>
    </xdr:to>
    <xdr:pic>
      <xdr:nvPicPr>
        <xdr:cNvPr id="2225" name="图片 2224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172720</xdr:rowOff>
    </xdr:to>
    <xdr:pic>
      <xdr:nvPicPr>
        <xdr:cNvPr id="2226" name="图片 2225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172720</xdr:rowOff>
    </xdr:to>
    <xdr:pic>
      <xdr:nvPicPr>
        <xdr:cNvPr id="2227" name="图片 2226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172720</xdr:rowOff>
    </xdr:to>
    <xdr:pic>
      <xdr:nvPicPr>
        <xdr:cNvPr id="2228" name="图片 2227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172720</xdr:rowOff>
    </xdr:to>
    <xdr:pic>
      <xdr:nvPicPr>
        <xdr:cNvPr id="2229" name="图片 2228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172720</xdr:rowOff>
    </xdr:to>
    <xdr:pic>
      <xdr:nvPicPr>
        <xdr:cNvPr id="2230" name="图片 2229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172720</xdr:rowOff>
    </xdr:to>
    <xdr:pic>
      <xdr:nvPicPr>
        <xdr:cNvPr id="2231" name="图片 2230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172720</xdr:rowOff>
    </xdr:to>
    <xdr:pic>
      <xdr:nvPicPr>
        <xdr:cNvPr id="2232" name="图片 2231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172720</xdr:rowOff>
    </xdr:to>
    <xdr:pic>
      <xdr:nvPicPr>
        <xdr:cNvPr id="2233" name="图片 2232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172720</xdr:rowOff>
    </xdr:to>
    <xdr:pic>
      <xdr:nvPicPr>
        <xdr:cNvPr id="2234" name="图片 2233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172720</xdr:rowOff>
    </xdr:to>
    <xdr:pic>
      <xdr:nvPicPr>
        <xdr:cNvPr id="2235" name="图片 2234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172720</xdr:rowOff>
    </xdr:to>
    <xdr:pic>
      <xdr:nvPicPr>
        <xdr:cNvPr id="2236" name="图片 2235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172720</xdr:rowOff>
    </xdr:to>
    <xdr:pic>
      <xdr:nvPicPr>
        <xdr:cNvPr id="2237" name="图片 2236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172720</xdr:rowOff>
    </xdr:to>
    <xdr:pic>
      <xdr:nvPicPr>
        <xdr:cNvPr id="2238" name="图片 223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172720</xdr:rowOff>
    </xdr:to>
    <xdr:pic>
      <xdr:nvPicPr>
        <xdr:cNvPr id="2239" name="图片 2238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172720</xdr:rowOff>
    </xdr:to>
    <xdr:pic>
      <xdr:nvPicPr>
        <xdr:cNvPr id="2240" name="图片 2239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172720</xdr:rowOff>
    </xdr:to>
    <xdr:pic>
      <xdr:nvPicPr>
        <xdr:cNvPr id="2241" name="图片 2240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172720</xdr:rowOff>
    </xdr:to>
    <xdr:pic>
      <xdr:nvPicPr>
        <xdr:cNvPr id="2242" name="图片 2241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172720</xdr:rowOff>
    </xdr:to>
    <xdr:pic>
      <xdr:nvPicPr>
        <xdr:cNvPr id="2243" name="图片 2242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172720</xdr:rowOff>
    </xdr:to>
    <xdr:pic>
      <xdr:nvPicPr>
        <xdr:cNvPr id="2244" name="图片 2243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172720</xdr:rowOff>
    </xdr:to>
    <xdr:pic>
      <xdr:nvPicPr>
        <xdr:cNvPr id="2245" name="图片 2244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172720</xdr:rowOff>
    </xdr:to>
    <xdr:pic>
      <xdr:nvPicPr>
        <xdr:cNvPr id="2246" name="图片 2245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172720</xdr:rowOff>
    </xdr:to>
    <xdr:pic>
      <xdr:nvPicPr>
        <xdr:cNvPr id="2247" name="图片 224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172720</xdr:rowOff>
    </xdr:to>
    <xdr:pic>
      <xdr:nvPicPr>
        <xdr:cNvPr id="2248" name="图片 2247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172720</xdr:rowOff>
    </xdr:to>
    <xdr:pic>
      <xdr:nvPicPr>
        <xdr:cNvPr id="2249" name="图片 2248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172720</xdr:rowOff>
    </xdr:to>
    <xdr:pic>
      <xdr:nvPicPr>
        <xdr:cNvPr id="2250" name="图片 2249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172720</xdr:rowOff>
    </xdr:to>
    <xdr:pic>
      <xdr:nvPicPr>
        <xdr:cNvPr id="2251" name="图片 2250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172720</xdr:rowOff>
    </xdr:to>
    <xdr:pic>
      <xdr:nvPicPr>
        <xdr:cNvPr id="2252" name="图片 2251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172720</xdr:rowOff>
    </xdr:to>
    <xdr:pic>
      <xdr:nvPicPr>
        <xdr:cNvPr id="2253" name="图片 2252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172720</xdr:rowOff>
    </xdr:to>
    <xdr:pic>
      <xdr:nvPicPr>
        <xdr:cNvPr id="2254" name="图片 2253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172720</xdr:rowOff>
    </xdr:to>
    <xdr:pic>
      <xdr:nvPicPr>
        <xdr:cNvPr id="2255" name="图片 2254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172720</xdr:rowOff>
    </xdr:to>
    <xdr:pic>
      <xdr:nvPicPr>
        <xdr:cNvPr id="2256" name="图片 2255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172720</xdr:rowOff>
    </xdr:to>
    <xdr:pic>
      <xdr:nvPicPr>
        <xdr:cNvPr id="2257" name="图片 2256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172720</xdr:rowOff>
    </xdr:to>
    <xdr:pic>
      <xdr:nvPicPr>
        <xdr:cNvPr id="2258" name="图片 2257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172720</xdr:rowOff>
    </xdr:to>
    <xdr:pic>
      <xdr:nvPicPr>
        <xdr:cNvPr id="2259" name="图片 2258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172720</xdr:rowOff>
    </xdr:to>
    <xdr:pic>
      <xdr:nvPicPr>
        <xdr:cNvPr id="2260" name="图片 2259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172720</xdr:rowOff>
    </xdr:to>
    <xdr:pic>
      <xdr:nvPicPr>
        <xdr:cNvPr id="2261" name="图片 2260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172720</xdr:rowOff>
    </xdr:to>
    <xdr:pic>
      <xdr:nvPicPr>
        <xdr:cNvPr id="2262" name="图片 2261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172720</xdr:rowOff>
    </xdr:to>
    <xdr:pic>
      <xdr:nvPicPr>
        <xdr:cNvPr id="2263" name="图片 2262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172720</xdr:rowOff>
    </xdr:to>
    <xdr:pic>
      <xdr:nvPicPr>
        <xdr:cNvPr id="2264" name="图片 2263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172720</xdr:rowOff>
    </xdr:to>
    <xdr:pic>
      <xdr:nvPicPr>
        <xdr:cNvPr id="2265" name="图片 2264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172720</xdr:rowOff>
    </xdr:to>
    <xdr:pic>
      <xdr:nvPicPr>
        <xdr:cNvPr id="2266" name="图片 2265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172720</xdr:rowOff>
    </xdr:to>
    <xdr:pic>
      <xdr:nvPicPr>
        <xdr:cNvPr id="2267" name="图片 226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172720</xdr:rowOff>
    </xdr:to>
    <xdr:pic>
      <xdr:nvPicPr>
        <xdr:cNvPr id="2268" name="图片 2267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172720</xdr:rowOff>
    </xdr:to>
    <xdr:pic>
      <xdr:nvPicPr>
        <xdr:cNvPr id="2269" name="图片 2268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172720</xdr:rowOff>
    </xdr:to>
    <xdr:pic>
      <xdr:nvPicPr>
        <xdr:cNvPr id="2270" name="图片 2269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172720</xdr:rowOff>
    </xdr:to>
    <xdr:pic>
      <xdr:nvPicPr>
        <xdr:cNvPr id="2271" name="图片 2270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172720</xdr:rowOff>
    </xdr:to>
    <xdr:pic>
      <xdr:nvPicPr>
        <xdr:cNvPr id="2272" name="图片 2271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172720</xdr:rowOff>
    </xdr:to>
    <xdr:pic>
      <xdr:nvPicPr>
        <xdr:cNvPr id="2273" name="图片 2272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172720</xdr:rowOff>
    </xdr:to>
    <xdr:pic>
      <xdr:nvPicPr>
        <xdr:cNvPr id="2274" name="图片 2273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172720</xdr:rowOff>
    </xdr:to>
    <xdr:pic>
      <xdr:nvPicPr>
        <xdr:cNvPr id="2275" name="图片 2274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172720</xdr:rowOff>
    </xdr:to>
    <xdr:pic>
      <xdr:nvPicPr>
        <xdr:cNvPr id="2276" name="图片 2275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172720</xdr:rowOff>
    </xdr:to>
    <xdr:pic>
      <xdr:nvPicPr>
        <xdr:cNvPr id="2277" name="图片 2276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172720</xdr:rowOff>
    </xdr:to>
    <xdr:pic>
      <xdr:nvPicPr>
        <xdr:cNvPr id="2278" name="图片 2277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172720</xdr:rowOff>
    </xdr:to>
    <xdr:pic>
      <xdr:nvPicPr>
        <xdr:cNvPr id="2279" name="图片 2278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172720</xdr:rowOff>
    </xdr:to>
    <xdr:pic>
      <xdr:nvPicPr>
        <xdr:cNvPr id="2280" name="图片 227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172720</xdr:rowOff>
    </xdr:to>
    <xdr:pic>
      <xdr:nvPicPr>
        <xdr:cNvPr id="2281" name="图片 2280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172720</xdr:rowOff>
    </xdr:to>
    <xdr:pic>
      <xdr:nvPicPr>
        <xdr:cNvPr id="2282" name="图片 228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172720</xdr:rowOff>
    </xdr:to>
    <xdr:pic>
      <xdr:nvPicPr>
        <xdr:cNvPr id="2283" name="图片 2282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172720</xdr:rowOff>
    </xdr:to>
    <xdr:pic>
      <xdr:nvPicPr>
        <xdr:cNvPr id="2284" name="图片 2283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172720</xdr:rowOff>
    </xdr:to>
    <xdr:pic>
      <xdr:nvPicPr>
        <xdr:cNvPr id="2285" name="图片 2284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172720</xdr:rowOff>
    </xdr:to>
    <xdr:pic>
      <xdr:nvPicPr>
        <xdr:cNvPr id="2286" name="图片 2285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172720</xdr:rowOff>
    </xdr:to>
    <xdr:pic>
      <xdr:nvPicPr>
        <xdr:cNvPr id="2287" name="图片 2286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172720</xdr:rowOff>
    </xdr:to>
    <xdr:pic>
      <xdr:nvPicPr>
        <xdr:cNvPr id="2288" name="图片 2287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172720</xdr:rowOff>
    </xdr:to>
    <xdr:pic>
      <xdr:nvPicPr>
        <xdr:cNvPr id="2289" name="图片 2288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172720</xdr:rowOff>
    </xdr:to>
    <xdr:pic>
      <xdr:nvPicPr>
        <xdr:cNvPr id="2290" name="图片 2289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172720</xdr:rowOff>
    </xdr:to>
    <xdr:pic>
      <xdr:nvPicPr>
        <xdr:cNvPr id="2291" name="图片 2290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172720</xdr:rowOff>
    </xdr:to>
    <xdr:pic>
      <xdr:nvPicPr>
        <xdr:cNvPr id="2292" name="图片 2291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172720</xdr:rowOff>
    </xdr:to>
    <xdr:pic>
      <xdr:nvPicPr>
        <xdr:cNvPr id="2293" name="图片 2292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172720</xdr:rowOff>
    </xdr:to>
    <xdr:pic>
      <xdr:nvPicPr>
        <xdr:cNvPr id="2294" name="图片 2293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172720</xdr:rowOff>
    </xdr:to>
    <xdr:pic>
      <xdr:nvPicPr>
        <xdr:cNvPr id="2295" name="图片 2294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172720</xdr:rowOff>
    </xdr:to>
    <xdr:pic>
      <xdr:nvPicPr>
        <xdr:cNvPr id="2296" name="图片 2295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172720</xdr:rowOff>
    </xdr:to>
    <xdr:pic>
      <xdr:nvPicPr>
        <xdr:cNvPr id="2297" name="图片 2296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172720</xdr:rowOff>
    </xdr:to>
    <xdr:pic>
      <xdr:nvPicPr>
        <xdr:cNvPr id="2298" name="图片 2297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172720</xdr:rowOff>
    </xdr:to>
    <xdr:pic>
      <xdr:nvPicPr>
        <xdr:cNvPr id="2299" name="图片 2298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172720</xdr:rowOff>
    </xdr:to>
    <xdr:pic>
      <xdr:nvPicPr>
        <xdr:cNvPr id="2300" name="图片 2299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172720</xdr:rowOff>
    </xdr:to>
    <xdr:pic>
      <xdr:nvPicPr>
        <xdr:cNvPr id="2301" name="图片 2300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172720</xdr:rowOff>
    </xdr:to>
    <xdr:pic>
      <xdr:nvPicPr>
        <xdr:cNvPr id="2302" name="图片 2301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172720</xdr:rowOff>
    </xdr:to>
    <xdr:pic>
      <xdr:nvPicPr>
        <xdr:cNvPr id="2303" name="图片 2302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172720</xdr:rowOff>
    </xdr:to>
    <xdr:pic>
      <xdr:nvPicPr>
        <xdr:cNvPr id="2304" name="图片 2303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172720</xdr:rowOff>
    </xdr:to>
    <xdr:pic>
      <xdr:nvPicPr>
        <xdr:cNvPr id="2305" name="图片 230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172720</xdr:rowOff>
    </xdr:to>
    <xdr:pic>
      <xdr:nvPicPr>
        <xdr:cNvPr id="2306" name="图片 2305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172720</xdr:rowOff>
    </xdr:to>
    <xdr:pic>
      <xdr:nvPicPr>
        <xdr:cNvPr id="2307" name="图片 2306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172720</xdr:rowOff>
    </xdr:to>
    <xdr:pic>
      <xdr:nvPicPr>
        <xdr:cNvPr id="2308" name="图片 2307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172720</xdr:rowOff>
    </xdr:to>
    <xdr:pic>
      <xdr:nvPicPr>
        <xdr:cNvPr id="2309" name="图片 2308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172720</xdr:rowOff>
    </xdr:to>
    <xdr:pic>
      <xdr:nvPicPr>
        <xdr:cNvPr id="2310" name="图片 2309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172720</xdr:rowOff>
    </xdr:to>
    <xdr:pic>
      <xdr:nvPicPr>
        <xdr:cNvPr id="2311" name="图片 2310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172720</xdr:rowOff>
    </xdr:to>
    <xdr:pic>
      <xdr:nvPicPr>
        <xdr:cNvPr id="2312" name="图片 2311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172720</xdr:rowOff>
    </xdr:to>
    <xdr:pic>
      <xdr:nvPicPr>
        <xdr:cNvPr id="2313" name="图片 2312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172720</xdr:rowOff>
    </xdr:to>
    <xdr:pic>
      <xdr:nvPicPr>
        <xdr:cNvPr id="2314" name="图片 2313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172720</xdr:rowOff>
    </xdr:to>
    <xdr:pic>
      <xdr:nvPicPr>
        <xdr:cNvPr id="2315" name="图片 2314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172720</xdr:rowOff>
    </xdr:to>
    <xdr:pic>
      <xdr:nvPicPr>
        <xdr:cNvPr id="2316" name="图片 231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172720</xdr:rowOff>
    </xdr:to>
    <xdr:pic>
      <xdr:nvPicPr>
        <xdr:cNvPr id="2317" name="图片 2316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172720</xdr:rowOff>
    </xdr:to>
    <xdr:pic>
      <xdr:nvPicPr>
        <xdr:cNvPr id="2318" name="图片 2317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172720</xdr:rowOff>
    </xdr:to>
    <xdr:pic>
      <xdr:nvPicPr>
        <xdr:cNvPr id="2319" name="图片 231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172720</xdr:rowOff>
    </xdr:to>
    <xdr:pic>
      <xdr:nvPicPr>
        <xdr:cNvPr id="2320" name="图片 2319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172720</xdr:rowOff>
    </xdr:to>
    <xdr:pic>
      <xdr:nvPicPr>
        <xdr:cNvPr id="2321" name="图片 232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172720</xdr:rowOff>
    </xdr:to>
    <xdr:pic>
      <xdr:nvPicPr>
        <xdr:cNvPr id="2322" name="图片 2321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172720</xdr:rowOff>
    </xdr:to>
    <xdr:pic>
      <xdr:nvPicPr>
        <xdr:cNvPr id="2323" name="图片 2322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172720</xdr:rowOff>
    </xdr:to>
    <xdr:pic>
      <xdr:nvPicPr>
        <xdr:cNvPr id="2324" name="图片 2323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172720</xdr:rowOff>
    </xdr:to>
    <xdr:pic>
      <xdr:nvPicPr>
        <xdr:cNvPr id="2325" name="图片 2324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172720</xdr:rowOff>
    </xdr:to>
    <xdr:pic>
      <xdr:nvPicPr>
        <xdr:cNvPr id="2326" name="图片 2325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172720</xdr:rowOff>
    </xdr:to>
    <xdr:pic>
      <xdr:nvPicPr>
        <xdr:cNvPr id="2327" name="图片 2326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172720</xdr:rowOff>
    </xdr:to>
    <xdr:pic>
      <xdr:nvPicPr>
        <xdr:cNvPr id="2328" name="图片 2327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172720</xdr:rowOff>
    </xdr:to>
    <xdr:pic>
      <xdr:nvPicPr>
        <xdr:cNvPr id="2329" name="图片 2328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172720</xdr:rowOff>
    </xdr:to>
    <xdr:pic>
      <xdr:nvPicPr>
        <xdr:cNvPr id="2330" name="图片 2329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172720</xdr:rowOff>
    </xdr:to>
    <xdr:pic>
      <xdr:nvPicPr>
        <xdr:cNvPr id="2331" name="图片 2330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172720</xdr:rowOff>
    </xdr:to>
    <xdr:pic>
      <xdr:nvPicPr>
        <xdr:cNvPr id="2332" name="图片 2331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172720</xdr:rowOff>
    </xdr:to>
    <xdr:pic>
      <xdr:nvPicPr>
        <xdr:cNvPr id="2333" name="图片 2332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172720</xdr:rowOff>
    </xdr:to>
    <xdr:pic>
      <xdr:nvPicPr>
        <xdr:cNvPr id="2334" name="图片 2333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172720</xdr:rowOff>
    </xdr:to>
    <xdr:pic>
      <xdr:nvPicPr>
        <xdr:cNvPr id="2335" name="图片 2334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172720</xdr:rowOff>
    </xdr:to>
    <xdr:pic>
      <xdr:nvPicPr>
        <xdr:cNvPr id="2336" name="图片 2335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172720</xdr:rowOff>
    </xdr:to>
    <xdr:pic>
      <xdr:nvPicPr>
        <xdr:cNvPr id="2337" name="图片 2336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172720</xdr:rowOff>
    </xdr:to>
    <xdr:pic>
      <xdr:nvPicPr>
        <xdr:cNvPr id="2338" name="图片 2337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172720</xdr:rowOff>
    </xdr:to>
    <xdr:pic>
      <xdr:nvPicPr>
        <xdr:cNvPr id="2339" name="图片 2338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172720</xdr:rowOff>
    </xdr:to>
    <xdr:pic>
      <xdr:nvPicPr>
        <xdr:cNvPr id="2340" name="图片 2339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172720</xdr:rowOff>
    </xdr:to>
    <xdr:pic>
      <xdr:nvPicPr>
        <xdr:cNvPr id="2341" name="图片 2340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172720</xdr:rowOff>
    </xdr:to>
    <xdr:pic>
      <xdr:nvPicPr>
        <xdr:cNvPr id="2342" name="图片 2341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172720</xdr:rowOff>
    </xdr:to>
    <xdr:pic>
      <xdr:nvPicPr>
        <xdr:cNvPr id="2343" name="图片 2342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172720</xdr:rowOff>
    </xdr:to>
    <xdr:pic>
      <xdr:nvPicPr>
        <xdr:cNvPr id="2344" name="图片 2343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172720</xdr:rowOff>
    </xdr:to>
    <xdr:pic>
      <xdr:nvPicPr>
        <xdr:cNvPr id="2345" name="图片 2344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172720</xdr:rowOff>
    </xdr:to>
    <xdr:pic>
      <xdr:nvPicPr>
        <xdr:cNvPr id="2346" name="图片 2345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172720</xdr:rowOff>
    </xdr:to>
    <xdr:pic>
      <xdr:nvPicPr>
        <xdr:cNvPr id="2347" name="图片 2346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172720</xdr:rowOff>
    </xdr:to>
    <xdr:pic>
      <xdr:nvPicPr>
        <xdr:cNvPr id="2348" name="图片 2347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172720</xdr:rowOff>
    </xdr:to>
    <xdr:pic>
      <xdr:nvPicPr>
        <xdr:cNvPr id="2349" name="图片 2348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172720</xdr:rowOff>
    </xdr:to>
    <xdr:pic>
      <xdr:nvPicPr>
        <xdr:cNvPr id="2350" name="图片 2349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172720</xdr:rowOff>
    </xdr:to>
    <xdr:pic>
      <xdr:nvPicPr>
        <xdr:cNvPr id="2351" name="图片 2350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172720</xdr:rowOff>
    </xdr:to>
    <xdr:pic>
      <xdr:nvPicPr>
        <xdr:cNvPr id="2352" name="图片 235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172720</xdr:rowOff>
    </xdr:to>
    <xdr:pic>
      <xdr:nvPicPr>
        <xdr:cNvPr id="2353" name="图片 2352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172720</xdr:rowOff>
    </xdr:to>
    <xdr:pic>
      <xdr:nvPicPr>
        <xdr:cNvPr id="2354" name="图片 2353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172720</xdr:rowOff>
    </xdr:to>
    <xdr:pic>
      <xdr:nvPicPr>
        <xdr:cNvPr id="2355" name="图片 2354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172720</xdr:rowOff>
    </xdr:to>
    <xdr:pic>
      <xdr:nvPicPr>
        <xdr:cNvPr id="2356" name="图片 2355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172720</xdr:rowOff>
    </xdr:to>
    <xdr:pic>
      <xdr:nvPicPr>
        <xdr:cNvPr id="2357" name="图片 2356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172720</xdr:rowOff>
    </xdr:to>
    <xdr:pic>
      <xdr:nvPicPr>
        <xdr:cNvPr id="2358" name="图片 2357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172720</xdr:rowOff>
    </xdr:to>
    <xdr:pic>
      <xdr:nvPicPr>
        <xdr:cNvPr id="2359" name="图片 235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172720</xdr:rowOff>
    </xdr:to>
    <xdr:pic>
      <xdr:nvPicPr>
        <xdr:cNvPr id="2360" name="图片 2359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172720</xdr:rowOff>
    </xdr:to>
    <xdr:pic>
      <xdr:nvPicPr>
        <xdr:cNvPr id="2361" name="图片 2360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172720</xdr:rowOff>
    </xdr:to>
    <xdr:pic>
      <xdr:nvPicPr>
        <xdr:cNvPr id="2362" name="图片 2361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172720</xdr:rowOff>
    </xdr:to>
    <xdr:pic>
      <xdr:nvPicPr>
        <xdr:cNvPr id="2363" name="图片 2362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172720</xdr:rowOff>
    </xdr:to>
    <xdr:pic>
      <xdr:nvPicPr>
        <xdr:cNvPr id="2364" name="图片 2363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172720</xdr:rowOff>
    </xdr:to>
    <xdr:pic>
      <xdr:nvPicPr>
        <xdr:cNvPr id="2365" name="图片 2364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172720</xdr:rowOff>
    </xdr:to>
    <xdr:pic>
      <xdr:nvPicPr>
        <xdr:cNvPr id="2366" name="图片 2365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172720</xdr:rowOff>
    </xdr:to>
    <xdr:pic>
      <xdr:nvPicPr>
        <xdr:cNvPr id="2367" name="图片 2366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172720</xdr:rowOff>
    </xdr:to>
    <xdr:pic>
      <xdr:nvPicPr>
        <xdr:cNvPr id="2368" name="图片 2367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172720</xdr:rowOff>
    </xdr:to>
    <xdr:pic>
      <xdr:nvPicPr>
        <xdr:cNvPr id="2369" name="图片 2368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172720</xdr:rowOff>
    </xdr:to>
    <xdr:pic>
      <xdr:nvPicPr>
        <xdr:cNvPr id="2370" name="图片 2369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172720</xdr:rowOff>
    </xdr:to>
    <xdr:pic>
      <xdr:nvPicPr>
        <xdr:cNvPr id="2371" name="图片 2370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172720</xdr:rowOff>
    </xdr:to>
    <xdr:pic>
      <xdr:nvPicPr>
        <xdr:cNvPr id="2372" name="图片 2371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172720</xdr:rowOff>
    </xdr:to>
    <xdr:pic>
      <xdr:nvPicPr>
        <xdr:cNvPr id="2373" name="图片 2372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172720</xdr:rowOff>
    </xdr:to>
    <xdr:pic>
      <xdr:nvPicPr>
        <xdr:cNvPr id="2374" name="图片 2373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172720</xdr:rowOff>
    </xdr:to>
    <xdr:pic>
      <xdr:nvPicPr>
        <xdr:cNvPr id="2375" name="图片 237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172720</xdr:rowOff>
    </xdr:to>
    <xdr:pic>
      <xdr:nvPicPr>
        <xdr:cNvPr id="2376" name="图片 2375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172720</xdr:rowOff>
    </xdr:to>
    <xdr:pic>
      <xdr:nvPicPr>
        <xdr:cNvPr id="2377" name="图片 2376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172720</xdr:rowOff>
    </xdr:to>
    <xdr:pic>
      <xdr:nvPicPr>
        <xdr:cNvPr id="2378" name="图片 2377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172720</xdr:rowOff>
    </xdr:to>
    <xdr:pic>
      <xdr:nvPicPr>
        <xdr:cNvPr id="2379" name="图片 2378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172720</xdr:rowOff>
    </xdr:to>
    <xdr:pic>
      <xdr:nvPicPr>
        <xdr:cNvPr id="2380" name="图片 2379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172720</xdr:rowOff>
    </xdr:to>
    <xdr:pic>
      <xdr:nvPicPr>
        <xdr:cNvPr id="2381" name="图片 2380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172720</xdr:rowOff>
    </xdr:to>
    <xdr:pic>
      <xdr:nvPicPr>
        <xdr:cNvPr id="2382" name="图片 2381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172720</xdr:rowOff>
    </xdr:to>
    <xdr:pic>
      <xdr:nvPicPr>
        <xdr:cNvPr id="2383" name="图片 2382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172720</xdr:rowOff>
    </xdr:to>
    <xdr:pic>
      <xdr:nvPicPr>
        <xdr:cNvPr id="2384" name="图片 2383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172720</xdr:rowOff>
    </xdr:to>
    <xdr:pic>
      <xdr:nvPicPr>
        <xdr:cNvPr id="2385" name="图片 2384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172720</xdr:rowOff>
    </xdr:to>
    <xdr:pic>
      <xdr:nvPicPr>
        <xdr:cNvPr id="2386" name="图片 2385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172720</xdr:rowOff>
    </xdr:to>
    <xdr:pic>
      <xdr:nvPicPr>
        <xdr:cNvPr id="2387" name="图片 2386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172720</xdr:rowOff>
    </xdr:to>
    <xdr:pic>
      <xdr:nvPicPr>
        <xdr:cNvPr id="2388" name="图片 2387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172720</xdr:rowOff>
    </xdr:to>
    <xdr:pic>
      <xdr:nvPicPr>
        <xdr:cNvPr id="2389" name="图片 2388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227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2390" name="图片 238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2391" name="图片 2390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2392" name="图片 2391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2393" name="图片 2392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2394" name="图片 2393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2395" name="图片 239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2396" name="图片 2395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2397" name="图片 2396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2398" name="图片 2397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2399" name="图片 2398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2400" name="图片 2399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2401" name="图片 2400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2402" name="图片 2401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2403" name="图片 240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2404" name="图片 2403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2405" name="图片 2404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2406" name="图片 2405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2407" name="图片 2406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2408" name="图片 2407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2409" name="图片 2408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2410" name="图片 2409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2411" name="图片 2410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2412" name="图片 2411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2413" name="图片 2412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2414" name="图片 2413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2415" name="图片 2414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2416" name="图片 2415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2417" name="图片 2416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2418" name="图片 2417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2419" name="图片 2418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2420" name="图片 2419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2421" name="图片 2420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2422" name="图片 2421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2423" name="图片 2422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2424" name="图片 2423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2425" name="图片 2424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2426" name="图片 2425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2427" name="图片 2426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2428" name="图片 2427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2429" name="图片 2428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2430" name="图片 2429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2431" name="图片 2430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2432" name="图片 2431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2433" name="图片 2432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2434" name="图片 2433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2435" name="图片 2434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2436" name="图片 2435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2437" name="图片 243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2438" name="图片 2437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2439" name="图片 2438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2440" name="图片 2439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2441" name="图片 2440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2442" name="图片 2441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2443" name="图片 2442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2444" name="图片 2443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2445" name="图片 2444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2446" name="图片 244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2447" name="图片 2446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2448" name="图片 2447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2449" name="图片 2448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2450" name="图片 2449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2451" name="图片 2450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2452" name="图片 2451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2453" name="图片 2452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2454" name="图片 2453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2455" name="图片 2454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2456" name="图片 2455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2457" name="图片 2456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2458" name="图片 2457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2459" name="图片 2458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2460" name="图片 2459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2461" name="图片 2460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2462" name="图片 2461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2463" name="图片 2462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2464" name="图片 2463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2465" name="图片 2464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2466" name="图片 246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2467" name="图片 2466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2468" name="图片 2467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2469" name="图片 2468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2470" name="图片 2469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2471" name="图片 2470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2472" name="图片 2471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2473" name="图片 2472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2474" name="图片 2473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2475" name="图片 2474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2476" name="图片 2475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2477" name="图片 2476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2478" name="图片 2477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2479" name="图片 247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2480" name="图片 2479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2481" name="图片 248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2482" name="图片 2481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2483" name="图片 2482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2484" name="图片 2483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2485" name="图片 2484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2486" name="图片 2485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2487" name="图片 2486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2488" name="图片 2487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2489" name="图片 2488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2490" name="图片 2489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2491" name="图片 2490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2492" name="图片 2491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2493" name="图片 2492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2494" name="图片 2493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2495" name="图片 2494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2496" name="图片 2495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2497" name="图片 2496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2498" name="图片 2497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2499" name="图片 2498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2500" name="图片 2499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2501" name="图片 2500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2502" name="图片 2501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2503" name="图片 2502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2504" name="图片 250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2505" name="图片 2504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2506" name="图片 2505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2507" name="图片 2506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2508" name="图片 2507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2509" name="图片 2508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2510" name="图片 2509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2511" name="图片 2510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2512" name="图片 2511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2513" name="图片 2512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2514" name="图片 2513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2515" name="图片 251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2516" name="图片 2515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2517" name="图片 2516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2518" name="图片 251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2519" name="图片 2518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2520" name="图片 251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2521" name="图片 2520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2522" name="图片 2521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2523" name="图片 2522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2524" name="图片 2523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2525" name="图片 2524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2526" name="图片 2525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2527" name="图片 2526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2528" name="图片 2527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2529" name="图片 2528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2530" name="图片 2529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2531" name="图片 2530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2532" name="图片 2531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2533" name="图片 2532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2534" name="图片 2533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2535" name="图片 2534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2536" name="图片 2535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2537" name="图片 2536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2538" name="图片 2537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2539" name="图片 2538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2540" name="图片 2539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2541" name="图片 2540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2542" name="图片 2541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2543" name="图片 2542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2544" name="图片 2543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2545" name="图片 2544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2546" name="图片 2545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2547" name="图片 2546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2548" name="图片 2547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2549" name="图片 2548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2550" name="图片 2549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2551" name="图片 255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2552" name="图片 2551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2553" name="图片 2552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2554" name="图片 2553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2555" name="图片 2554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2556" name="图片 2555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2557" name="图片 2556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2558" name="图片 255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2559" name="图片 2558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2560" name="图片 2559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2561" name="图片 2560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2562" name="图片 2561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2563" name="图片 2562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2564" name="图片 2563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2565" name="图片 2564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2566" name="图片 2565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2567" name="图片 2566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2568" name="图片 2567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2569" name="图片 2568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2570" name="图片 2569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2571" name="图片 2570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2572" name="图片 2571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2573" name="图片 2572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2574" name="图片 257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2575" name="图片 2574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2576" name="图片 2575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2577" name="图片 2576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2578" name="图片 2577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2579" name="图片 2578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2580" name="图片 2579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2581" name="图片 2580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2582" name="图片 2581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2583" name="图片 2582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2584" name="图片 2583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2585" name="图片 2584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2586" name="图片 2585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2587" name="图片 2586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2588" name="图片 2587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2589" name="图片 2588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2590" name="图片 2589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2591" name="图片 2590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2592" name="图片 2591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2593" name="图片 2592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2594" name="图片 2593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2595" name="图片 2594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2596" name="图片 2595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2597" name="图片 2596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2598" name="图片 2597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2599" name="图片 2598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2600" name="图片 2599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2601" name="图片 2600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2602" name="图片 2601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2603" name="图片 260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2604" name="图片 2603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2605" name="图片 2604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2606" name="图片 2605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2607" name="图片 260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2608" name="图片 2607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2609" name="图片 2608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2610" name="图片 2609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2611" name="图片 2610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2612" name="图片 2611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2613" name="图片 2612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2614" name="图片 2613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2615" name="图片 2614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2616" name="图片 2615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2617" name="图片 2616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2618" name="图片 2617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2619" name="图片 2618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2620" name="图片 2619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2621" name="图片 2620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2622" name="图片 2621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2623" name="图片 2622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2624" name="图片 2623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2625" name="图片 262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2626" name="图片 2625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2627" name="图片 2626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2628" name="图片 2627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2629" name="图片 2628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2630" name="图片 262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2631" name="图片 2630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2632" name="图片 2631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2633" name="图片 2632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2634" name="图片 2633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2635" name="图片 2634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2636" name="图片 2635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2637" name="图片 2636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2638" name="图片 263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2639" name="图片 2638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2640" name="图片 2639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2641" name="图片 2640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2642" name="图片 2641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2643" name="图片 2642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2644" name="图片 2643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2645" name="图片 2644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2646" name="图片 2645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2647" name="图片 2646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2648" name="图片 2647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2649" name="图片 2648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2650" name="图片 2649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2651" name="图片 2650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2652" name="图片 2651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2653" name="图片 2652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2654" name="图片 2653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2655" name="图片 2654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2656" name="图片 2655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2657" name="图片 2656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2658" name="图片 2657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2659" name="图片 2658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2660" name="图片 2659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2661" name="图片 2660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2662" name="图片 2661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2663" name="图片 2662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2664" name="图片 2663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2665" name="图片 2664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2666" name="图片 266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2667" name="图片 2666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2668" name="图片 2667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2669" name="图片 266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2670" name="图片 2669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2671" name="图片 2670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2672" name="图片 2671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2673" name="图片 2672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2674" name="图片 267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2675" name="图片 2674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2676" name="图片 2675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2677" name="图片 2676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2678" name="图片 2677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2679" name="图片 2678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2680" name="图片 2679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2681" name="图片 2680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2682" name="图片 268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2683" name="图片 2682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2684" name="图片 2683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2685" name="图片 2684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2686" name="图片 2685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2687" name="图片 2686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2688" name="图片 2687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2689" name="图片 2688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2690" name="图片 2689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2691" name="图片 2690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2692" name="图片 2691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2693" name="图片 2692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2694" name="图片 2693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2695" name="图片 2694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2696" name="图片 2695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2697" name="图片 2696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2698" name="图片 2697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2699" name="图片 2698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2700" name="图片 2699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2701" name="图片 2700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2702" name="图片 2701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2703" name="图片 2702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2704" name="图片 2703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2705" name="图片 2704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2706" name="图片 2705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2707" name="图片 2706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2708" name="图片 2707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2709" name="图片 2708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2710" name="图片 2709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2711" name="图片 2710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2712" name="图片 2711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2713" name="图片 2712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2714" name="图片 2713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2715" name="图片 2714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2716" name="图片 271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2717" name="图片 2716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2718" name="图片 2717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2719" name="图片 2718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2720" name="图片 2719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2721" name="图片 2720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2722" name="图片 2721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2723" name="图片 2722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2724" name="图片 2723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2725" name="图片 272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2726" name="图片 2725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2727" name="图片 2726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2728" name="图片 2727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2729" name="图片 2728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2730" name="图片 2729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2731" name="图片 2730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2732" name="图片 2731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2733" name="图片 2732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2734" name="图片 2733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2735" name="图片 2734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2736" name="图片 2735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2737" name="图片 2736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2738" name="图片 2737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2739" name="图片 2738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2740" name="图片 2739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2741" name="图片 2740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2742" name="图片 2741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2743" name="图片 2742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2744" name="图片 2743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2745" name="图片 274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2746" name="图片 2745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2747" name="图片 2746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2748" name="图片 2747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2749" name="图片 2748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2750" name="图片 2749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2751" name="图片 2750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2752" name="图片 2751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2753" name="图片 2752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2754" name="图片 2753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2755" name="图片 2754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2756" name="图片 2755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2757" name="图片 2756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2758" name="图片 275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2759" name="图片 2758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2760" name="图片 275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2761" name="图片 2760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2762" name="图片 2761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2763" name="图片 2762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2764" name="图片 2763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2765" name="图片 2764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2766" name="图片 2765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2767" name="图片 2766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2768" name="图片 2767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2769" name="图片 2768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2770" name="图片 2769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2771" name="图片 2770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2772" name="图片 2771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2773" name="图片 2772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2774" name="图片 2773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2775" name="图片 2774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2776" name="图片 2775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2777" name="图片 2776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2778" name="图片 2777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2779" name="图片 2778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2780" name="图片 2779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2781" name="图片 2780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2782" name="图片 2781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2783" name="图片 278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2784" name="图片 2783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2785" name="图片 2784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2786" name="图片 2785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2787" name="图片 2786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2788" name="图片 2787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2789" name="图片 2788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2790" name="图片 2789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2791" name="图片 2790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2792" name="图片 2791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2793" name="图片 2792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2794" name="图片 279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2795" name="图片 2794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2796" name="图片 2795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2797" name="图片 279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2798" name="图片 2797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2799" name="图片 279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2800" name="图片 2799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2801" name="图片 2800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2802" name="图片 2801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2803" name="图片 2802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2804" name="图片 2803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2805" name="图片 2804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2806" name="图片 2805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2807" name="图片 2806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2808" name="图片 2807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2809" name="图片 2808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2810" name="图片 2809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2811" name="图片 2810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2812" name="图片 2811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2813" name="图片 2812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2814" name="图片 2813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2815" name="图片 2814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2816" name="图片 2815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2817" name="图片 2816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2818" name="图片 2817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2819" name="图片 2818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2820" name="图片 2819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2821" name="图片 2820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2822" name="图片 2821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2823" name="图片 2822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2824" name="图片 2823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2825" name="图片 2824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2826" name="图片 2825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2827" name="图片 2826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2828" name="图片 2827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2829" name="图片 2828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2830" name="图片 282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2831" name="图片 2830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2832" name="图片 2831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2833" name="图片 2832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2834" name="图片 2833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2835" name="图片 2834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2836" name="图片 2835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2837" name="图片 283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2838" name="图片 2837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2839" name="图片 2838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2840" name="图片 2839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2841" name="图片 2840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2842" name="图片 2841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2843" name="图片 2842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2844" name="图片 2843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2845" name="图片 2844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2846" name="图片 2845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2847" name="图片 2846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2848" name="图片 2847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2849" name="图片 2848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2850" name="图片 2849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2851" name="图片 2850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2852" name="图片 2851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2853" name="图片 285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2854" name="图片 2853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2855" name="图片 2854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2856" name="图片 2855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2857" name="图片 2856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2858" name="图片 2857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2859" name="图片 2858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2860" name="图片 2859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2861" name="图片 2860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2862" name="图片 2861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2863" name="图片 2862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2864" name="图片 2863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2865" name="图片 2864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2866" name="图片 2865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2867" name="图片 2866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2868" name="图片 2867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2869" name="图片 2868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2870" name="图片 2869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2871" name="图片 2870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2872" name="图片 2871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2873" name="图片 2872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2874" name="图片 2873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2875" name="图片 2874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2876" name="图片 2875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2877" name="图片 2876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2878" name="图片 2877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2879" name="图片 2878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2880" name="图片 2879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2881" name="图片 2880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2882" name="图片 288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2883" name="图片 2882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2884" name="图片 2883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2885" name="图片 2884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2886" name="图片 288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2887" name="图片 2886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2888" name="图片 2887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2889" name="图片 2888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2890" name="图片 2889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2891" name="图片 2890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2892" name="图片 2891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2893" name="图片 2892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2894" name="图片 2893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2895" name="图片 2894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2896" name="图片 2895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2897" name="图片 2896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2898" name="图片 2897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2899" name="图片 2898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2900" name="图片 2899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2901" name="图片 2900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2902" name="图片 2901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2903" name="图片 2902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2904" name="图片 290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2905" name="图片 2904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2906" name="图片 2905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2907" name="图片 2906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2908" name="图片 2907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2909" name="图片 290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2910" name="图片 2909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2911" name="图片 2910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2912" name="图片 2911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2913" name="图片 2912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2914" name="图片 2913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2915" name="图片 2914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2916" name="图片 2915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2917" name="图片 291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2918" name="图片 2917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2919" name="图片 2918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2920" name="图片 2919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2921" name="图片 2920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2922" name="图片 2921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2923" name="图片 2922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2924" name="图片 2923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2925" name="图片 2924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2926" name="图片 2925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2927" name="图片 2926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2928" name="图片 2927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2929" name="图片 2928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2930" name="图片 2929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2931" name="图片 2930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2932" name="图片 2931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2933" name="图片 2932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2934" name="图片 2933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2935" name="图片 2934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2936" name="图片 2935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2937" name="图片 2936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2938" name="图片 2937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2939" name="图片 2938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2940" name="图片 2939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2941" name="图片 2940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2942" name="图片 2941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2943" name="图片 2942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2944" name="图片 2943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2945" name="图片 294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2946" name="图片 2945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2947" name="图片 2946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2948" name="图片 294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2949" name="图片 2948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2950" name="图片 2949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2951" name="图片 2950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2952" name="图片 2951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2953" name="图片 295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2954" name="图片 2953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2955" name="图片 2954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2956" name="图片 2955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2957" name="图片 2956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2958" name="图片 2957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2959" name="图片 2958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2960" name="图片 2959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2961" name="图片 296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2962" name="图片 2961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2963" name="图片 2962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2964" name="图片 2963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2965" name="图片 2964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2966" name="图片 2965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2967" name="图片 2966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2968" name="图片 2967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2969" name="图片 2968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2970" name="图片 2969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2971" name="图片 2970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2972" name="图片 2971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2973" name="图片 2972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2974" name="图片 2973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2975" name="图片 2974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2976" name="图片 2975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2977" name="图片 2976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2978" name="图片 2977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2979" name="图片 2978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2980" name="图片 2979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2981" name="图片 2980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2982" name="图片 2981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2983" name="图片 2982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2984" name="图片 2983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2985" name="图片 2984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2986" name="图片 2985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2987" name="图片 2986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2988" name="图片 2987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2989" name="图片 2988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2990" name="图片 2989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2991" name="图片 2990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2992" name="图片 2991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2993" name="图片 2992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2994" name="图片 2993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2995" name="图片 299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2996" name="图片 2995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2997" name="图片 2996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2998" name="图片 2997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2999" name="图片 2998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3000" name="图片 2999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3001" name="图片 3000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3002" name="图片 3001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3003" name="图片 3002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3004" name="图片 300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3005" name="图片 3004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3006" name="图片 3005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3007" name="图片 3006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3008" name="图片 3007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3009" name="图片 3008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3010" name="图片 3009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3011" name="图片 3010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3012" name="图片 3011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3013" name="图片 3012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3014" name="图片 3013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3015" name="图片 3014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3016" name="图片 3015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3017" name="图片 3016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3018" name="图片 3017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3019" name="图片 3018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3020" name="图片 3019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3021" name="图片 3020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3022" name="图片 3021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3023" name="图片 3022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3024" name="图片 302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3025" name="图片 3024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3026" name="图片 3025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3027" name="图片 3026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3028" name="图片 3027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3029" name="图片 3028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3030" name="图片 3029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3031" name="图片 3030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3032" name="图片 3031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3033" name="图片 3032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3034" name="图片 3033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3035" name="图片 3034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3036" name="图片 3035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3037" name="图片 303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3038" name="图片 3037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3039" name="图片 303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3040" name="图片 3039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3041" name="图片 3040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3042" name="图片 3041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3043" name="图片 3042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3044" name="图片 3043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3045" name="图片 3044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3046" name="图片 3045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3047" name="图片 3046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3048" name="图片 3047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3049" name="图片 3048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3050" name="图片 3049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3051" name="图片 3050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3052" name="图片 3051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3053" name="图片 3052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3054" name="图片 3053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3055" name="图片 3054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3056" name="图片 3055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3057" name="图片 3056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3058" name="图片 3057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3059" name="图片 3058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3060" name="图片 3059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3061" name="图片 3060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3062" name="图片 306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3063" name="图片 3062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3064" name="图片 3063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3065" name="图片 3064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3066" name="图片 3065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3067" name="图片 3066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3068" name="图片 3067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3069" name="图片 3068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3070" name="图片 3069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3071" name="图片 3070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3072" name="图片 3071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3073" name="图片 307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3074" name="图片 3073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3075" name="图片 3074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3076" name="图片 307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3077" name="图片 3076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3078" name="图片 307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3079" name="图片 3078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3080" name="图片 3079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3081" name="图片 3080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3082" name="图片 3081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3083" name="图片 3082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3084" name="图片 3083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3085" name="图片 3084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3086" name="图片 3085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3087" name="图片 3086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3088" name="图片 3087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3089" name="图片 3088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3090" name="图片 3089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3091" name="图片 3090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3092" name="图片 3091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3093" name="图片 3092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3094" name="图片 3093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3095" name="图片 3094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3096" name="图片 3095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3097" name="图片 3096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3098" name="图片 3097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3099" name="图片 3098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3100" name="图片 3099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3101" name="图片 3100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3102" name="图片 3101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3103" name="图片 3102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3104" name="图片 3103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3105" name="图片 3104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3106" name="图片 3105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3107" name="图片 3106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3108" name="图片 3107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3109" name="图片 310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3110" name="图片 3109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3111" name="图片 3110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3112" name="图片 3111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3113" name="图片 3112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3114" name="图片 3113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3115" name="图片 3114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3116" name="图片 311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3117" name="图片 3116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3118" name="图片 3117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3119" name="图片 3118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3120" name="图片 3119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3121" name="图片 3120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3122" name="图片 3121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3123" name="图片 3122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3124" name="图片 3123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3125" name="图片 3124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3126" name="图片 3125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3127" name="图片 3126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3128" name="图片 3127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3129" name="图片 3128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3130" name="图片 3129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3131" name="图片 3130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3132" name="图片 313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3133" name="图片 3132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3134" name="图片 3133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3135" name="图片 3134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3136" name="图片 3135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3137" name="图片 3136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3138" name="图片 3137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3139" name="图片 3138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3140" name="图片 3139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3141" name="图片 3140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3142" name="图片 3141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3143" name="图片 3142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3144" name="图片 3143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3145" name="图片 3144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3146" name="图片 3145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3147" name="图片 3146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3148" name="图片 3147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3149" name="图片 3148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3150" name="图片 3149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3151" name="图片 3150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3152" name="图片 3151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3153" name="图片 3152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3154" name="图片 3153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3155" name="图片 3154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3156" name="图片 3155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3157" name="图片 3156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3158" name="图片 3157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3159" name="图片 3158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3160" name="图片 3159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3161" name="图片 316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3162" name="图片 3161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3163" name="图片 3162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3164" name="图片 3163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3165" name="图片 316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3166" name="图片 3165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3167" name="图片 3166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3168" name="图片 3167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3169" name="图片 3168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3170" name="图片 3169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3171" name="图片 3170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3172" name="图片 3171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3173" name="图片 3172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3174" name="图片 3173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3175" name="图片 3174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3176" name="图片 3175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3177" name="图片 3176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3178" name="图片 3177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3179" name="图片 3178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3180" name="图片 3179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3181" name="图片 3180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3182" name="图片 3181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3183" name="图片 318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3184" name="图片 3183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3185" name="图片 3184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3186" name="图片 3185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3187" name="图片 3186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3188" name="图片 318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3189" name="图片 3188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3190" name="图片 3189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3191" name="图片 3190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3192" name="图片 3191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3193" name="图片 3192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3194" name="图片 3193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3195" name="图片 3194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3196" name="图片 319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3197" name="图片 3196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3198" name="图片 3197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3199" name="图片 3198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3200" name="图片 3199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3201" name="图片 3200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3202" name="图片 3201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3203" name="图片 3202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3204" name="图片 3203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3205" name="图片 3204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3206" name="图片 3205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3207" name="图片 3206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3208" name="图片 3207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3209" name="图片 3208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3210" name="图片 3209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3211" name="图片 3210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3212" name="图片 3211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3213" name="图片 3212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3214" name="图片 3213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3215" name="图片 3214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3216" name="图片 3215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3217" name="图片 3216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3218" name="图片 3217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3219" name="图片 3218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3220" name="图片 3219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3221" name="图片 3220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3222" name="图片 3221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3223" name="图片 3222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3224" name="图片 322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3225" name="图片 3224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3226" name="图片 3225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3227" name="图片 322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3228" name="图片 3227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3229" name="图片 3228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3230" name="图片 3229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3231" name="图片 3230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3232" name="图片 323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3233" name="图片 3232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3234" name="图片 3233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3235" name="图片 3234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3236" name="图片 3235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3237" name="图片 3236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3238" name="图片 3237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3239" name="图片 3238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3240" name="图片 323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3241" name="图片 3240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3242" name="图片 3241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3243" name="图片 3242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3244" name="图片 3243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3245" name="图片 3244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3246" name="图片 3245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3247" name="图片 3246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3248" name="图片 3247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3249" name="图片 3248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3250" name="图片 3249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3251" name="图片 3250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3252" name="图片 3251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3253" name="图片 3252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3254" name="图片 3253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3255" name="图片 3254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3256" name="图片 3255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3257" name="图片 3256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3258" name="图片 3257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3259" name="图片 3258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3260" name="图片 3259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3261" name="图片 3260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3262" name="图片 3261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3263" name="图片 3262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3264" name="图片 3263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3265" name="图片 3264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3266" name="图片 3265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3267" name="图片 3266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3268" name="图片 3267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3269" name="图片 3268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3270" name="图片 3269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3271" name="图片 3270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3272" name="图片 3271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3273" name="图片 3272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3274" name="图片 327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3275" name="图片 3274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3276" name="图片 3275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3277" name="图片 3276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3278" name="图片 3277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3279" name="图片 3278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3280" name="图片 3279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3281" name="图片 3280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3282" name="图片 3281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3283" name="图片 328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3284" name="图片 3283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3285" name="图片 3284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3286" name="图片 3285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3287" name="图片 3286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3288" name="图片 3287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3289" name="图片 3288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3290" name="图片 3289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3291" name="图片 3290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3292" name="图片 3291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3293" name="图片 3292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3294" name="图片 3293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3295" name="图片 3294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3296" name="图片 3295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3297" name="图片 3296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3298" name="图片 3297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3299" name="图片 3298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3300" name="图片 3299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3301" name="图片 3300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3302" name="图片 3301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3303" name="图片 330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3304" name="图片 3303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3305" name="图片 3304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3306" name="图片 3305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3307" name="图片 3306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3308" name="图片 3307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3309" name="图片 3308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3310" name="图片 3309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3311" name="图片 3310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3312" name="图片 3311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3313" name="图片 3312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3314" name="图片 3313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3315" name="图片 3314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3316" name="图片 331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3317" name="图片 3316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3318" name="图片 331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3319" name="图片 3318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3320" name="图片 3319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3321" name="图片 3320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3322" name="图片 3321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3323" name="图片 3322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3324" name="图片 3323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3325" name="图片 3324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3326" name="图片 3325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3327" name="图片 3326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3328" name="图片 3327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3329" name="图片 3328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3330" name="图片 3329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3331" name="图片 3330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3332" name="图片 3331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3333" name="图片 3332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3334" name="图片 3333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3335" name="图片 3334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3336" name="图片 3335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3337" name="图片 3336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3338" name="图片 3337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3339" name="图片 3338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3340" name="图片 3339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3341" name="图片 334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3342" name="图片 3341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3343" name="图片 3342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3344" name="图片 3343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3345" name="图片 3344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3346" name="图片 3345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3347" name="图片 3346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3348" name="图片 3347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3349" name="图片 3348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3350" name="图片 3349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3351" name="图片 3350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3352" name="图片 335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3353" name="图片 3352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3354" name="图片 3353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3355" name="图片 335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3356" name="图片 3355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3357" name="图片 335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3358" name="图片 3357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3359" name="图片 3358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3360" name="图片 3359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3361" name="图片 3360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3362" name="图片 3361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3363" name="图片 3362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3364" name="图片 3363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3365" name="图片 3364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3366" name="图片 3365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3367" name="图片 3366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3368" name="图片 3367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3369" name="图片 3368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3370" name="图片 3369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3371" name="图片 3370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3372" name="图片 3371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3373" name="图片 3372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3374" name="图片 3373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3375" name="图片 3374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3376" name="图片 3375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3377" name="图片 3376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3378" name="图片 3377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3379" name="图片 3378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3380" name="图片 3379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3381" name="图片 3380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3382" name="图片 3381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3383" name="图片 3382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3384" name="图片 3383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3385" name="图片 3384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3386" name="图片 3385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3387" name="图片 3386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3388" name="图片 338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3389" name="图片 3388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3390" name="图片 3389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3391" name="图片 3390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3392" name="图片 3391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3393" name="图片 3392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3394" name="图片 3393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3395" name="图片 339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3396" name="图片 3395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3397" name="图片 3396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3398" name="图片 3397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3399" name="图片 3398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3400" name="图片 3399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3401" name="图片 3400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3402" name="图片 3401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3403" name="图片 3402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3404" name="图片 3403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3405" name="图片 3404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3406" name="图片 3405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3407" name="图片 3406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3408" name="图片 3407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3409" name="图片 3408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3410" name="图片 3409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3411" name="图片 341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3412" name="图片 3411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3413" name="图片 3412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3414" name="图片 3413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3415" name="图片 3414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3416" name="图片 3415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3417" name="图片 3416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3418" name="图片 3417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3419" name="图片 3418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3420" name="图片 3419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3421" name="图片 3420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3422" name="图片 3421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3423" name="图片 3422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3424" name="图片 3423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3425" name="图片 3424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3426" name="图片 3425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3427" name="图片 3426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3428" name="图片 3427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3429" name="图片 3428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3430" name="图片 3429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3431" name="图片 3430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3432" name="图片 3431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3433" name="图片 3432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3434" name="图片 3433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3435" name="图片 3434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3436" name="图片 3435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3437" name="图片 3436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3438" name="图片 3437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3439" name="图片 3438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3440" name="图片 343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3441" name="图片 3440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3442" name="图片 3441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3443" name="图片 3442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3444" name="图片 344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3445" name="图片 3444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3446" name="图片 3445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3447" name="图片 3446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3448" name="图片 3447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3449" name="图片 3448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3450" name="图片 3449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3451" name="图片 3450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3452" name="图片 3451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3453" name="图片 3452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3454" name="图片 3453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3455" name="图片 3454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3456" name="图片 3455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3457" name="图片 3456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3458" name="图片 3457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3459" name="图片 3458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3460" name="图片 3459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3461" name="图片 3460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3462" name="图片 346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3463" name="图片 3462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3464" name="图片 3463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3465" name="图片 3464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3466" name="图片 3465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3467" name="图片 346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3468" name="图片 3467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3469" name="图片 3468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3470" name="图片 3469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3471" name="图片 3470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3472" name="图片 3471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3473" name="图片 3472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3474" name="图片 3473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3475" name="图片 347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3476" name="图片 3475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3477" name="图片 3476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3478" name="图片 3477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3479" name="图片 3478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3480" name="图片 3479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3481" name="图片 3480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3482" name="图片 3481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3483" name="图片 3482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3484" name="图片 3483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3485" name="图片 3484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3486" name="图片 3485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3487" name="图片 3486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3488" name="图片 3487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3489" name="图片 3488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3490" name="图片 3489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3491" name="图片 3490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3492" name="图片 3491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3493" name="图片 3492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3494" name="图片 3493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3495" name="图片 3494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3496" name="图片 3495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3497" name="图片 3496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3498" name="图片 3497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3499" name="图片 3498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3500" name="图片 3499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3501" name="图片 3500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3502" name="图片 3501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3503" name="图片 350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3504" name="图片 3503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3505" name="图片 3504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3506" name="图片 350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3507" name="图片 3506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3508" name="图片 3507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3509" name="图片 3508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3510" name="图片 3509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3511" name="图片 351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3512" name="图片 3511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3513" name="图片 3512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3514" name="图片 3513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3515" name="图片 3514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3516" name="图片 3515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3517" name="图片 3516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3518" name="图片 3517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3519" name="图片 351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3520" name="图片 3519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3521" name="图片 3520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3522" name="图片 3521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3523" name="图片 3522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3524" name="图片 3523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3525" name="图片 3524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3526" name="图片 3525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3527" name="图片 3526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3528" name="图片 3527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3529" name="图片 3528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3530" name="图片 3529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3531" name="图片 3530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3532" name="图片 3531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3533" name="图片 3532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3534" name="图片 3533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3535" name="图片 3534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3536" name="图片 3535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3537" name="图片 3536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3538" name="图片 3537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3539" name="图片 3538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3540" name="图片 3539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3541" name="图片 3540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3542" name="图片 3541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3543" name="图片 3542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3544" name="图片 3543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3545" name="图片 3544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3546" name="图片 3545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3547" name="图片 3546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3548" name="图片 3547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3549" name="图片 3548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3550" name="图片 3549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3551" name="图片 3550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3552" name="图片 3551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3553" name="图片 355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3554" name="图片 3553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3555" name="图片 3554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3556" name="图片 3555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3557" name="图片 3556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3558" name="图片 3557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3559" name="图片 3558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3560" name="图片 3559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3561" name="图片 3560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3562" name="图片 356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3563" name="图片 3562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3564" name="图片 3563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3565" name="图片 3564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3566" name="图片 3565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3567" name="图片 3566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3568" name="图片 3567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3569" name="图片 3568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3570" name="图片 3569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3571" name="图片 3570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3572" name="图片 3571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3573" name="图片 3572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3574" name="图片 3573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3575" name="图片 3574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3576" name="图片 3575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3577" name="图片 3576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3578" name="图片 3577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3579" name="图片 3578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3580" name="图片 3579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3581" name="图片 3580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3582" name="图片 358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3583" name="图片 3582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3584" name="图片 3583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3585" name="图片 3584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3586" name="图片 3585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3587" name="图片 3586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3588" name="图片 3587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3589" name="图片 3588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3590" name="图片 3589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3591" name="图片 3590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3592" name="图片 3591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3593" name="图片 3592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3594" name="图片 3593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3595" name="图片 359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3596" name="图片 3595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3597" name="图片 359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3598" name="图片 3597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3599" name="图片 3598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3600" name="图片 3599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3601" name="图片 3600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3602" name="图片 3601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3603" name="图片 3602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3604" name="图片 3603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3605" name="图片 3604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3606" name="图片 3605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3607" name="图片 3606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3608" name="图片 3607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3609" name="图片 3608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3610" name="图片 3609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3611" name="图片 3610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3612" name="图片 3611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3613" name="图片 3612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3614" name="图片 3613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3615" name="图片 3614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3616" name="图片 3615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3617" name="图片 3616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3618" name="图片 3617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3619" name="图片 3618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3620" name="图片 361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3621" name="图片 3620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3622" name="图片 3621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3623" name="图片 3622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3624" name="图片 3623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3625" name="图片 3624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3626" name="图片 3625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3627" name="图片 3626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3628" name="图片 3627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3629" name="图片 3628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3630" name="图片 3629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3631" name="图片 363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3632" name="图片 3631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3633" name="图片 3632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3634" name="图片 363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3635" name="图片 3634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3636" name="图片 363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3637" name="图片 3636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3638" name="图片 3637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3639" name="图片 3638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3640" name="图片 3639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3641" name="图片 3640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3642" name="图片 3641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3643" name="图片 3642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3644" name="图片 3643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3645" name="图片 3644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3646" name="图片 3645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3647" name="图片 3646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3648" name="图片 3647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3649" name="图片 3648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3650" name="图片 3649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3651" name="图片 3650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3652" name="图片 3651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3653" name="图片 3652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3654" name="图片 3653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3655" name="图片 3654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3656" name="图片 3655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3657" name="图片 3656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3658" name="图片 3657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3659" name="图片 3658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3660" name="图片 3659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3661" name="图片 3660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3662" name="图片 3661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3663" name="图片 3662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3664" name="图片 3663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3665" name="图片 3664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3666" name="图片 3665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3667" name="图片 366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3668" name="图片 3667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3669" name="图片 3668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3670" name="图片 3669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3671" name="图片 3670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3672" name="图片 3671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3673" name="图片 3672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3674" name="图片 367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3675" name="图片 3674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3676" name="图片 3675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3677" name="图片 3676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3678" name="图片 3677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3679" name="图片 3678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3680" name="图片 3679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3681" name="图片 3680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3682" name="图片 3681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3683" name="图片 3682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3684" name="图片 3683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3685" name="图片 3684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3686" name="图片 3685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3687" name="图片 3686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3688" name="图片 3687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3689" name="图片 3688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3690" name="图片 368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3691" name="图片 3690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3692" name="图片 3691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3693" name="图片 3692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3694" name="图片 3693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3695" name="图片 3694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3696" name="图片 3695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3697" name="图片 3696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3698" name="图片 3697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3699" name="图片 3698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3700" name="图片 3699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3701" name="图片 3700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3702" name="图片 3701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3703" name="图片 3702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3704" name="图片 3703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3705" name="图片 3704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3706" name="图片 3705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3707" name="图片 3706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3708" name="图片 3707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3709" name="图片 3708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3710" name="图片 3709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3711" name="图片 3710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3712" name="图片 3711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3713" name="图片 3712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3714" name="图片 3713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3715" name="图片 3714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3716" name="图片 3715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3717" name="图片 3716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3718" name="图片 3717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3719" name="图片 371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3720" name="图片 3719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3721" name="图片 3720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3722" name="图片 3721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3723" name="图片 372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3724" name="图片 3723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3725" name="图片 3724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3726" name="图片 3725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3727" name="图片 3726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3728" name="图片 3727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3729" name="图片 3728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3730" name="图片 3729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3731" name="图片 3730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3732" name="图片 3731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3733" name="图片 3732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3734" name="图片 3733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3735" name="图片 3734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3736" name="图片 3735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3737" name="图片 3736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3738" name="图片 3737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3739" name="图片 3738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3740" name="图片 3739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3741" name="图片 374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3742" name="图片 3741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3743" name="图片 3742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3744" name="图片 3743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3745" name="图片 3744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3746" name="图片 374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3747" name="图片 3746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3748" name="图片 3747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3749" name="图片 3748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3750" name="图片 3749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3751" name="图片 3750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3752" name="图片 3751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3753" name="图片 3752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3754" name="图片 375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3755" name="图片 3754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3756" name="图片 3755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3757" name="图片 3756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3758" name="图片 3757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3759" name="图片 3758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3760" name="图片 3759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3761" name="图片 3760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3762" name="图片 3761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3763" name="图片 3762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3764" name="图片 3763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3765" name="图片 3764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3766" name="图片 3765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3767" name="图片 3766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3768" name="图片 3767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3769" name="图片 3768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3770" name="图片 3769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3771" name="图片 3770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3772" name="图片 3771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3773" name="图片 3772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3774" name="图片 3773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3775" name="图片 3774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3776" name="图片 3775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3777" name="图片 3776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3778" name="图片 3777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3779" name="图片 3778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3780" name="图片 3779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3781" name="图片 3780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3782" name="图片 378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3783" name="图片 3782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3784" name="图片 3783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3785" name="图片 378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3786" name="图片 3785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3787" name="图片 3786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3788" name="图片 3787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3789" name="图片 3788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3790" name="图片 378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3791" name="图片 3790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3792" name="图片 3791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3793" name="图片 3792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3794" name="图片 3793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3795" name="图片 3794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3796" name="图片 3795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3797" name="图片 3796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3798" name="图片 379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3799" name="图片 3798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3800" name="图片 3799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3801" name="图片 3800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3802" name="图片 3801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3803" name="图片 3802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3804" name="图片 3803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3805" name="图片 3804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3806" name="图片 3805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3807" name="图片 3806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3808" name="图片 3807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3809" name="图片 3808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3810" name="图片 3809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3811" name="图片 3810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3812" name="图片 3811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3813" name="图片 3812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3814" name="图片 3813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3815" name="图片 3814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3816" name="图片 3815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3817" name="图片 3816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3818" name="图片 3817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3819" name="图片 3818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3820" name="图片 3819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3821" name="图片 3820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3822" name="图片 3821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3823" name="图片 3822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3824" name="图片 3823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3825" name="图片 3824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3826" name="图片 3825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3827" name="图片 3826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3828" name="图片 3827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3829" name="图片 3828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3830" name="图片 3829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3831" name="图片 3830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3832" name="图片 383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3833" name="图片 3832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3834" name="图片 3833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3835" name="图片 3834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3836" name="图片 3835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3837" name="图片 3836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3838" name="图片 3837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3839" name="图片 3838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3840" name="图片 3839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3841" name="图片 384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3842" name="图片 3841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3843" name="图片 3842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3844" name="图片 3843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3845" name="图片 3844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3846" name="图片 3845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3847" name="图片 3846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3848" name="图片 3847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3849" name="图片 3848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3850" name="图片 3849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3851" name="图片 3850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3852" name="图片 3851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3853" name="图片 3852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3854" name="图片 3853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3855" name="图片 3854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3856" name="图片 3855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3857" name="图片 3856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3858" name="图片 3857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3859" name="图片 3858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3860" name="图片 3859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3861" name="图片 386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3862" name="图片 3861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3863" name="图片 3862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3864" name="图片 3863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3865" name="图片 3864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3866" name="图片 3865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3867" name="图片 3866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3868" name="图片 3867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3869" name="图片 3868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3870" name="图片 3869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3871" name="图片 3870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3872" name="图片 3871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3873" name="图片 3872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3874" name="图片 387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3875" name="图片 3874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3876" name="图片 387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3877" name="图片 3876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3878" name="图片 3877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3879" name="图片 3878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3880" name="图片 3879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3881" name="图片 3880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3882" name="图片 3881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3883" name="图片 3882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3884" name="图片 3883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3885" name="图片 3884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3886" name="图片 3885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3887" name="图片 3886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3888" name="图片 3887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3889" name="图片 3888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3890" name="图片 3889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3891" name="图片 3890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3892" name="图片 3891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3893" name="图片 3892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3894" name="图片 3893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3895" name="图片 3894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3896" name="图片 3895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3897" name="图片 3896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3898" name="图片 3897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3899" name="图片 389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3900" name="图片 3899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3901" name="图片 3900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3902" name="图片 3901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3903" name="图片 3902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3904" name="图片 3903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3905" name="图片 3904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3906" name="图片 3905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3907" name="图片 3906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3908" name="图片 3907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3909" name="图片 3908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3910" name="图片 390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3911" name="图片 3910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3912" name="图片 3911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3913" name="图片 391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3914" name="图片 3913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3915" name="图片 391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3916" name="图片 3915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3917" name="图片 3916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3918" name="图片 3917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3919" name="图片 3918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3920" name="图片 3919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3921" name="图片 3920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3922" name="图片 3921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3923" name="图片 3922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3924" name="图片 3923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3925" name="图片 3924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3926" name="图片 3925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3927" name="图片 3926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3928" name="图片 3927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3929" name="图片 3928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3930" name="图片 3929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3931" name="图片 3930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3932" name="图片 3931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3933" name="图片 3932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3934" name="图片 3933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3935" name="图片 3934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3936" name="图片 3935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3937" name="图片 3936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3938" name="图片 3937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3939" name="图片 3938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3940" name="图片 3939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3941" name="图片 3940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3942" name="图片 3941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3943" name="图片 3942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3944" name="图片 3943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3945" name="图片 3944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3946" name="图片 394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3947" name="图片 3946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3948" name="图片 3947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3949" name="图片 3948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3950" name="图片 3949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3951" name="图片 3950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3952" name="图片 3951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3953" name="图片 395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3954" name="图片 3953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3955" name="图片 3954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3956" name="图片 3955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3957" name="图片 3956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3958" name="图片 3957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3959" name="图片 3958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3960" name="图片 3959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3961" name="图片 3960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3962" name="图片 3961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3963" name="图片 3962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3964" name="图片 3963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3965" name="图片 3964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3966" name="图片 3965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3967" name="图片 3966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3968" name="图片 3967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3969" name="图片 396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3970" name="图片 3969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3971" name="图片 3970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3972" name="图片 3971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3973" name="图片 3972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3974" name="图片 3973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3975" name="图片 3974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3976" name="图片 3975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3977" name="图片 3976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3978" name="图片 3977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3979" name="图片 3978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3980" name="图片 3979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3981" name="图片 3980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3982" name="图片 3981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3983" name="图片 3982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3984" name="图片 3983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3985" name="图片 3984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3986" name="图片 3985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3987" name="图片 3986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3988" name="图片 3987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3989" name="图片 3988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3990" name="图片 3989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3991" name="图片 3990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3992" name="图片 3991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3993" name="图片 3992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3994" name="图片 3993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3995" name="图片 3994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3996" name="图片 3995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3997" name="图片 3996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3998" name="图片 399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3999" name="图片 3998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4000" name="图片 3999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4001" name="图片 4000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4002" name="图片 400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4003" name="图片 4002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4004" name="图片 4003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4005" name="图片 4004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4006" name="图片 4005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4007" name="图片 4006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4008" name="图片 4007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4009" name="图片 4008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4010" name="图片 4009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4011" name="图片 4010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4012" name="图片 4011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4013" name="图片 4012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4014" name="图片 4013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4015" name="图片 4014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4016" name="图片 4015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4017" name="图片 4016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4018" name="图片 4017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4019" name="图片 4018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4020" name="图片 401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4021" name="图片 4020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4022" name="图片 4021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4023" name="图片 4022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4024" name="图片 4023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4025" name="图片 402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4026" name="图片 4025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4027" name="图片 4026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4028" name="图片 4027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4029" name="图片 4028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4030" name="图片 4029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4031" name="图片 4030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4032" name="图片 4031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4033" name="图片 403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4034" name="图片 4033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4035" name="图片 4034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4036" name="图片 4035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4037" name="图片 4036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4038" name="图片 4037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4039" name="图片 4038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4040" name="图片 4039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4041" name="图片 4040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4042" name="图片 4041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4043" name="图片 4042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4044" name="图片 4043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4045" name="图片 4044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4046" name="图片 4045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4047" name="图片 4046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4048" name="图片 4047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4049" name="图片 4048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4050" name="图片 4049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4051" name="图片 4050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4052" name="图片 4051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4053" name="图片 4052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4054" name="图片 4053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4055" name="图片 4054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4056" name="图片 4055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4057" name="图片 4056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4058" name="图片 4057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4059" name="图片 4058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4060" name="图片 4059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4061" name="图片 4060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4062" name="图片 4061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4063" name="图片 4062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4064" name="图片 406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4065" name="图片 4064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4066" name="图片 4065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4067" name="图片 4066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4068" name="图片 4067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4069" name="图片 406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4070" name="图片 4069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4071" name="图片 4070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4072" name="图片 4071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4073" name="图片 4072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4074" name="图片 4073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4075" name="图片 4074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4076" name="图片 4075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4077" name="图片 407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4078" name="图片 4077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4079" name="图片 4078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4080" name="图片 4079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4081" name="图片 4080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4082" name="图片 4081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4083" name="图片 4082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4084" name="图片 4083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4085" name="图片 4084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4086" name="图片 4085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4087" name="图片 4086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4088" name="图片 4087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4089" name="图片 4088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4090" name="图片 4089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4091" name="图片 4090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4092" name="图片 4091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4093" name="图片 4092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4094" name="图片 4093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4095" name="图片 4094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4096" name="图片 4095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4097" name="图片 4096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4098" name="图片 4097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4099" name="图片 4098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4100" name="图片 4099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4101" name="图片 4100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4102" name="图片 4101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4103" name="图片 4102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4104" name="图片 4103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4105" name="图片 4104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4106" name="图片 4105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4107" name="图片 4106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4108" name="图片 4107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4109" name="图片 4108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4110" name="图片 4109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4111" name="图片 411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4112" name="图片 4111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4113" name="图片 4112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4114" name="图片 4113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4115" name="图片 4114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4116" name="图片 4115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4117" name="图片 4116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4118" name="图片 4117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4119" name="图片 4118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4120" name="图片 411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4121" name="图片 4120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4122" name="图片 4121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4123" name="图片 4122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4124" name="图片 4123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4125" name="图片 4124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4126" name="图片 4125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4127" name="图片 4126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4128" name="图片 4127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4129" name="图片 4128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4130" name="图片 4129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4131" name="图片 4130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4132" name="图片 4131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4133" name="图片 4132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4134" name="图片 4133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4135" name="图片 4134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4136" name="图片 4135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4137" name="图片 4136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4138" name="图片 4137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4139" name="图片 4138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4140" name="图片 413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4141" name="图片 4140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4142" name="图片 4141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4143" name="图片 4142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4144" name="图片 4143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4145" name="图片 4144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4146" name="图片 4145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4147" name="图片 4146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4148" name="图片 4147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4149" name="图片 4148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4150" name="图片 4149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4151" name="图片 4150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4152" name="图片 4151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4153" name="图片 415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4154" name="图片 4153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4155" name="图片 415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4156" name="图片 4155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4157" name="图片 4156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4158" name="图片 4157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4159" name="图片 4158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4160" name="图片 4159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4161" name="图片 4160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4162" name="图片 4161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4163" name="图片 4162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4164" name="图片 4163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4165" name="图片 4164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4166" name="图片 4165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4167" name="图片 4166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4168" name="图片 4167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4169" name="图片 4168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4170" name="图片 4169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4171" name="图片 4170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4172" name="图片 4171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4173" name="图片 4172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4174" name="图片 4173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4175" name="图片 4174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4176" name="图片 4175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4177" name="图片 4176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4178" name="图片 417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4179" name="图片 4178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4180" name="图片 4179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4181" name="图片 4180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4182" name="图片 4181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4183" name="图片 4182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4184" name="图片 4183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4185" name="图片 4184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4186" name="图片 4185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4187" name="图片 4186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4188" name="图片 4187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4189" name="图片 418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4190" name="图片 4189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4191" name="图片 4190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4192" name="图片 419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4193" name="图片 4192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4194" name="图片 4193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4195" name="图片 4194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4196" name="图片 4195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4197" name="图片 4196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4198" name="图片 4197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4199" name="图片 4198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4200" name="图片 4199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4201" name="图片 4200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4202" name="图片 4201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4203" name="图片 4202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4204" name="图片 4203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4205" name="图片 4204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4206" name="图片 4205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4207" name="图片 4206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4208" name="图片 4207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4209" name="图片 4208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4210" name="图片 4209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4211" name="图片 4210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4212" name="图片 4211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4213" name="图片 4212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4214" name="图片 4213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4215" name="图片 4214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4216" name="图片 4215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4217" name="图片 4216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4218" name="图片 4217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4219" name="图片 4218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4220" name="图片 4219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4221" name="图片 4220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4222" name="图片 4221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4223" name="图片 4222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4224" name="图片 4223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4225" name="图片 4224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4226" name="图片 4225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4227" name="图片 4226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4228" name="图片 4227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4229" name="图片 4228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4230" name="图片 4229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4231" name="图片 4230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4232" name="图片 423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4233" name="图片 4232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4234" name="图片 4233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4235" name="图片 4234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4236" name="图片 4235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4237" name="图片 4236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4238" name="图片 4237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4239" name="图片 4238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4240" name="图片 4239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4241" name="图片 4240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4242" name="图片 4241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4243" name="图片 4242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4244" name="图片 4243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4245" name="图片 4244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4246" name="图片 4245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4247" name="图片 4246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4248" name="图片 4247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4249" name="图片 4248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4250" name="图片 4249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4251" name="图片 4250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4252" name="图片 4251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4253" name="图片 4252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4254" name="图片 4253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4255" name="图片 4254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4256" name="图片 4255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4257" name="图片 4256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4258" name="图片 4257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4259" name="图片 4258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4260" name="图片 4259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4261" name="图片 4260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4262" name="图片 4261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4263" name="图片 4262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4264" name="图片 4263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4265" name="图片 4264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4266" name="图片 4265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4267" name="图片 4266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4268" name="图片 4267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4269" name="图片 4268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4270" name="图片 4269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4271" name="图片 4270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4272" name="图片 4271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4273" name="图片 4272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4274" name="图片 4273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4275" name="图片 4274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4276" name="图片 4275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4277" name="图片 427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4278" name="图片 4277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4279" name="图片 4278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4280" name="图片 4279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4281" name="图片 428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4282" name="图片 4281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4283" name="图片 4282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4284" name="图片 4283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4285" name="图片 4284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4286" name="图片 4285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4287" name="图片 4286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4288" name="图片 4287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4289" name="图片 4288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4290" name="图片 4289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4291" name="图片 4290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4292" name="图片 4291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4293" name="图片 4292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4294" name="图片 4293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4295" name="图片 4294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4296" name="图片 4295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4297" name="图片 4296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4298" name="图片 4297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4299" name="图片 429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4300" name="图片 4299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4301" name="图片 4300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4302" name="图片 4301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4303" name="图片 4302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4304" name="图片 430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4305" name="图片 4304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4306" name="图片 4305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4307" name="图片 4306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4308" name="图片 4307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4309" name="图片 4308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4310" name="图片 4309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4311" name="图片 4310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4312" name="图片 431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4313" name="图片 4312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4314" name="图片 4313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4315" name="图片 4314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4316" name="图片 4315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4317" name="图片 4316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4318" name="图片 4317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4319" name="图片 4318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4320" name="图片 4319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4321" name="图片 4320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4322" name="图片 4321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4323" name="图片 4322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4324" name="图片 4323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4325" name="图片 4324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4326" name="图片 4325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4327" name="图片 4326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4328" name="图片 4327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4329" name="图片 4328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4330" name="图片 4329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4331" name="图片 4330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4332" name="图片 4331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4333" name="图片 4332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4334" name="图片 4333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4335" name="图片 4334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4336" name="图片 4335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4337" name="图片 4336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4338" name="图片 4337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4339" name="图片 4338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4340" name="图片 4339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4341" name="图片 4340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4342" name="图片 4341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4343" name="图片 434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4344" name="图片 4343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4345" name="图片 4344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4346" name="图片 4345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4347" name="图片 4346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4348" name="图片 434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4349" name="图片 4348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4350" name="图片 4349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4351" name="图片 4350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4352" name="图片 4351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4353" name="图片 4352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4354" name="图片 4353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4355" name="图片 4354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4356" name="图片 435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4357" name="图片 4356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4358" name="图片 4357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4359" name="图片 4358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4360" name="图片 4359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4361" name="图片 4360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4362" name="图片 4361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4363" name="图片 4362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4364" name="图片 4363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4365" name="图片 4364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4366" name="图片 4365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4367" name="图片 4366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4368" name="图片 4367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4369" name="图片 4368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4370" name="图片 4369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4371" name="图片 4370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4372" name="图片 4371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4373" name="图片 4372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4374" name="图片 4373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4375" name="图片 4374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4376" name="图片 4375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4377" name="图片 4376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4378" name="图片 4377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4379" name="图片 4378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4380" name="图片 4379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4381" name="图片 4380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4382" name="图片 4381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4383" name="图片 4382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4384" name="图片 4383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4385" name="图片 4384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4386" name="图片 4385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4387" name="图片 4386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4388" name="图片 4387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4389" name="图片 4388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4390" name="图片 438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4391" name="图片 4390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4392" name="图片 4391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4393" name="图片 4392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4394" name="图片 4393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4395" name="图片 4394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4396" name="图片 4395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4397" name="图片 4396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4398" name="图片 4397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4399" name="图片 4398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4400" name="图片 4399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4401" name="图片 4400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4402" name="图片 4401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4403" name="图片 4402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4404" name="图片 4403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4405" name="图片 4404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4406" name="图片 4405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4407" name="图片 4406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4408" name="图片 4407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4409" name="图片 4408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4410" name="图片 4409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4411" name="图片 4410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4412" name="图片 4411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4413" name="图片 4412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4414" name="图片 4413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4415" name="图片 4414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4416" name="图片 4415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4417" name="图片 4416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4418" name="图片 4417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4419" name="图片 441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4420" name="图片 4419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4421" name="图片 4420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4422" name="图片 4421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4423" name="图片 4422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4424" name="图片 4423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4425" name="图片 4424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4426" name="图片 4425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4427" name="图片 4426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4428" name="图片 4427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4429" name="图片 4428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4430" name="图片 4429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4431" name="图片 4430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4432" name="图片 443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4433" name="图片 4432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4434" name="图片 4433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4435" name="图片 4434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4436" name="图片 4435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4437" name="图片 4436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4438" name="图片 4437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4439" name="图片 4438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4440" name="图片 4439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4441" name="图片 4440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4442" name="图片 4441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4443" name="图片 4442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4444" name="图片 4443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4445" name="图片 4444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4446" name="图片 4445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4447" name="图片 4446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4448" name="图片 4447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4449" name="图片 4448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4450" name="图片 4449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4451" name="图片 4450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4452" name="图片 4451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4453" name="图片 4452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4454" name="图片 4453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4455" name="图片 4454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4456" name="图片 4455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4457" name="图片 445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4458" name="图片 4457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4459" name="图片 4458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4460" name="图片 4459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4461" name="图片 4460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4462" name="图片 4461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4463" name="图片 4462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4464" name="图片 4463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4465" name="图片 4464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4466" name="图片 4465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4467" name="图片 4466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4468" name="图片 446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4469" name="图片 4468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4470" name="图片 4469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4471" name="图片 447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4472" name="图片 4471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4473" name="图片 4472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4474" name="图片 4473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4475" name="图片 4474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4476" name="图片 4475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4477" name="图片 4476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4478" name="图片 4477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4479" name="图片 4478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4480" name="图片 4479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4481" name="图片 4480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4482" name="图片 4481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4483" name="图片 4482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4484" name="图片 4483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4485" name="图片 4484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4486" name="图片 4485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4487" name="图片 4486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4488" name="图片 4487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4489" name="图片 4488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4490" name="图片 4489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4491" name="图片 4490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4492" name="图片 4491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4493" name="图片 4492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4494" name="图片 4493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4495" name="图片 4494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4496" name="图片 4495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4497" name="图片 4496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4498" name="图片 4497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4499" name="图片 4498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4500" name="图片 4499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4501" name="图片 4500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4502" name="图片 4501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4503" name="图片 4502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4504" name="图片 4503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4505" name="图片 4504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4506" name="图片 4505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4507" name="图片 4506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4508" name="图片 4507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4509" name="图片 4508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4510" name="图片 4509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4511" name="图片 4510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4512" name="图片 4511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4513" name="图片 4512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4514" name="图片 4513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4515" name="图片 4514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4516" name="图片 4515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4517" name="图片 4516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4518" name="图片 4517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4519" name="图片 4518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4520" name="图片 4519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4521" name="图片 4520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4522" name="图片 4521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4523" name="图片 4522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4524" name="图片 4523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4525" name="图片 4524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4526" name="图片 4525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4527" name="图片 4526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4528" name="图片 4527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4529" name="图片 4528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4530" name="图片 4529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4531" name="图片 4530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4532" name="图片 4531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4533" name="图片 4532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4534" name="图片 4533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4535" name="图片 4534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4536" name="图片 4535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4537" name="图片 4536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4538" name="图片 4537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4539" name="图片 4538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4540" name="图片 4539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4541" name="图片 4540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4542" name="图片 4541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4543" name="图片 4542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4544" name="图片 4543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4545" name="图片 4544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4546" name="图片 4545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4547" name="图片 4546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4548" name="图片 4547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4549" name="图片 4548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4550" name="图片 4549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4551" name="图片 4550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4552" name="图片 4551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4553" name="图片 4552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4554" name="图片 4553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4555" name="图片 4554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4556" name="图片 4555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4557" name="图片 4556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4558" name="图片 4557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4559" name="图片 4558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4560" name="图片 455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4561" name="图片 4560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4562" name="图片 4561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4563" name="图片 4562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4564" name="图片 4563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4565" name="图片 4564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4566" name="图片 4565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4567" name="图片 4566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4568" name="图片 4567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4569" name="图片 4568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4570" name="图片 4569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4571" name="图片 4570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4572" name="图片 4571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4573" name="图片 4572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4574" name="图片 4573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4575" name="图片 4574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4576" name="图片 4575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4577" name="图片 4576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4578" name="图片 457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4579" name="图片 4578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4580" name="图片 4579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4581" name="图片 4580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4582" name="图片 4581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4583" name="图片 458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4584" name="图片 4583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4585" name="图片 4584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4586" name="图片 4585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4587" name="图片 4586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4588" name="图片 4587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4589" name="图片 4588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4590" name="图片 4589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4591" name="图片 459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4592" name="图片 4591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4593" name="图片 4592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4594" name="图片 4593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4595" name="图片 4594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4596" name="图片 4595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4597" name="图片 4596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4598" name="图片 4597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4599" name="图片 4598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4600" name="图片 4599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4601" name="图片 4600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4602" name="图片 4601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4603" name="图片 4602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4604" name="图片 4603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4605" name="图片 4604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4606" name="图片 4605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4607" name="图片 4606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4608" name="图片 4607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4609" name="图片 4608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4610" name="图片 4609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4611" name="图片 4610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4612" name="图片 4611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4613" name="图片 4612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4614" name="图片 4613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4615" name="图片 4614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4616" name="图片 4615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4617" name="图片 4616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4618" name="图片 4617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4619" name="图片 4618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4620" name="图片 4619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4621" name="图片 4620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</xdr:row>
      <xdr:rowOff>0</xdr:rowOff>
    </xdr:from>
    <xdr:to>
      <xdr:col>3</xdr:col>
      <xdr:colOff>381000</xdr:colOff>
      <xdr:row>4</xdr:row>
      <xdr:rowOff>171450</xdr:rowOff>
    </xdr:to>
    <xdr:pic>
      <xdr:nvPicPr>
        <xdr:cNvPr id="4622" name="图片 4621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14097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</xdr:row>
      <xdr:rowOff>0</xdr:rowOff>
    </xdr:from>
    <xdr:to>
      <xdr:col>3</xdr:col>
      <xdr:colOff>381000</xdr:colOff>
      <xdr:row>8</xdr:row>
      <xdr:rowOff>171450</xdr:rowOff>
    </xdr:to>
    <xdr:pic>
      <xdr:nvPicPr>
        <xdr:cNvPr id="4623" name="图片 4622"/>
        <xdr:cNvPicPr>
          <a:picLocks noChangeAspect="1"/>
        </xdr:cNvPicPr>
      </xdr:nvPicPr>
      <xdr:blipFill>
        <a:blip r:embed="rId3" r:link="rId2"/>
        <a:stretch>
          <a:fillRect/>
        </a:stretch>
      </xdr:blipFill>
      <xdr:spPr>
        <a:xfrm>
          <a:off x="14097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</xdr:row>
      <xdr:rowOff>0</xdr:rowOff>
    </xdr:from>
    <xdr:to>
      <xdr:col>3</xdr:col>
      <xdr:colOff>381000</xdr:colOff>
      <xdr:row>12</xdr:row>
      <xdr:rowOff>171450</xdr:rowOff>
    </xdr:to>
    <xdr:pic>
      <xdr:nvPicPr>
        <xdr:cNvPr id="4624" name="图片 4623"/>
        <xdr:cNvPicPr>
          <a:picLocks noChangeAspect="1"/>
        </xdr:cNvPicPr>
      </xdr:nvPicPr>
      <xdr:blipFill>
        <a:blip r:embed="rId4" r:link="rId2"/>
        <a:stretch>
          <a:fillRect/>
        </a:stretch>
      </xdr:blipFill>
      <xdr:spPr>
        <a:xfrm>
          <a:off x="14097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</xdr:row>
      <xdr:rowOff>0</xdr:rowOff>
    </xdr:from>
    <xdr:to>
      <xdr:col>3</xdr:col>
      <xdr:colOff>381000</xdr:colOff>
      <xdr:row>15</xdr:row>
      <xdr:rowOff>171450</xdr:rowOff>
    </xdr:to>
    <xdr:pic>
      <xdr:nvPicPr>
        <xdr:cNvPr id="4625" name="图片 4624"/>
        <xdr:cNvPicPr>
          <a:picLocks noChangeAspect="1"/>
        </xdr:cNvPicPr>
      </xdr:nvPicPr>
      <xdr:blipFill>
        <a:blip r:embed="rId5" r:link="rId2"/>
        <a:stretch>
          <a:fillRect/>
        </a:stretch>
      </xdr:blipFill>
      <xdr:spPr>
        <a:xfrm>
          <a:off x="14097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3</xdr:col>
      <xdr:colOff>381000</xdr:colOff>
      <xdr:row>19</xdr:row>
      <xdr:rowOff>171450</xdr:rowOff>
    </xdr:to>
    <xdr:pic>
      <xdr:nvPicPr>
        <xdr:cNvPr id="4626" name="图片 4625"/>
        <xdr:cNvPicPr>
          <a:picLocks noChangeAspect="1"/>
        </xdr:cNvPicPr>
      </xdr:nvPicPr>
      <xdr:blipFill>
        <a:blip r:embed="rId6" r:link="rId2"/>
        <a:stretch>
          <a:fillRect/>
        </a:stretch>
      </xdr:blipFill>
      <xdr:spPr>
        <a:xfrm>
          <a:off x="14097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22</xdr:row>
      <xdr:rowOff>0</xdr:rowOff>
    </xdr:from>
    <xdr:to>
      <xdr:col>3</xdr:col>
      <xdr:colOff>381000</xdr:colOff>
      <xdr:row>23</xdr:row>
      <xdr:rowOff>171450</xdr:rowOff>
    </xdr:to>
    <xdr:pic>
      <xdr:nvPicPr>
        <xdr:cNvPr id="4627" name="图片 4626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14097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25</xdr:row>
      <xdr:rowOff>0</xdr:rowOff>
    </xdr:from>
    <xdr:to>
      <xdr:col>3</xdr:col>
      <xdr:colOff>381000</xdr:colOff>
      <xdr:row>26</xdr:row>
      <xdr:rowOff>171450</xdr:rowOff>
    </xdr:to>
    <xdr:pic>
      <xdr:nvPicPr>
        <xdr:cNvPr id="4628" name="图片 4627"/>
        <xdr:cNvPicPr>
          <a:picLocks noChangeAspect="1"/>
        </xdr:cNvPicPr>
      </xdr:nvPicPr>
      <xdr:blipFill>
        <a:blip r:embed="rId8" r:link="rId2"/>
        <a:stretch>
          <a:fillRect/>
        </a:stretch>
      </xdr:blipFill>
      <xdr:spPr>
        <a:xfrm>
          <a:off x="14097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29</xdr:row>
      <xdr:rowOff>0</xdr:rowOff>
    </xdr:from>
    <xdr:to>
      <xdr:col>3</xdr:col>
      <xdr:colOff>381000</xdr:colOff>
      <xdr:row>30</xdr:row>
      <xdr:rowOff>171450</xdr:rowOff>
    </xdr:to>
    <xdr:pic>
      <xdr:nvPicPr>
        <xdr:cNvPr id="4629" name="图片 4628"/>
        <xdr:cNvPicPr>
          <a:picLocks noChangeAspect="1"/>
        </xdr:cNvPicPr>
      </xdr:nvPicPr>
      <xdr:blipFill>
        <a:blip r:embed="rId9" r:link="rId2"/>
        <a:stretch>
          <a:fillRect/>
        </a:stretch>
      </xdr:blipFill>
      <xdr:spPr>
        <a:xfrm>
          <a:off x="14097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33</xdr:row>
      <xdr:rowOff>0</xdr:rowOff>
    </xdr:from>
    <xdr:to>
      <xdr:col>3</xdr:col>
      <xdr:colOff>381000</xdr:colOff>
      <xdr:row>34</xdr:row>
      <xdr:rowOff>171450</xdr:rowOff>
    </xdr:to>
    <xdr:pic>
      <xdr:nvPicPr>
        <xdr:cNvPr id="4630" name="图片 4629"/>
        <xdr:cNvPicPr>
          <a:picLocks noChangeAspect="1"/>
        </xdr:cNvPicPr>
      </xdr:nvPicPr>
      <xdr:blipFill>
        <a:blip r:embed="rId10" r:link="rId2"/>
        <a:stretch>
          <a:fillRect/>
        </a:stretch>
      </xdr:blipFill>
      <xdr:spPr>
        <a:xfrm>
          <a:off x="14097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36</xdr:row>
      <xdr:rowOff>0</xdr:rowOff>
    </xdr:from>
    <xdr:to>
      <xdr:col>3</xdr:col>
      <xdr:colOff>381000</xdr:colOff>
      <xdr:row>37</xdr:row>
      <xdr:rowOff>171450</xdr:rowOff>
    </xdr:to>
    <xdr:pic>
      <xdr:nvPicPr>
        <xdr:cNvPr id="4631" name="图片 4630"/>
        <xdr:cNvPicPr>
          <a:picLocks noChangeAspect="1"/>
        </xdr:cNvPicPr>
      </xdr:nvPicPr>
      <xdr:blipFill>
        <a:blip r:embed="rId11" r:link="rId2"/>
        <a:stretch>
          <a:fillRect/>
        </a:stretch>
      </xdr:blipFill>
      <xdr:spPr>
        <a:xfrm>
          <a:off x="14097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40</xdr:row>
      <xdr:rowOff>0</xdr:rowOff>
    </xdr:from>
    <xdr:to>
      <xdr:col>3</xdr:col>
      <xdr:colOff>381000</xdr:colOff>
      <xdr:row>41</xdr:row>
      <xdr:rowOff>171450</xdr:rowOff>
    </xdr:to>
    <xdr:pic>
      <xdr:nvPicPr>
        <xdr:cNvPr id="4632" name="图片 4631"/>
        <xdr:cNvPicPr>
          <a:picLocks noChangeAspect="1"/>
        </xdr:cNvPicPr>
      </xdr:nvPicPr>
      <xdr:blipFill>
        <a:blip r:embed="rId12" r:link="rId2"/>
        <a:stretch>
          <a:fillRect/>
        </a:stretch>
      </xdr:blipFill>
      <xdr:spPr>
        <a:xfrm>
          <a:off x="14097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44</xdr:row>
      <xdr:rowOff>0</xdr:rowOff>
    </xdr:from>
    <xdr:to>
      <xdr:col>3</xdr:col>
      <xdr:colOff>381000</xdr:colOff>
      <xdr:row>45</xdr:row>
      <xdr:rowOff>171450</xdr:rowOff>
    </xdr:to>
    <xdr:pic>
      <xdr:nvPicPr>
        <xdr:cNvPr id="4633" name="图片 4632"/>
        <xdr:cNvPicPr>
          <a:picLocks noChangeAspect="1"/>
        </xdr:cNvPicPr>
      </xdr:nvPicPr>
      <xdr:blipFill>
        <a:blip r:embed="rId13" r:link="rId2"/>
        <a:stretch>
          <a:fillRect/>
        </a:stretch>
      </xdr:blipFill>
      <xdr:spPr>
        <a:xfrm>
          <a:off x="14097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47</xdr:row>
      <xdr:rowOff>0</xdr:rowOff>
    </xdr:from>
    <xdr:to>
      <xdr:col>3</xdr:col>
      <xdr:colOff>381000</xdr:colOff>
      <xdr:row>48</xdr:row>
      <xdr:rowOff>171450</xdr:rowOff>
    </xdr:to>
    <xdr:pic>
      <xdr:nvPicPr>
        <xdr:cNvPr id="4634" name="图片 4633"/>
        <xdr:cNvPicPr>
          <a:picLocks noChangeAspect="1"/>
        </xdr:cNvPicPr>
      </xdr:nvPicPr>
      <xdr:blipFill>
        <a:blip r:embed="rId14" r:link="rId2"/>
        <a:stretch>
          <a:fillRect/>
        </a:stretch>
      </xdr:blipFill>
      <xdr:spPr>
        <a:xfrm>
          <a:off x="14097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51</xdr:row>
      <xdr:rowOff>0</xdr:rowOff>
    </xdr:from>
    <xdr:to>
      <xdr:col>3</xdr:col>
      <xdr:colOff>381000</xdr:colOff>
      <xdr:row>52</xdr:row>
      <xdr:rowOff>171450</xdr:rowOff>
    </xdr:to>
    <xdr:pic>
      <xdr:nvPicPr>
        <xdr:cNvPr id="4635" name="图片 4634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14097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55</xdr:row>
      <xdr:rowOff>0</xdr:rowOff>
    </xdr:from>
    <xdr:to>
      <xdr:col>3</xdr:col>
      <xdr:colOff>381000</xdr:colOff>
      <xdr:row>56</xdr:row>
      <xdr:rowOff>171450</xdr:rowOff>
    </xdr:to>
    <xdr:pic>
      <xdr:nvPicPr>
        <xdr:cNvPr id="4636" name="图片 4635"/>
        <xdr:cNvPicPr>
          <a:picLocks noChangeAspect="1"/>
        </xdr:cNvPicPr>
      </xdr:nvPicPr>
      <xdr:blipFill>
        <a:blip r:embed="rId16" r:link="rId2"/>
        <a:stretch>
          <a:fillRect/>
        </a:stretch>
      </xdr:blipFill>
      <xdr:spPr>
        <a:xfrm>
          <a:off x="14097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58</xdr:row>
      <xdr:rowOff>0</xdr:rowOff>
    </xdr:from>
    <xdr:to>
      <xdr:col>3</xdr:col>
      <xdr:colOff>381000</xdr:colOff>
      <xdr:row>59</xdr:row>
      <xdr:rowOff>171450</xdr:rowOff>
    </xdr:to>
    <xdr:pic>
      <xdr:nvPicPr>
        <xdr:cNvPr id="4637" name="图片 4636"/>
        <xdr:cNvPicPr>
          <a:picLocks noChangeAspect="1"/>
        </xdr:cNvPicPr>
      </xdr:nvPicPr>
      <xdr:blipFill>
        <a:blip r:embed="rId17" r:link="rId2"/>
        <a:stretch>
          <a:fillRect/>
        </a:stretch>
      </xdr:blipFill>
      <xdr:spPr>
        <a:xfrm>
          <a:off x="14097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62</xdr:row>
      <xdr:rowOff>0</xdr:rowOff>
    </xdr:from>
    <xdr:to>
      <xdr:col>3</xdr:col>
      <xdr:colOff>381000</xdr:colOff>
      <xdr:row>63</xdr:row>
      <xdr:rowOff>171450</xdr:rowOff>
    </xdr:to>
    <xdr:pic>
      <xdr:nvPicPr>
        <xdr:cNvPr id="4638" name="图片 4637"/>
        <xdr:cNvPicPr>
          <a:picLocks noChangeAspect="1"/>
        </xdr:cNvPicPr>
      </xdr:nvPicPr>
      <xdr:blipFill>
        <a:blip r:embed="rId18" r:link="rId2"/>
        <a:stretch>
          <a:fillRect/>
        </a:stretch>
      </xdr:blipFill>
      <xdr:spPr>
        <a:xfrm>
          <a:off x="14097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3</xdr:col>
      <xdr:colOff>381000</xdr:colOff>
      <xdr:row>67</xdr:row>
      <xdr:rowOff>171450</xdr:rowOff>
    </xdr:to>
    <xdr:pic>
      <xdr:nvPicPr>
        <xdr:cNvPr id="4639" name="图片 4638"/>
        <xdr:cNvPicPr>
          <a:picLocks noChangeAspect="1"/>
        </xdr:cNvPicPr>
      </xdr:nvPicPr>
      <xdr:blipFill>
        <a:blip r:embed="rId19" r:link="rId2"/>
        <a:stretch>
          <a:fillRect/>
        </a:stretch>
      </xdr:blipFill>
      <xdr:spPr>
        <a:xfrm>
          <a:off x="14097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69</xdr:row>
      <xdr:rowOff>0</xdr:rowOff>
    </xdr:from>
    <xdr:to>
      <xdr:col>3</xdr:col>
      <xdr:colOff>381000</xdr:colOff>
      <xdr:row>70</xdr:row>
      <xdr:rowOff>171450</xdr:rowOff>
    </xdr:to>
    <xdr:pic>
      <xdr:nvPicPr>
        <xdr:cNvPr id="4640" name="图片 4639"/>
        <xdr:cNvPicPr>
          <a:picLocks noChangeAspect="1"/>
        </xdr:cNvPicPr>
      </xdr:nvPicPr>
      <xdr:blipFill>
        <a:blip r:embed="rId20" r:link="rId2"/>
        <a:stretch>
          <a:fillRect/>
        </a:stretch>
      </xdr:blipFill>
      <xdr:spPr>
        <a:xfrm>
          <a:off x="14097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73</xdr:row>
      <xdr:rowOff>0</xdr:rowOff>
    </xdr:from>
    <xdr:to>
      <xdr:col>3</xdr:col>
      <xdr:colOff>381000</xdr:colOff>
      <xdr:row>74</xdr:row>
      <xdr:rowOff>171450</xdr:rowOff>
    </xdr:to>
    <xdr:pic>
      <xdr:nvPicPr>
        <xdr:cNvPr id="4641" name="图片 4640"/>
        <xdr:cNvPicPr>
          <a:picLocks noChangeAspect="1"/>
        </xdr:cNvPicPr>
      </xdr:nvPicPr>
      <xdr:blipFill>
        <a:blip r:embed="rId21" r:link="rId2"/>
        <a:stretch>
          <a:fillRect/>
        </a:stretch>
      </xdr:blipFill>
      <xdr:spPr>
        <a:xfrm>
          <a:off x="14097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381000</xdr:colOff>
      <xdr:row>78</xdr:row>
      <xdr:rowOff>171450</xdr:rowOff>
    </xdr:to>
    <xdr:pic>
      <xdr:nvPicPr>
        <xdr:cNvPr id="4642" name="图片 4641"/>
        <xdr:cNvPicPr>
          <a:picLocks noChangeAspect="1"/>
        </xdr:cNvPicPr>
      </xdr:nvPicPr>
      <xdr:blipFill>
        <a:blip r:embed="rId22" r:link="rId2"/>
        <a:stretch>
          <a:fillRect/>
        </a:stretch>
      </xdr:blipFill>
      <xdr:spPr>
        <a:xfrm>
          <a:off x="14097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80</xdr:row>
      <xdr:rowOff>0</xdr:rowOff>
    </xdr:from>
    <xdr:to>
      <xdr:col>3</xdr:col>
      <xdr:colOff>381000</xdr:colOff>
      <xdr:row>81</xdr:row>
      <xdr:rowOff>171450</xdr:rowOff>
    </xdr:to>
    <xdr:pic>
      <xdr:nvPicPr>
        <xdr:cNvPr id="4643" name="图片 4642"/>
        <xdr:cNvPicPr>
          <a:picLocks noChangeAspect="1"/>
        </xdr:cNvPicPr>
      </xdr:nvPicPr>
      <xdr:blipFill>
        <a:blip r:embed="rId23" r:link="rId2"/>
        <a:stretch>
          <a:fillRect/>
        </a:stretch>
      </xdr:blipFill>
      <xdr:spPr>
        <a:xfrm>
          <a:off x="14097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84</xdr:row>
      <xdr:rowOff>0</xdr:rowOff>
    </xdr:from>
    <xdr:to>
      <xdr:col>3</xdr:col>
      <xdr:colOff>381000</xdr:colOff>
      <xdr:row>85</xdr:row>
      <xdr:rowOff>171450</xdr:rowOff>
    </xdr:to>
    <xdr:pic>
      <xdr:nvPicPr>
        <xdr:cNvPr id="4644" name="图片 4643"/>
        <xdr:cNvPicPr>
          <a:picLocks noChangeAspect="1"/>
        </xdr:cNvPicPr>
      </xdr:nvPicPr>
      <xdr:blipFill>
        <a:blip r:embed="rId24" r:link="rId2"/>
        <a:stretch>
          <a:fillRect/>
        </a:stretch>
      </xdr:blipFill>
      <xdr:spPr>
        <a:xfrm>
          <a:off x="14097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381000</xdr:colOff>
      <xdr:row>89</xdr:row>
      <xdr:rowOff>171450</xdr:rowOff>
    </xdr:to>
    <xdr:pic>
      <xdr:nvPicPr>
        <xdr:cNvPr id="4645" name="图片 4644"/>
        <xdr:cNvPicPr>
          <a:picLocks noChangeAspect="1"/>
        </xdr:cNvPicPr>
      </xdr:nvPicPr>
      <xdr:blipFill>
        <a:blip r:embed="rId25" r:link="rId2"/>
        <a:stretch>
          <a:fillRect/>
        </a:stretch>
      </xdr:blipFill>
      <xdr:spPr>
        <a:xfrm>
          <a:off x="14097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381000</xdr:colOff>
      <xdr:row>92</xdr:row>
      <xdr:rowOff>171450</xdr:rowOff>
    </xdr:to>
    <xdr:pic>
      <xdr:nvPicPr>
        <xdr:cNvPr id="4646" name="图片 4645"/>
        <xdr:cNvPicPr>
          <a:picLocks noChangeAspect="1"/>
        </xdr:cNvPicPr>
      </xdr:nvPicPr>
      <xdr:blipFill>
        <a:blip r:embed="rId26" r:link="rId2"/>
        <a:stretch>
          <a:fillRect/>
        </a:stretch>
      </xdr:blipFill>
      <xdr:spPr>
        <a:xfrm>
          <a:off x="14097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381000</xdr:colOff>
      <xdr:row>96</xdr:row>
      <xdr:rowOff>171450</xdr:rowOff>
    </xdr:to>
    <xdr:pic>
      <xdr:nvPicPr>
        <xdr:cNvPr id="4647" name="图片 4646"/>
        <xdr:cNvPicPr>
          <a:picLocks noChangeAspect="1"/>
        </xdr:cNvPicPr>
      </xdr:nvPicPr>
      <xdr:blipFill>
        <a:blip r:embed="rId27" r:link="rId2"/>
        <a:stretch>
          <a:fillRect/>
        </a:stretch>
      </xdr:blipFill>
      <xdr:spPr>
        <a:xfrm>
          <a:off x="14097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99</xdr:row>
      <xdr:rowOff>0</xdr:rowOff>
    </xdr:from>
    <xdr:to>
      <xdr:col>3</xdr:col>
      <xdr:colOff>381000</xdr:colOff>
      <xdr:row>100</xdr:row>
      <xdr:rowOff>171450</xdr:rowOff>
    </xdr:to>
    <xdr:pic>
      <xdr:nvPicPr>
        <xdr:cNvPr id="4648" name="图片 4647"/>
        <xdr:cNvPicPr>
          <a:picLocks noChangeAspect="1"/>
        </xdr:cNvPicPr>
      </xdr:nvPicPr>
      <xdr:blipFill>
        <a:blip r:embed="rId28" r:link="rId2"/>
        <a:stretch>
          <a:fillRect/>
        </a:stretch>
      </xdr:blipFill>
      <xdr:spPr>
        <a:xfrm>
          <a:off x="14097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102</xdr:row>
      <xdr:rowOff>0</xdr:rowOff>
    </xdr:from>
    <xdr:to>
      <xdr:col>3</xdr:col>
      <xdr:colOff>381000</xdr:colOff>
      <xdr:row>103</xdr:row>
      <xdr:rowOff>171450</xdr:rowOff>
    </xdr:to>
    <xdr:pic>
      <xdr:nvPicPr>
        <xdr:cNvPr id="4649" name="图片 4648"/>
        <xdr:cNvPicPr>
          <a:picLocks noChangeAspect="1"/>
        </xdr:cNvPicPr>
      </xdr:nvPicPr>
      <xdr:blipFill>
        <a:blip r:embed="rId29" r:link="rId2"/>
        <a:stretch>
          <a:fillRect/>
        </a:stretch>
      </xdr:blipFill>
      <xdr:spPr>
        <a:xfrm>
          <a:off x="14097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106</xdr:row>
      <xdr:rowOff>0</xdr:rowOff>
    </xdr:from>
    <xdr:to>
      <xdr:col>3</xdr:col>
      <xdr:colOff>381000</xdr:colOff>
      <xdr:row>107</xdr:row>
      <xdr:rowOff>171450</xdr:rowOff>
    </xdr:to>
    <xdr:pic>
      <xdr:nvPicPr>
        <xdr:cNvPr id="4650" name="图片 4649"/>
        <xdr:cNvPicPr>
          <a:picLocks noChangeAspect="1"/>
        </xdr:cNvPicPr>
      </xdr:nvPicPr>
      <xdr:blipFill>
        <a:blip r:embed="rId30" r:link="rId2"/>
        <a:stretch>
          <a:fillRect/>
        </a:stretch>
      </xdr:blipFill>
      <xdr:spPr>
        <a:xfrm>
          <a:off x="14097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110</xdr:row>
      <xdr:rowOff>0</xdr:rowOff>
    </xdr:from>
    <xdr:to>
      <xdr:col>3</xdr:col>
      <xdr:colOff>381000</xdr:colOff>
      <xdr:row>111</xdr:row>
      <xdr:rowOff>171450</xdr:rowOff>
    </xdr:to>
    <xdr:pic>
      <xdr:nvPicPr>
        <xdr:cNvPr id="4651" name="图片 4650"/>
        <xdr:cNvPicPr>
          <a:picLocks noChangeAspect="1"/>
        </xdr:cNvPicPr>
      </xdr:nvPicPr>
      <xdr:blipFill>
        <a:blip r:embed="rId31" r:link="rId2"/>
        <a:stretch>
          <a:fillRect/>
        </a:stretch>
      </xdr:blipFill>
      <xdr:spPr>
        <a:xfrm>
          <a:off x="14097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381000</xdr:colOff>
      <xdr:row>114</xdr:row>
      <xdr:rowOff>171450</xdr:rowOff>
    </xdr:to>
    <xdr:pic>
      <xdr:nvPicPr>
        <xdr:cNvPr id="4652" name="图片 4651"/>
        <xdr:cNvPicPr>
          <a:picLocks noChangeAspect="1"/>
        </xdr:cNvPicPr>
      </xdr:nvPicPr>
      <xdr:blipFill>
        <a:blip r:embed="rId32" r:link="rId2"/>
        <a:stretch>
          <a:fillRect/>
        </a:stretch>
      </xdr:blipFill>
      <xdr:spPr>
        <a:xfrm>
          <a:off x="14097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117</xdr:row>
      <xdr:rowOff>0</xdr:rowOff>
    </xdr:from>
    <xdr:to>
      <xdr:col>3</xdr:col>
      <xdr:colOff>381000</xdr:colOff>
      <xdr:row>118</xdr:row>
      <xdr:rowOff>171450</xdr:rowOff>
    </xdr:to>
    <xdr:pic>
      <xdr:nvPicPr>
        <xdr:cNvPr id="4653" name="图片 4652"/>
        <xdr:cNvPicPr>
          <a:picLocks noChangeAspect="1"/>
        </xdr:cNvPicPr>
      </xdr:nvPicPr>
      <xdr:blipFill>
        <a:blip r:embed="rId33" r:link="rId2"/>
        <a:stretch>
          <a:fillRect/>
        </a:stretch>
      </xdr:blipFill>
      <xdr:spPr>
        <a:xfrm>
          <a:off x="14097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121</xdr:row>
      <xdr:rowOff>0</xdr:rowOff>
    </xdr:from>
    <xdr:to>
      <xdr:col>3</xdr:col>
      <xdr:colOff>381000</xdr:colOff>
      <xdr:row>122</xdr:row>
      <xdr:rowOff>171450</xdr:rowOff>
    </xdr:to>
    <xdr:pic>
      <xdr:nvPicPr>
        <xdr:cNvPr id="4654" name="图片 4653"/>
        <xdr:cNvPicPr>
          <a:picLocks noChangeAspect="1"/>
        </xdr:cNvPicPr>
      </xdr:nvPicPr>
      <xdr:blipFill>
        <a:blip r:embed="rId34" r:link="rId2"/>
        <a:stretch>
          <a:fillRect/>
        </a:stretch>
      </xdr:blipFill>
      <xdr:spPr>
        <a:xfrm>
          <a:off x="14097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124</xdr:row>
      <xdr:rowOff>0</xdr:rowOff>
    </xdr:from>
    <xdr:to>
      <xdr:col>3</xdr:col>
      <xdr:colOff>381000</xdr:colOff>
      <xdr:row>125</xdr:row>
      <xdr:rowOff>171450</xdr:rowOff>
    </xdr:to>
    <xdr:pic>
      <xdr:nvPicPr>
        <xdr:cNvPr id="4655" name="图片 4654"/>
        <xdr:cNvPicPr>
          <a:picLocks noChangeAspect="1"/>
        </xdr:cNvPicPr>
      </xdr:nvPicPr>
      <xdr:blipFill>
        <a:blip r:embed="rId35" r:link="rId2"/>
        <a:stretch>
          <a:fillRect/>
        </a:stretch>
      </xdr:blipFill>
      <xdr:spPr>
        <a:xfrm>
          <a:off x="14097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128</xdr:row>
      <xdr:rowOff>0</xdr:rowOff>
    </xdr:from>
    <xdr:to>
      <xdr:col>3</xdr:col>
      <xdr:colOff>381000</xdr:colOff>
      <xdr:row>129</xdr:row>
      <xdr:rowOff>171450</xdr:rowOff>
    </xdr:to>
    <xdr:pic>
      <xdr:nvPicPr>
        <xdr:cNvPr id="4656" name="图片 4655"/>
        <xdr:cNvPicPr>
          <a:picLocks noChangeAspect="1"/>
        </xdr:cNvPicPr>
      </xdr:nvPicPr>
      <xdr:blipFill>
        <a:blip r:embed="rId36" r:link="rId2"/>
        <a:stretch>
          <a:fillRect/>
        </a:stretch>
      </xdr:blipFill>
      <xdr:spPr>
        <a:xfrm>
          <a:off x="14097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132</xdr:row>
      <xdr:rowOff>0</xdr:rowOff>
    </xdr:from>
    <xdr:to>
      <xdr:col>3</xdr:col>
      <xdr:colOff>381000</xdr:colOff>
      <xdr:row>133</xdr:row>
      <xdr:rowOff>171450</xdr:rowOff>
    </xdr:to>
    <xdr:pic>
      <xdr:nvPicPr>
        <xdr:cNvPr id="4657" name="图片 4656"/>
        <xdr:cNvPicPr>
          <a:picLocks noChangeAspect="1"/>
        </xdr:cNvPicPr>
      </xdr:nvPicPr>
      <xdr:blipFill>
        <a:blip r:embed="rId37" r:link="rId2"/>
        <a:stretch>
          <a:fillRect/>
        </a:stretch>
      </xdr:blipFill>
      <xdr:spPr>
        <a:xfrm>
          <a:off x="14097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135</xdr:row>
      <xdr:rowOff>0</xdr:rowOff>
    </xdr:from>
    <xdr:to>
      <xdr:col>3</xdr:col>
      <xdr:colOff>381000</xdr:colOff>
      <xdr:row>136</xdr:row>
      <xdr:rowOff>171450</xdr:rowOff>
    </xdr:to>
    <xdr:pic>
      <xdr:nvPicPr>
        <xdr:cNvPr id="4658" name="图片 4657"/>
        <xdr:cNvPicPr>
          <a:picLocks noChangeAspect="1"/>
        </xdr:cNvPicPr>
      </xdr:nvPicPr>
      <xdr:blipFill>
        <a:blip r:embed="rId38" r:link="rId2"/>
        <a:stretch>
          <a:fillRect/>
        </a:stretch>
      </xdr:blipFill>
      <xdr:spPr>
        <a:xfrm>
          <a:off x="14097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139</xdr:row>
      <xdr:rowOff>0</xdr:rowOff>
    </xdr:from>
    <xdr:to>
      <xdr:col>3</xdr:col>
      <xdr:colOff>381000</xdr:colOff>
      <xdr:row>140</xdr:row>
      <xdr:rowOff>171450</xdr:rowOff>
    </xdr:to>
    <xdr:pic>
      <xdr:nvPicPr>
        <xdr:cNvPr id="4659" name="图片 4658"/>
        <xdr:cNvPicPr>
          <a:picLocks noChangeAspect="1"/>
        </xdr:cNvPicPr>
      </xdr:nvPicPr>
      <xdr:blipFill>
        <a:blip r:embed="rId39" r:link="rId2"/>
        <a:stretch>
          <a:fillRect/>
        </a:stretch>
      </xdr:blipFill>
      <xdr:spPr>
        <a:xfrm>
          <a:off x="14097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</xdr:col>
      <xdr:colOff>0</xdr:colOff>
      <xdr:row>143</xdr:row>
      <xdr:rowOff>0</xdr:rowOff>
    </xdr:from>
    <xdr:to>
      <xdr:col>3</xdr:col>
      <xdr:colOff>381000</xdr:colOff>
      <xdr:row>144</xdr:row>
      <xdr:rowOff>171450</xdr:rowOff>
    </xdr:to>
    <xdr:pic>
      <xdr:nvPicPr>
        <xdr:cNvPr id="4660" name="图片 4659"/>
        <xdr:cNvPicPr>
          <a:picLocks noChangeAspect="1"/>
        </xdr:cNvPicPr>
      </xdr:nvPicPr>
      <xdr:blipFill>
        <a:blip r:embed="rId40" r:link="rId2"/>
        <a:stretch>
          <a:fillRect/>
        </a:stretch>
      </xdr:blipFill>
      <xdr:spPr>
        <a:xfrm>
          <a:off x="14097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</xdr:row>
      <xdr:rowOff>0</xdr:rowOff>
    </xdr:from>
    <xdr:to>
      <xdr:col>4</xdr:col>
      <xdr:colOff>381000</xdr:colOff>
      <xdr:row>4</xdr:row>
      <xdr:rowOff>171450</xdr:rowOff>
    </xdr:to>
    <xdr:pic>
      <xdr:nvPicPr>
        <xdr:cNvPr id="4661" name="图片 4660"/>
        <xdr:cNvPicPr>
          <a:picLocks noChangeAspect="1"/>
        </xdr:cNvPicPr>
      </xdr:nvPicPr>
      <xdr:blipFill>
        <a:blip r:embed="rId41" r:link="rId2"/>
        <a:stretch>
          <a:fillRect/>
        </a:stretch>
      </xdr:blipFill>
      <xdr:spPr>
        <a:xfrm>
          <a:off x="24479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</xdr:row>
      <xdr:rowOff>0</xdr:rowOff>
    </xdr:from>
    <xdr:to>
      <xdr:col>4</xdr:col>
      <xdr:colOff>381000</xdr:colOff>
      <xdr:row>8</xdr:row>
      <xdr:rowOff>171450</xdr:rowOff>
    </xdr:to>
    <xdr:pic>
      <xdr:nvPicPr>
        <xdr:cNvPr id="4662" name="图片 4661"/>
        <xdr:cNvPicPr>
          <a:picLocks noChangeAspect="1"/>
        </xdr:cNvPicPr>
      </xdr:nvPicPr>
      <xdr:blipFill>
        <a:blip r:embed="rId42" r:link="rId2"/>
        <a:stretch>
          <a:fillRect/>
        </a:stretch>
      </xdr:blipFill>
      <xdr:spPr>
        <a:xfrm>
          <a:off x="24479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</xdr:row>
      <xdr:rowOff>0</xdr:rowOff>
    </xdr:from>
    <xdr:to>
      <xdr:col>4</xdr:col>
      <xdr:colOff>381000</xdr:colOff>
      <xdr:row>12</xdr:row>
      <xdr:rowOff>171450</xdr:rowOff>
    </xdr:to>
    <xdr:pic>
      <xdr:nvPicPr>
        <xdr:cNvPr id="4663" name="图片 4662"/>
        <xdr:cNvPicPr>
          <a:picLocks noChangeAspect="1"/>
        </xdr:cNvPicPr>
      </xdr:nvPicPr>
      <xdr:blipFill>
        <a:blip r:embed="rId43" r:link="rId2"/>
        <a:stretch>
          <a:fillRect/>
        </a:stretch>
      </xdr:blipFill>
      <xdr:spPr>
        <a:xfrm>
          <a:off x="24479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</xdr:row>
      <xdr:rowOff>0</xdr:rowOff>
    </xdr:from>
    <xdr:to>
      <xdr:col>4</xdr:col>
      <xdr:colOff>381000</xdr:colOff>
      <xdr:row>15</xdr:row>
      <xdr:rowOff>171450</xdr:rowOff>
    </xdr:to>
    <xdr:pic>
      <xdr:nvPicPr>
        <xdr:cNvPr id="4664" name="图片 4663"/>
        <xdr:cNvPicPr>
          <a:picLocks noChangeAspect="1"/>
        </xdr:cNvPicPr>
      </xdr:nvPicPr>
      <xdr:blipFill>
        <a:blip r:embed="rId44" r:link="rId2"/>
        <a:stretch>
          <a:fillRect/>
        </a:stretch>
      </xdr:blipFill>
      <xdr:spPr>
        <a:xfrm>
          <a:off x="24479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18</xdr:row>
      <xdr:rowOff>0</xdr:rowOff>
    </xdr:from>
    <xdr:to>
      <xdr:col>4</xdr:col>
      <xdr:colOff>381000</xdr:colOff>
      <xdr:row>19</xdr:row>
      <xdr:rowOff>171450</xdr:rowOff>
    </xdr:to>
    <xdr:pic>
      <xdr:nvPicPr>
        <xdr:cNvPr id="4665" name="图片 4664"/>
        <xdr:cNvPicPr>
          <a:picLocks noChangeAspect="1"/>
        </xdr:cNvPicPr>
      </xdr:nvPicPr>
      <xdr:blipFill>
        <a:blip r:embed="rId45" r:link="rId2"/>
        <a:stretch>
          <a:fillRect/>
        </a:stretch>
      </xdr:blipFill>
      <xdr:spPr>
        <a:xfrm>
          <a:off x="24479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22</xdr:row>
      <xdr:rowOff>0</xdr:rowOff>
    </xdr:from>
    <xdr:to>
      <xdr:col>4</xdr:col>
      <xdr:colOff>381000</xdr:colOff>
      <xdr:row>23</xdr:row>
      <xdr:rowOff>171450</xdr:rowOff>
    </xdr:to>
    <xdr:pic>
      <xdr:nvPicPr>
        <xdr:cNvPr id="4666" name="图片 4665"/>
        <xdr:cNvPicPr>
          <a:picLocks noChangeAspect="1"/>
        </xdr:cNvPicPr>
      </xdr:nvPicPr>
      <xdr:blipFill>
        <a:blip r:embed="rId46" r:link="rId2"/>
        <a:stretch>
          <a:fillRect/>
        </a:stretch>
      </xdr:blipFill>
      <xdr:spPr>
        <a:xfrm>
          <a:off x="24479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25</xdr:row>
      <xdr:rowOff>0</xdr:rowOff>
    </xdr:from>
    <xdr:to>
      <xdr:col>4</xdr:col>
      <xdr:colOff>381000</xdr:colOff>
      <xdr:row>26</xdr:row>
      <xdr:rowOff>171450</xdr:rowOff>
    </xdr:to>
    <xdr:pic>
      <xdr:nvPicPr>
        <xdr:cNvPr id="4667" name="图片 4666"/>
        <xdr:cNvPicPr>
          <a:picLocks noChangeAspect="1"/>
        </xdr:cNvPicPr>
      </xdr:nvPicPr>
      <xdr:blipFill>
        <a:blip r:embed="rId47" r:link="rId2"/>
        <a:stretch>
          <a:fillRect/>
        </a:stretch>
      </xdr:blipFill>
      <xdr:spPr>
        <a:xfrm>
          <a:off x="24479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29</xdr:row>
      <xdr:rowOff>0</xdr:rowOff>
    </xdr:from>
    <xdr:to>
      <xdr:col>4</xdr:col>
      <xdr:colOff>381000</xdr:colOff>
      <xdr:row>30</xdr:row>
      <xdr:rowOff>171450</xdr:rowOff>
    </xdr:to>
    <xdr:pic>
      <xdr:nvPicPr>
        <xdr:cNvPr id="4668" name="图片 4667"/>
        <xdr:cNvPicPr>
          <a:picLocks noChangeAspect="1"/>
        </xdr:cNvPicPr>
      </xdr:nvPicPr>
      <xdr:blipFill>
        <a:blip r:embed="rId48" r:link="rId2"/>
        <a:stretch>
          <a:fillRect/>
        </a:stretch>
      </xdr:blipFill>
      <xdr:spPr>
        <a:xfrm>
          <a:off x="24479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33</xdr:row>
      <xdr:rowOff>0</xdr:rowOff>
    </xdr:from>
    <xdr:to>
      <xdr:col>4</xdr:col>
      <xdr:colOff>381000</xdr:colOff>
      <xdr:row>34</xdr:row>
      <xdr:rowOff>171450</xdr:rowOff>
    </xdr:to>
    <xdr:pic>
      <xdr:nvPicPr>
        <xdr:cNvPr id="4669" name="图片 466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24479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36</xdr:row>
      <xdr:rowOff>0</xdr:rowOff>
    </xdr:from>
    <xdr:to>
      <xdr:col>4</xdr:col>
      <xdr:colOff>381000</xdr:colOff>
      <xdr:row>37</xdr:row>
      <xdr:rowOff>171450</xdr:rowOff>
    </xdr:to>
    <xdr:pic>
      <xdr:nvPicPr>
        <xdr:cNvPr id="4670" name="图片 4669"/>
        <xdr:cNvPicPr>
          <a:picLocks noChangeAspect="1"/>
        </xdr:cNvPicPr>
      </xdr:nvPicPr>
      <xdr:blipFill>
        <a:blip r:embed="rId49" r:link="rId2"/>
        <a:stretch>
          <a:fillRect/>
        </a:stretch>
      </xdr:blipFill>
      <xdr:spPr>
        <a:xfrm>
          <a:off x="24479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40</xdr:row>
      <xdr:rowOff>0</xdr:rowOff>
    </xdr:from>
    <xdr:to>
      <xdr:col>4</xdr:col>
      <xdr:colOff>381000</xdr:colOff>
      <xdr:row>41</xdr:row>
      <xdr:rowOff>171450</xdr:rowOff>
    </xdr:to>
    <xdr:pic>
      <xdr:nvPicPr>
        <xdr:cNvPr id="4671" name="图片 4670"/>
        <xdr:cNvPicPr>
          <a:picLocks noChangeAspect="1"/>
        </xdr:cNvPicPr>
      </xdr:nvPicPr>
      <xdr:blipFill>
        <a:blip r:embed="rId50" r:link="rId2"/>
        <a:stretch>
          <a:fillRect/>
        </a:stretch>
      </xdr:blipFill>
      <xdr:spPr>
        <a:xfrm>
          <a:off x="24479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44</xdr:row>
      <xdr:rowOff>0</xdr:rowOff>
    </xdr:from>
    <xdr:to>
      <xdr:col>4</xdr:col>
      <xdr:colOff>381000</xdr:colOff>
      <xdr:row>45</xdr:row>
      <xdr:rowOff>171450</xdr:rowOff>
    </xdr:to>
    <xdr:pic>
      <xdr:nvPicPr>
        <xdr:cNvPr id="4672" name="图片 4671"/>
        <xdr:cNvPicPr>
          <a:picLocks noChangeAspect="1"/>
        </xdr:cNvPicPr>
      </xdr:nvPicPr>
      <xdr:blipFill>
        <a:blip r:embed="rId51" r:link="rId2"/>
        <a:stretch>
          <a:fillRect/>
        </a:stretch>
      </xdr:blipFill>
      <xdr:spPr>
        <a:xfrm>
          <a:off x="24479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47</xdr:row>
      <xdr:rowOff>0</xdr:rowOff>
    </xdr:from>
    <xdr:to>
      <xdr:col>4</xdr:col>
      <xdr:colOff>381000</xdr:colOff>
      <xdr:row>48</xdr:row>
      <xdr:rowOff>171450</xdr:rowOff>
    </xdr:to>
    <xdr:pic>
      <xdr:nvPicPr>
        <xdr:cNvPr id="4673" name="图片 4672"/>
        <xdr:cNvPicPr>
          <a:picLocks noChangeAspect="1"/>
        </xdr:cNvPicPr>
      </xdr:nvPicPr>
      <xdr:blipFill>
        <a:blip r:embed="rId52" r:link="rId2"/>
        <a:stretch>
          <a:fillRect/>
        </a:stretch>
      </xdr:blipFill>
      <xdr:spPr>
        <a:xfrm>
          <a:off x="24479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51</xdr:row>
      <xdr:rowOff>0</xdr:rowOff>
    </xdr:from>
    <xdr:to>
      <xdr:col>4</xdr:col>
      <xdr:colOff>381000</xdr:colOff>
      <xdr:row>52</xdr:row>
      <xdr:rowOff>171450</xdr:rowOff>
    </xdr:to>
    <xdr:pic>
      <xdr:nvPicPr>
        <xdr:cNvPr id="4674" name="图片 4673"/>
        <xdr:cNvPicPr>
          <a:picLocks noChangeAspect="1"/>
        </xdr:cNvPicPr>
      </xdr:nvPicPr>
      <xdr:blipFill>
        <a:blip r:embed="rId53" r:link="rId2"/>
        <a:stretch>
          <a:fillRect/>
        </a:stretch>
      </xdr:blipFill>
      <xdr:spPr>
        <a:xfrm>
          <a:off x="24479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55</xdr:row>
      <xdr:rowOff>0</xdr:rowOff>
    </xdr:from>
    <xdr:to>
      <xdr:col>4</xdr:col>
      <xdr:colOff>381000</xdr:colOff>
      <xdr:row>56</xdr:row>
      <xdr:rowOff>171450</xdr:rowOff>
    </xdr:to>
    <xdr:pic>
      <xdr:nvPicPr>
        <xdr:cNvPr id="4675" name="图片 4674"/>
        <xdr:cNvPicPr>
          <a:picLocks noChangeAspect="1"/>
        </xdr:cNvPicPr>
      </xdr:nvPicPr>
      <xdr:blipFill>
        <a:blip r:embed="rId54" r:link="rId2"/>
        <a:stretch>
          <a:fillRect/>
        </a:stretch>
      </xdr:blipFill>
      <xdr:spPr>
        <a:xfrm>
          <a:off x="24479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58</xdr:row>
      <xdr:rowOff>0</xdr:rowOff>
    </xdr:from>
    <xdr:to>
      <xdr:col>4</xdr:col>
      <xdr:colOff>381000</xdr:colOff>
      <xdr:row>59</xdr:row>
      <xdr:rowOff>171450</xdr:rowOff>
    </xdr:to>
    <xdr:pic>
      <xdr:nvPicPr>
        <xdr:cNvPr id="4676" name="图片 4675"/>
        <xdr:cNvPicPr>
          <a:picLocks noChangeAspect="1"/>
        </xdr:cNvPicPr>
      </xdr:nvPicPr>
      <xdr:blipFill>
        <a:blip r:embed="rId55" r:link="rId2"/>
        <a:stretch>
          <a:fillRect/>
        </a:stretch>
      </xdr:blipFill>
      <xdr:spPr>
        <a:xfrm>
          <a:off x="24479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62</xdr:row>
      <xdr:rowOff>0</xdr:rowOff>
    </xdr:from>
    <xdr:to>
      <xdr:col>4</xdr:col>
      <xdr:colOff>381000</xdr:colOff>
      <xdr:row>63</xdr:row>
      <xdr:rowOff>171450</xdr:rowOff>
    </xdr:to>
    <xdr:pic>
      <xdr:nvPicPr>
        <xdr:cNvPr id="4677" name="图片 4676"/>
        <xdr:cNvPicPr>
          <a:picLocks noChangeAspect="1"/>
        </xdr:cNvPicPr>
      </xdr:nvPicPr>
      <xdr:blipFill>
        <a:blip r:embed="rId56" r:link="rId2"/>
        <a:stretch>
          <a:fillRect/>
        </a:stretch>
      </xdr:blipFill>
      <xdr:spPr>
        <a:xfrm>
          <a:off x="24479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66</xdr:row>
      <xdr:rowOff>0</xdr:rowOff>
    </xdr:from>
    <xdr:to>
      <xdr:col>4</xdr:col>
      <xdr:colOff>381000</xdr:colOff>
      <xdr:row>67</xdr:row>
      <xdr:rowOff>171450</xdr:rowOff>
    </xdr:to>
    <xdr:pic>
      <xdr:nvPicPr>
        <xdr:cNvPr id="4678" name="图片 4677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24479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69</xdr:row>
      <xdr:rowOff>0</xdr:rowOff>
    </xdr:from>
    <xdr:to>
      <xdr:col>4</xdr:col>
      <xdr:colOff>381000</xdr:colOff>
      <xdr:row>70</xdr:row>
      <xdr:rowOff>171450</xdr:rowOff>
    </xdr:to>
    <xdr:pic>
      <xdr:nvPicPr>
        <xdr:cNvPr id="4679" name="图片 4678"/>
        <xdr:cNvPicPr>
          <a:picLocks noChangeAspect="1"/>
        </xdr:cNvPicPr>
      </xdr:nvPicPr>
      <xdr:blipFill>
        <a:blip r:embed="rId57" r:link="rId2"/>
        <a:stretch>
          <a:fillRect/>
        </a:stretch>
      </xdr:blipFill>
      <xdr:spPr>
        <a:xfrm>
          <a:off x="24479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73</xdr:row>
      <xdr:rowOff>0</xdr:rowOff>
    </xdr:from>
    <xdr:to>
      <xdr:col>4</xdr:col>
      <xdr:colOff>381000</xdr:colOff>
      <xdr:row>74</xdr:row>
      <xdr:rowOff>171450</xdr:rowOff>
    </xdr:to>
    <xdr:pic>
      <xdr:nvPicPr>
        <xdr:cNvPr id="4680" name="图片 4679"/>
        <xdr:cNvPicPr>
          <a:picLocks noChangeAspect="1"/>
        </xdr:cNvPicPr>
      </xdr:nvPicPr>
      <xdr:blipFill>
        <a:blip r:embed="rId58" r:link="rId2"/>
        <a:stretch>
          <a:fillRect/>
        </a:stretch>
      </xdr:blipFill>
      <xdr:spPr>
        <a:xfrm>
          <a:off x="24479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381000</xdr:colOff>
      <xdr:row>78</xdr:row>
      <xdr:rowOff>171450</xdr:rowOff>
    </xdr:to>
    <xdr:pic>
      <xdr:nvPicPr>
        <xdr:cNvPr id="4681" name="图片 4680"/>
        <xdr:cNvPicPr>
          <a:picLocks noChangeAspect="1"/>
        </xdr:cNvPicPr>
      </xdr:nvPicPr>
      <xdr:blipFill>
        <a:blip r:embed="rId59" r:link="rId2"/>
        <a:stretch>
          <a:fillRect/>
        </a:stretch>
      </xdr:blipFill>
      <xdr:spPr>
        <a:xfrm>
          <a:off x="24479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381000</xdr:colOff>
      <xdr:row>81</xdr:row>
      <xdr:rowOff>171450</xdr:rowOff>
    </xdr:to>
    <xdr:pic>
      <xdr:nvPicPr>
        <xdr:cNvPr id="4682" name="图片 4681"/>
        <xdr:cNvPicPr>
          <a:picLocks noChangeAspect="1"/>
        </xdr:cNvPicPr>
      </xdr:nvPicPr>
      <xdr:blipFill>
        <a:blip r:embed="rId60" r:link="rId2"/>
        <a:stretch>
          <a:fillRect/>
        </a:stretch>
      </xdr:blipFill>
      <xdr:spPr>
        <a:xfrm>
          <a:off x="24479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84</xdr:row>
      <xdr:rowOff>0</xdr:rowOff>
    </xdr:from>
    <xdr:to>
      <xdr:col>4</xdr:col>
      <xdr:colOff>381000</xdr:colOff>
      <xdr:row>85</xdr:row>
      <xdr:rowOff>171450</xdr:rowOff>
    </xdr:to>
    <xdr:pic>
      <xdr:nvPicPr>
        <xdr:cNvPr id="4683" name="图片 4682"/>
        <xdr:cNvPicPr>
          <a:picLocks noChangeAspect="1"/>
        </xdr:cNvPicPr>
      </xdr:nvPicPr>
      <xdr:blipFill>
        <a:blip r:embed="rId61" r:link="rId2"/>
        <a:stretch>
          <a:fillRect/>
        </a:stretch>
      </xdr:blipFill>
      <xdr:spPr>
        <a:xfrm>
          <a:off x="24479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88</xdr:row>
      <xdr:rowOff>0</xdr:rowOff>
    </xdr:from>
    <xdr:to>
      <xdr:col>4</xdr:col>
      <xdr:colOff>381000</xdr:colOff>
      <xdr:row>89</xdr:row>
      <xdr:rowOff>171450</xdr:rowOff>
    </xdr:to>
    <xdr:pic>
      <xdr:nvPicPr>
        <xdr:cNvPr id="4684" name="图片 4683"/>
        <xdr:cNvPicPr>
          <a:picLocks noChangeAspect="1"/>
        </xdr:cNvPicPr>
      </xdr:nvPicPr>
      <xdr:blipFill>
        <a:blip r:embed="rId62" r:link="rId2"/>
        <a:stretch>
          <a:fillRect/>
        </a:stretch>
      </xdr:blipFill>
      <xdr:spPr>
        <a:xfrm>
          <a:off x="24479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91</xdr:row>
      <xdr:rowOff>0</xdr:rowOff>
    </xdr:from>
    <xdr:to>
      <xdr:col>4</xdr:col>
      <xdr:colOff>381000</xdr:colOff>
      <xdr:row>92</xdr:row>
      <xdr:rowOff>171450</xdr:rowOff>
    </xdr:to>
    <xdr:pic>
      <xdr:nvPicPr>
        <xdr:cNvPr id="4685" name="图片 4684"/>
        <xdr:cNvPicPr>
          <a:picLocks noChangeAspect="1"/>
        </xdr:cNvPicPr>
      </xdr:nvPicPr>
      <xdr:blipFill>
        <a:blip r:embed="rId63" r:link="rId2"/>
        <a:stretch>
          <a:fillRect/>
        </a:stretch>
      </xdr:blipFill>
      <xdr:spPr>
        <a:xfrm>
          <a:off x="24479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381000</xdr:colOff>
      <xdr:row>96</xdr:row>
      <xdr:rowOff>171450</xdr:rowOff>
    </xdr:to>
    <xdr:pic>
      <xdr:nvPicPr>
        <xdr:cNvPr id="4686" name="图片 4685"/>
        <xdr:cNvPicPr>
          <a:picLocks noChangeAspect="1"/>
        </xdr:cNvPicPr>
      </xdr:nvPicPr>
      <xdr:blipFill>
        <a:blip r:embed="rId64" r:link="rId2"/>
        <a:stretch>
          <a:fillRect/>
        </a:stretch>
      </xdr:blipFill>
      <xdr:spPr>
        <a:xfrm>
          <a:off x="24479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99</xdr:row>
      <xdr:rowOff>0</xdr:rowOff>
    </xdr:from>
    <xdr:to>
      <xdr:col>4</xdr:col>
      <xdr:colOff>381000</xdr:colOff>
      <xdr:row>100</xdr:row>
      <xdr:rowOff>171450</xdr:rowOff>
    </xdr:to>
    <xdr:pic>
      <xdr:nvPicPr>
        <xdr:cNvPr id="4687" name="图片 4686"/>
        <xdr:cNvPicPr>
          <a:picLocks noChangeAspect="1"/>
        </xdr:cNvPicPr>
      </xdr:nvPicPr>
      <xdr:blipFill>
        <a:blip r:embed="rId65" r:link="rId2"/>
        <a:stretch>
          <a:fillRect/>
        </a:stretch>
      </xdr:blipFill>
      <xdr:spPr>
        <a:xfrm>
          <a:off x="24479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102</xdr:row>
      <xdr:rowOff>0</xdr:rowOff>
    </xdr:from>
    <xdr:to>
      <xdr:col>4</xdr:col>
      <xdr:colOff>381000</xdr:colOff>
      <xdr:row>103</xdr:row>
      <xdr:rowOff>171450</xdr:rowOff>
    </xdr:to>
    <xdr:pic>
      <xdr:nvPicPr>
        <xdr:cNvPr id="4688" name="图片 4687"/>
        <xdr:cNvPicPr>
          <a:picLocks noChangeAspect="1"/>
        </xdr:cNvPicPr>
      </xdr:nvPicPr>
      <xdr:blipFill>
        <a:blip r:embed="rId66" r:link="rId2"/>
        <a:stretch>
          <a:fillRect/>
        </a:stretch>
      </xdr:blipFill>
      <xdr:spPr>
        <a:xfrm>
          <a:off x="24479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106</xdr:row>
      <xdr:rowOff>0</xdr:rowOff>
    </xdr:from>
    <xdr:to>
      <xdr:col>4</xdr:col>
      <xdr:colOff>381000</xdr:colOff>
      <xdr:row>107</xdr:row>
      <xdr:rowOff>171450</xdr:rowOff>
    </xdr:to>
    <xdr:pic>
      <xdr:nvPicPr>
        <xdr:cNvPr id="4689" name="图片 4688"/>
        <xdr:cNvPicPr>
          <a:picLocks noChangeAspect="1"/>
        </xdr:cNvPicPr>
      </xdr:nvPicPr>
      <xdr:blipFill>
        <a:blip r:embed="rId67" r:link="rId2"/>
        <a:stretch>
          <a:fillRect/>
        </a:stretch>
      </xdr:blipFill>
      <xdr:spPr>
        <a:xfrm>
          <a:off x="24479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110</xdr:row>
      <xdr:rowOff>0</xdr:rowOff>
    </xdr:from>
    <xdr:to>
      <xdr:col>4</xdr:col>
      <xdr:colOff>381000</xdr:colOff>
      <xdr:row>111</xdr:row>
      <xdr:rowOff>171450</xdr:rowOff>
    </xdr:to>
    <xdr:pic>
      <xdr:nvPicPr>
        <xdr:cNvPr id="4690" name="图片 4689"/>
        <xdr:cNvPicPr>
          <a:picLocks noChangeAspect="1"/>
        </xdr:cNvPicPr>
      </xdr:nvPicPr>
      <xdr:blipFill>
        <a:blip r:embed="rId68" r:link="rId2"/>
        <a:stretch>
          <a:fillRect/>
        </a:stretch>
      </xdr:blipFill>
      <xdr:spPr>
        <a:xfrm>
          <a:off x="24479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113</xdr:row>
      <xdr:rowOff>0</xdr:rowOff>
    </xdr:from>
    <xdr:to>
      <xdr:col>4</xdr:col>
      <xdr:colOff>381000</xdr:colOff>
      <xdr:row>114</xdr:row>
      <xdr:rowOff>171450</xdr:rowOff>
    </xdr:to>
    <xdr:pic>
      <xdr:nvPicPr>
        <xdr:cNvPr id="4691" name="图片 4690"/>
        <xdr:cNvPicPr>
          <a:picLocks noChangeAspect="1"/>
        </xdr:cNvPicPr>
      </xdr:nvPicPr>
      <xdr:blipFill>
        <a:blip r:embed="rId69" r:link="rId2"/>
        <a:stretch>
          <a:fillRect/>
        </a:stretch>
      </xdr:blipFill>
      <xdr:spPr>
        <a:xfrm>
          <a:off x="24479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117</xdr:row>
      <xdr:rowOff>0</xdr:rowOff>
    </xdr:from>
    <xdr:to>
      <xdr:col>4</xdr:col>
      <xdr:colOff>381000</xdr:colOff>
      <xdr:row>118</xdr:row>
      <xdr:rowOff>171450</xdr:rowOff>
    </xdr:to>
    <xdr:pic>
      <xdr:nvPicPr>
        <xdr:cNvPr id="4692" name="图片 4691"/>
        <xdr:cNvPicPr>
          <a:picLocks noChangeAspect="1"/>
        </xdr:cNvPicPr>
      </xdr:nvPicPr>
      <xdr:blipFill>
        <a:blip r:embed="rId70" r:link="rId2"/>
        <a:stretch>
          <a:fillRect/>
        </a:stretch>
      </xdr:blipFill>
      <xdr:spPr>
        <a:xfrm>
          <a:off x="24479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121</xdr:row>
      <xdr:rowOff>0</xdr:rowOff>
    </xdr:from>
    <xdr:to>
      <xdr:col>4</xdr:col>
      <xdr:colOff>381000</xdr:colOff>
      <xdr:row>122</xdr:row>
      <xdr:rowOff>171450</xdr:rowOff>
    </xdr:to>
    <xdr:pic>
      <xdr:nvPicPr>
        <xdr:cNvPr id="4693" name="图片 4692"/>
        <xdr:cNvPicPr>
          <a:picLocks noChangeAspect="1"/>
        </xdr:cNvPicPr>
      </xdr:nvPicPr>
      <xdr:blipFill>
        <a:blip r:embed="rId71" r:link="rId2"/>
        <a:stretch>
          <a:fillRect/>
        </a:stretch>
      </xdr:blipFill>
      <xdr:spPr>
        <a:xfrm>
          <a:off x="24479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124</xdr:row>
      <xdr:rowOff>0</xdr:rowOff>
    </xdr:from>
    <xdr:to>
      <xdr:col>4</xdr:col>
      <xdr:colOff>381000</xdr:colOff>
      <xdr:row>125</xdr:row>
      <xdr:rowOff>171450</xdr:rowOff>
    </xdr:to>
    <xdr:pic>
      <xdr:nvPicPr>
        <xdr:cNvPr id="4694" name="图片 4693"/>
        <xdr:cNvPicPr>
          <a:picLocks noChangeAspect="1"/>
        </xdr:cNvPicPr>
      </xdr:nvPicPr>
      <xdr:blipFill>
        <a:blip r:embed="rId72" r:link="rId2"/>
        <a:stretch>
          <a:fillRect/>
        </a:stretch>
      </xdr:blipFill>
      <xdr:spPr>
        <a:xfrm>
          <a:off x="24479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128</xdr:row>
      <xdr:rowOff>0</xdr:rowOff>
    </xdr:from>
    <xdr:to>
      <xdr:col>4</xdr:col>
      <xdr:colOff>381000</xdr:colOff>
      <xdr:row>129</xdr:row>
      <xdr:rowOff>171450</xdr:rowOff>
    </xdr:to>
    <xdr:pic>
      <xdr:nvPicPr>
        <xdr:cNvPr id="4695" name="图片 4694"/>
        <xdr:cNvPicPr>
          <a:picLocks noChangeAspect="1"/>
        </xdr:cNvPicPr>
      </xdr:nvPicPr>
      <xdr:blipFill>
        <a:blip r:embed="rId73" r:link="rId2"/>
        <a:stretch>
          <a:fillRect/>
        </a:stretch>
      </xdr:blipFill>
      <xdr:spPr>
        <a:xfrm>
          <a:off x="24479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132</xdr:row>
      <xdr:rowOff>0</xdr:rowOff>
    </xdr:from>
    <xdr:to>
      <xdr:col>4</xdr:col>
      <xdr:colOff>381000</xdr:colOff>
      <xdr:row>133</xdr:row>
      <xdr:rowOff>171450</xdr:rowOff>
    </xdr:to>
    <xdr:pic>
      <xdr:nvPicPr>
        <xdr:cNvPr id="4696" name="图片 4695"/>
        <xdr:cNvPicPr>
          <a:picLocks noChangeAspect="1"/>
        </xdr:cNvPicPr>
      </xdr:nvPicPr>
      <xdr:blipFill>
        <a:blip r:embed="rId74" r:link="rId2"/>
        <a:stretch>
          <a:fillRect/>
        </a:stretch>
      </xdr:blipFill>
      <xdr:spPr>
        <a:xfrm>
          <a:off x="24479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135</xdr:row>
      <xdr:rowOff>0</xdr:rowOff>
    </xdr:from>
    <xdr:to>
      <xdr:col>4</xdr:col>
      <xdr:colOff>381000</xdr:colOff>
      <xdr:row>136</xdr:row>
      <xdr:rowOff>171450</xdr:rowOff>
    </xdr:to>
    <xdr:pic>
      <xdr:nvPicPr>
        <xdr:cNvPr id="4697" name="图片 4696"/>
        <xdr:cNvPicPr>
          <a:picLocks noChangeAspect="1"/>
        </xdr:cNvPicPr>
      </xdr:nvPicPr>
      <xdr:blipFill>
        <a:blip r:embed="rId75" r:link="rId2"/>
        <a:stretch>
          <a:fillRect/>
        </a:stretch>
      </xdr:blipFill>
      <xdr:spPr>
        <a:xfrm>
          <a:off x="24479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139</xdr:row>
      <xdr:rowOff>0</xdr:rowOff>
    </xdr:from>
    <xdr:to>
      <xdr:col>4</xdr:col>
      <xdr:colOff>381000</xdr:colOff>
      <xdr:row>140</xdr:row>
      <xdr:rowOff>171450</xdr:rowOff>
    </xdr:to>
    <xdr:pic>
      <xdr:nvPicPr>
        <xdr:cNvPr id="4698" name="图片 469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24479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143</xdr:row>
      <xdr:rowOff>0</xdr:rowOff>
    </xdr:from>
    <xdr:to>
      <xdr:col>4</xdr:col>
      <xdr:colOff>381000</xdr:colOff>
      <xdr:row>144</xdr:row>
      <xdr:rowOff>171450</xdr:rowOff>
    </xdr:to>
    <xdr:pic>
      <xdr:nvPicPr>
        <xdr:cNvPr id="4699" name="图片 4698"/>
        <xdr:cNvPicPr>
          <a:picLocks noChangeAspect="1"/>
        </xdr:cNvPicPr>
      </xdr:nvPicPr>
      <xdr:blipFill>
        <a:blip r:embed="rId76" r:link="rId2"/>
        <a:stretch>
          <a:fillRect/>
        </a:stretch>
      </xdr:blipFill>
      <xdr:spPr>
        <a:xfrm>
          <a:off x="24479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4</xdr:col>
      <xdr:colOff>0</xdr:colOff>
      <xdr:row>146</xdr:row>
      <xdr:rowOff>0</xdr:rowOff>
    </xdr:from>
    <xdr:to>
      <xdr:col>4</xdr:col>
      <xdr:colOff>381000</xdr:colOff>
      <xdr:row>147</xdr:row>
      <xdr:rowOff>171450</xdr:rowOff>
    </xdr:to>
    <xdr:pic>
      <xdr:nvPicPr>
        <xdr:cNvPr id="4700" name="图片 4699"/>
        <xdr:cNvPicPr>
          <a:picLocks noChangeAspect="1"/>
        </xdr:cNvPicPr>
      </xdr:nvPicPr>
      <xdr:blipFill>
        <a:blip r:embed="rId77" r:link="rId2"/>
        <a:stretch>
          <a:fillRect/>
        </a:stretch>
      </xdr:blipFill>
      <xdr:spPr>
        <a:xfrm>
          <a:off x="24479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381000</xdr:colOff>
      <xdr:row>4</xdr:row>
      <xdr:rowOff>171450</xdr:rowOff>
    </xdr:to>
    <xdr:pic>
      <xdr:nvPicPr>
        <xdr:cNvPr id="4701" name="图片 4700"/>
        <xdr:cNvPicPr>
          <a:picLocks noChangeAspect="1"/>
        </xdr:cNvPicPr>
      </xdr:nvPicPr>
      <xdr:blipFill>
        <a:blip r:embed="rId78" r:link="rId2"/>
        <a:stretch>
          <a:fillRect/>
        </a:stretch>
      </xdr:blipFill>
      <xdr:spPr>
        <a:xfrm>
          <a:off x="34861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</xdr:row>
      <xdr:rowOff>0</xdr:rowOff>
    </xdr:from>
    <xdr:to>
      <xdr:col>5</xdr:col>
      <xdr:colOff>381000</xdr:colOff>
      <xdr:row>8</xdr:row>
      <xdr:rowOff>171450</xdr:rowOff>
    </xdr:to>
    <xdr:pic>
      <xdr:nvPicPr>
        <xdr:cNvPr id="4702" name="图片 4701"/>
        <xdr:cNvPicPr>
          <a:picLocks noChangeAspect="1"/>
        </xdr:cNvPicPr>
      </xdr:nvPicPr>
      <xdr:blipFill>
        <a:blip r:embed="rId79" r:link="rId2"/>
        <a:stretch>
          <a:fillRect/>
        </a:stretch>
      </xdr:blipFill>
      <xdr:spPr>
        <a:xfrm>
          <a:off x="34861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</xdr:row>
      <xdr:rowOff>0</xdr:rowOff>
    </xdr:from>
    <xdr:to>
      <xdr:col>5</xdr:col>
      <xdr:colOff>381000</xdr:colOff>
      <xdr:row>12</xdr:row>
      <xdr:rowOff>171450</xdr:rowOff>
    </xdr:to>
    <xdr:pic>
      <xdr:nvPicPr>
        <xdr:cNvPr id="4703" name="图片 4702"/>
        <xdr:cNvPicPr>
          <a:picLocks noChangeAspect="1"/>
        </xdr:cNvPicPr>
      </xdr:nvPicPr>
      <xdr:blipFill>
        <a:blip r:embed="rId80" r:link="rId2"/>
        <a:stretch>
          <a:fillRect/>
        </a:stretch>
      </xdr:blipFill>
      <xdr:spPr>
        <a:xfrm>
          <a:off x="34861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</xdr:row>
      <xdr:rowOff>0</xdr:rowOff>
    </xdr:from>
    <xdr:to>
      <xdr:col>5</xdr:col>
      <xdr:colOff>381000</xdr:colOff>
      <xdr:row>15</xdr:row>
      <xdr:rowOff>171450</xdr:rowOff>
    </xdr:to>
    <xdr:pic>
      <xdr:nvPicPr>
        <xdr:cNvPr id="4704" name="图片 4703"/>
        <xdr:cNvPicPr>
          <a:picLocks noChangeAspect="1"/>
        </xdr:cNvPicPr>
      </xdr:nvPicPr>
      <xdr:blipFill>
        <a:blip r:embed="rId81" r:link="rId2"/>
        <a:stretch>
          <a:fillRect/>
        </a:stretch>
      </xdr:blipFill>
      <xdr:spPr>
        <a:xfrm>
          <a:off x="34861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18</xdr:row>
      <xdr:rowOff>0</xdr:rowOff>
    </xdr:from>
    <xdr:to>
      <xdr:col>5</xdr:col>
      <xdr:colOff>381000</xdr:colOff>
      <xdr:row>19</xdr:row>
      <xdr:rowOff>171450</xdr:rowOff>
    </xdr:to>
    <xdr:pic>
      <xdr:nvPicPr>
        <xdr:cNvPr id="4705" name="图片 4704"/>
        <xdr:cNvPicPr>
          <a:picLocks noChangeAspect="1"/>
        </xdr:cNvPicPr>
      </xdr:nvPicPr>
      <xdr:blipFill>
        <a:blip r:embed="rId82" r:link="rId2"/>
        <a:stretch>
          <a:fillRect/>
        </a:stretch>
      </xdr:blipFill>
      <xdr:spPr>
        <a:xfrm>
          <a:off x="34861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22</xdr:row>
      <xdr:rowOff>0</xdr:rowOff>
    </xdr:from>
    <xdr:to>
      <xdr:col>5</xdr:col>
      <xdr:colOff>381000</xdr:colOff>
      <xdr:row>23</xdr:row>
      <xdr:rowOff>171450</xdr:rowOff>
    </xdr:to>
    <xdr:pic>
      <xdr:nvPicPr>
        <xdr:cNvPr id="4706" name="图片 4705"/>
        <xdr:cNvPicPr>
          <a:picLocks noChangeAspect="1"/>
        </xdr:cNvPicPr>
      </xdr:nvPicPr>
      <xdr:blipFill>
        <a:blip r:embed="rId83" r:link="rId2"/>
        <a:stretch>
          <a:fillRect/>
        </a:stretch>
      </xdr:blipFill>
      <xdr:spPr>
        <a:xfrm>
          <a:off x="34861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25</xdr:row>
      <xdr:rowOff>0</xdr:rowOff>
    </xdr:from>
    <xdr:to>
      <xdr:col>5</xdr:col>
      <xdr:colOff>381000</xdr:colOff>
      <xdr:row>26</xdr:row>
      <xdr:rowOff>171450</xdr:rowOff>
    </xdr:to>
    <xdr:pic>
      <xdr:nvPicPr>
        <xdr:cNvPr id="4707" name="图片 4706"/>
        <xdr:cNvPicPr>
          <a:picLocks noChangeAspect="1"/>
        </xdr:cNvPicPr>
      </xdr:nvPicPr>
      <xdr:blipFill>
        <a:blip r:embed="rId84" r:link="rId2"/>
        <a:stretch>
          <a:fillRect/>
        </a:stretch>
      </xdr:blipFill>
      <xdr:spPr>
        <a:xfrm>
          <a:off x="34861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29</xdr:row>
      <xdr:rowOff>0</xdr:rowOff>
    </xdr:from>
    <xdr:to>
      <xdr:col>5</xdr:col>
      <xdr:colOff>381000</xdr:colOff>
      <xdr:row>30</xdr:row>
      <xdr:rowOff>171450</xdr:rowOff>
    </xdr:to>
    <xdr:pic>
      <xdr:nvPicPr>
        <xdr:cNvPr id="4708" name="图片 4707"/>
        <xdr:cNvPicPr>
          <a:picLocks noChangeAspect="1"/>
        </xdr:cNvPicPr>
      </xdr:nvPicPr>
      <xdr:blipFill>
        <a:blip r:embed="rId85" r:link="rId2"/>
        <a:stretch>
          <a:fillRect/>
        </a:stretch>
      </xdr:blipFill>
      <xdr:spPr>
        <a:xfrm>
          <a:off x="34861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33</xdr:row>
      <xdr:rowOff>0</xdr:rowOff>
    </xdr:from>
    <xdr:to>
      <xdr:col>5</xdr:col>
      <xdr:colOff>381000</xdr:colOff>
      <xdr:row>34</xdr:row>
      <xdr:rowOff>171450</xdr:rowOff>
    </xdr:to>
    <xdr:pic>
      <xdr:nvPicPr>
        <xdr:cNvPr id="4709" name="图片 4708"/>
        <xdr:cNvPicPr>
          <a:picLocks noChangeAspect="1"/>
        </xdr:cNvPicPr>
      </xdr:nvPicPr>
      <xdr:blipFill>
        <a:blip r:embed="rId86" r:link="rId2"/>
        <a:stretch>
          <a:fillRect/>
        </a:stretch>
      </xdr:blipFill>
      <xdr:spPr>
        <a:xfrm>
          <a:off x="34861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36</xdr:row>
      <xdr:rowOff>0</xdr:rowOff>
    </xdr:from>
    <xdr:to>
      <xdr:col>5</xdr:col>
      <xdr:colOff>381000</xdr:colOff>
      <xdr:row>37</xdr:row>
      <xdr:rowOff>171450</xdr:rowOff>
    </xdr:to>
    <xdr:pic>
      <xdr:nvPicPr>
        <xdr:cNvPr id="4710" name="图片 4709"/>
        <xdr:cNvPicPr>
          <a:picLocks noChangeAspect="1"/>
        </xdr:cNvPicPr>
      </xdr:nvPicPr>
      <xdr:blipFill>
        <a:blip r:embed="rId87" r:link="rId2"/>
        <a:stretch>
          <a:fillRect/>
        </a:stretch>
      </xdr:blipFill>
      <xdr:spPr>
        <a:xfrm>
          <a:off x="34861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40</xdr:row>
      <xdr:rowOff>0</xdr:rowOff>
    </xdr:from>
    <xdr:to>
      <xdr:col>5</xdr:col>
      <xdr:colOff>381000</xdr:colOff>
      <xdr:row>41</xdr:row>
      <xdr:rowOff>171450</xdr:rowOff>
    </xdr:to>
    <xdr:pic>
      <xdr:nvPicPr>
        <xdr:cNvPr id="4711" name="图片 4710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34861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44</xdr:row>
      <xdr:rowOff>0</xdr:rowOff>
    </xdr:from>
    <xdr:to>
      <xdr:col>5</xdr:col>
      <xdr:colOff>381000</xdr:colOff>
      <xdr:row>45</xdr:row>
      <xdr:rowOff>171450</xdr:rowOff>
    </xdr:to>
    <xdr:pic>
      <xdr:nvPicPr>
        <xdr:cNvPr id="4712" name="图片 4711"/>
        <xdr:cNvPicPr>
          <a:picLocks noChangeAspect="1"/>
        </xdr:cNvPicPr>
      </xdr:nvPicPr>
      <xdr:blipFill>
        <a:blip r:embed="rId88" r:link="rId2"/>
        <a:stretch>
          <a:fillRect/>
        </a:stretch>
      </xdr:blipFill>
      <xdr:spPr>
        <a:xfrm>
          <a:off x="34861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47</xdr:row>
      <xdr:rowOff>0</xdr:rowOff>
    </xdr:from>
    <xdr:to>
      <xdr:col>5</xdr:col>
      <xdr:colOff>381000</xdr:colOff>
      <xdr:row>48</xdr:row>
      <xdr:rowOff>171450</xdr:rowOff>
    </xdr:to>
    <xdr:pic>
      <xdr:nvPicPr>
        <xdr:cNvPr id="4713" name="图片 4712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34861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51</xdr:row>
      <xdr:rowOff>0</xdr:rowOff>
    </xdr:from>
    <xdr:to>
      <xdr:col>5</xdr:col>
      <xdr:colOff>381000</xdr:colOff>
      <xdr:row>52</xdr:row>
      <xdr:rowOff>171450</xdr:rowOff>
    </xdr:to>
    <xdr:pic>
      <xdr:nvPicPr>
        <xdr:cNvPr id="4714" name="图片 4713"/>
        <xdr:cNvPicPr>
          <a:picLocks noChangeAspect="1"/>
        </xdr:cNvPicPr>
      </xdr:nvPicPr>
      <xdr:blipFill>
        <a:blip r:embed="rId89" r:link="rId2"/>
        <a:stretch>
          <a:fillRect/>
        </a:stretch>
      </xdr:blipFill>
      <xdr:spPr>
        <a:xfrm>
          <a:off x="34861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55</xdr:row>
      <xdr:rowOff>0</xdr:rowOff>
    </xdr:from>
    <xdr:to>
      <xdr:col>5</xdr:col>
      <xdr:colOff>381000</xdr:colOff>
      <xdr:row>56</xdr:row>
      <xdr:rowOff>171450</xdr:rowOff>
    </xdr:to>
    <xdr:pic>
      <xdr:nvPicPr>
        <xdr:cNvPr id="4715" name="图片 4714"/>
        <xdr:cNvPicPr>
          <a:picLocks noChangeAspect="1"/>
        </xdr:cNvPicPr>
      </xdr:nvPicPr>
      <xdr:blipFill>
        <a:blip r:embed="rId90" r:link="rId2"/>
        <a:stretch>
          <a:fillRect/>
        </a:stretch>
      </xdr:blipFill>
      <xdr:spPr>
        <a:xfrm>
          <a:off x="34861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58</xdr:row>
      <xdr:rowOff>0</xdr:rowOff>
    </xdr:from>
    <xdr:to>
      <xdr:col>5</xdr:col>
      <xdr:colOff>381000</xdr:colOff>
      <xdr:row>59</xdr:row>
      <xdr:rowOff>171450</xdr:rowOff>
    </xdr:to>
    <xdr:pic>
      <xdr:nvPicPr>
        <xdr:cNvPr id="4716" name="图片 4715"/>
        <xdr:cNvPicPr>
          <a:picLocks noChangeAspect="1"/>
        </xdr:cNvPicPr>
      </xdr:nvPicPr>
      <xdr:blipFill>
        <a:blip r:embed="rId91" r:link="rId2"/>
        <a:stretch>
          <a:fillRect/>
        </a:stretch>
      </xdr:blipFill>
      <xdr:spPr>
        <a:xfrm>
          <a:off x="34861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62</xdr:row>
      <xdr:rowOff>0</xdr:rowOff>
    </xdr:from>
    <xdr:to>
      <xdr:col>5</xdr:col>
      <xdr:colOff>381000</xdr:colOff>
      <xdr:row>63</xdr:row>
      <xdr:rowOff>171450</xdr:rowOff>
    </xdr:to>
    <xdr:pic>
      <xdr:nvPicPr>
        <xdr:cNvPr id="4717" name="图片 4716"/>
        <xdr:cNvPicPr>
          <a:picLocks noChangeAspect="1"/>
        </xdr:cNvPicPr>
      </xdr:nvPicPr>
      <xdr:blipFill>
        <a:blip r:embed="rId92" r:link="rId2"/>
        <a:stretch>
          <a:fillRect/>
        </a:stretch>
      </xdr:blipFill>
      <xdr:spPr>
        <a:xfrm>
          <a:off x="34861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66</xdr:row>
      <xdr:rowOff>0</xdr:rowOff>
    </xdr:from>
    <xdr:to>
      <xdr:col>5</xdr:col>
      <xdr:colOff>381000</xdr:colOff>
      <xdr:row>67</xdr:row>
      <xdr:rowOff>171450</xdr:rowOff>
    </xdr:to>
    <xdr:pic>
      <xdr:nvPicPr>
        <xdr:cNvPr id="4718" name="图片 4717"/>
        <xdr:cNvPicPr>
          <a:picLocks noChangeAspect="1"/>
        </xdr:cNvPicPr>
      </xdr:nvPicPr>
      <xdr:blipFill>
        <a:blip r:embed="rId93" r:link="rId2"/>
        <a:stretch>
          <a:fillRect/>
        </a:stretch>
      </xdr:blipFill>
      <xdr:spPr>
        <a:xfrm>
          <a:off x="34861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69</xdr:row>
      <xdr:rowOff>0</xdr:rowOff>
    </xdr:from>
    <xdr:to>
      <xdr:col>5</xdr:col>
      <xdr:colOff>381000</xdr:colOff>
      <xdr:row>70</xdr:row>
      <xdr:rowOff>171450</xdr:rowOff>
    </xdr:to>
    <xdr:pic>
      <xdr:nvPicPr>
        <xdr:cNvPr id="4719" name="图片 4718"/>
        <xdr:cNvPicPr>
          <a:picLocks noChangeAspect="1"/>
        </xdr:cNvPicPr>
      </xdr:nvPicPr>
      <xdr:blipFill>
        <a:blip r:embed="rId94" r:link="rId2"/>
        <a:stretch>
          <a:fillRect/>
        </a:stretch>
      </xdr:blipFill>
      <xdr:spPr>
        <a:xfrm>
          <a:off x="34861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73</xdr:row>
      <xdr:rowOff>0</xdr:rowOff>
    </xdr:from>
    <xdr:to>
      <xdr:col>5</xdr:col>
      <xdr:colOff>381000</xdr:colOff>
      <xdr:row>74</xdr:row>
      <xdr:rowOff>171450</xdr:rowOff>
    </xdr:to>
    <xdr:pic>
      <xdr:nvPicPr>
        <xdr:cNvPr id="4720" name="图片 4719"/>
        <xdr:cNvPicPr>
          <a:picLocks noChangeAspect="1"/>
        </xdr:cNvPicPr>
      </xdr:nvPicPr>
      <xdr:blipFill>
        <a:blip r:embed="rId95" r:link="rId2"/>
        <a:stretch>
          <a:fillRect/>
        </a:stretch>
      </xdr:blipFill>
      <xdr:spPr>
        <a:xfrm>
          <a:off x="34861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77</xdr:row>
      <xdr:rowOff>0</xdr:rowOff>
    </xdr:from>
    <xdr:to>
      <xdr:col>5</xdr:col>
      <xdr:colOff>381000</xdr:colOff>
      <xdr:row>78</xdr:row>
      <xdr:rowOff>171450</xdr:rowOff>
    </xdr:to>
    <xdr:pic>
      <xdr:nvPicPr>
        <xdr:cNvPr id="4721" name="图片 4720"/>
        <xdr:cNvPicPr>
          <a:picLocks noChangeAspect="1"/>
        </xdr:cNvPicPr>
      </xdr:nvPicPr>
      <xdr:blipFill>
        <a:blip r:embed="rId96" r:link="rId2"/>
        <a:stretch>
          <a:fillRect/>
        </a:stretch>
      </xdr:blipFill>
      <xdr:spPr>
        <a:xfrm>
          <a:off x="34861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80</xdr:row>
      <xdr:rowOff>0</xdr:rowOff>
    </xdr:from>
    <xdr:to>
      <xdr:col>5</xdr:col>
      <xdr:colOff>381000</xdr:colOff>
      <xdr:row>81</xdr:row>
      <xdr:rowOff>171450</xdr:rowOff>
    </xdr:to>
    <xdr:pic>
      <xdr:nvPicPr>
        <xdr:cNvPr id="4722" name="图片 4721"/>
        <xdr:cNvPicPr>
          <a:picLocks noChangeAspect="1"/>
        </xdr:cNvPicPr>
      </xdr:nvPicPr>
      <xdr:blipFill>
        <a:blip r:embed="rId97" r:link="rId2"/>
        <a:stretch>
          <a:fillRect/>
        </a:stretch>
      </xdr:blipFill>
      <xdr:spPr>
        <a:xfrm>
          <a:off x="34861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84</xdr:row>
      <xdr:rowOff>0</xdr:rowOff>
    </xdr:from>
    <xdr:to>
      <xdr:col>5</xdr:col>
      <xdr:colOff>381000</xdr:colOff>
      <xdr:row>85</xdr:row>
      <xdr:rowOff>171450</xdr:rowOff>
    </xdr:to>
    <xdr:pic>
      <xdr:nvPicPr>
        <xdr:cNvPr id="4723" name="图片 4722"/>
        <xdr:cNvPicPr>
          <a:picLocks noChangeAspect="1"/>
        </xdr:cNvPicPr>
      </xdr:nvPicPr>
      <xdr:blipFill>
        <a:blip r:embed="rId98" r:link="rId2"/>
        <a:stretch>
          <a:fillRect/>
        </a:stretch>
      </xdr:blipFill>
      <xdr:spPr>
        <a:xfrm>
          <a:off x="34861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88</xdr:row>
      <xdr:rowOff>0</xdr:rowOff>
    </xdr:from>
    <xdr:to>
      <xdr:col>5</xdr:col>
      <xdr:colOff>381000</xdr:colOff>
      <xdr:row>89</xdr:row>
      <xdr:rowOff>171450</xdr:rowOff>
    </xdr:to>
    <xdr:pic>
      <xdr:nvPicPr>
        <xdr:cNvPr id="4724" name="图片 4723"/>
        <xdr:cNvPicPr>
          <a:picLocks noChangeAspect="1"/>
        </xdr:cNvPicPr>
      </xdr:nvPicPr>
      <xdr:blipFill>
        <a:blip r:embed="rId99" r:link="rId2"/>
        <a:stretch>
          <a:fillRect/>
        </a:stretch>
      </xdr:blipFill>
      <xdr:spPr>
        <a:xfrm>
          <a:off x="34861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91</xdr:row>
      <xdr:rowOff>0</xdr:rowOff>
    </xdr:from>
    <xdr:to>
      <xdr:col>5</xdr:col>
      <xdr:colOff>381000</xdr:colOff>
      <xdr:row>92</xdr:row>
      <xdr:rowOff>171450</xdr:rowOff>
    </xdr:to>
    <xdr:pic>
      <xdr:nvPicPr>
        <xdr:cNvPr id="4725" name="图片 4724"/>
        <xdr:cNvPicPr>
          <a:picLocks noChangeAspect="1"/>
        </xdr:cNvPicPr>
      </xdr:nvPicPr>
      <xdr:blipFill>
        <a:blip r:embed="rId100" r:link="rId2"/>
        <a:stretch>
          <a:fillRect/>
        </a:stretch>
      </xdr:blipFill>
      <xdr:spPr>
        <a:xfrm>
          <a:off x="34861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95</xdr:row>
      <xdr:rowOff>0</xdr:rowOff>
    </xdr:from>
    <xdr:to>
      <xdr:col>5</xdr:col>
      <xdr:colOff>381000</xdr:colOff>
      <xdr:row>96</xdr:row>
      <xdr:rowOff>171450</xdr:rowOff>
    </xdr:to>
    <xdr:pic>
      <xdr:nvPicPr>
        <xdr:cNvPr id="4726" name="图片 4725"/>
        <xdr:cNvPicPr>
          <a:picLocks noChangeAspect="1"/>
        </xdr:cNvPicPr>
      </xdr:nvPicPr>
      <xdr:blipFill>
        <a:blip r:embed="rId101" r:link="rId2"/>
        <a:stretch>
          <a:fillRect/>
        </a:stretch>
      </xdr:blipFill>
      <xdr:spPr>
        <a:xfrm>
          <a:off x="34861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99</xdr:row>
      <xdr:rowOff>0</xdr:rowOff>
    </xdr:from>
    <xdr:to>
      <xdr:col>5</xdr:col>
      <xdr:colOff>381000</xdr:colOff>
      <xdr:row>100</xdr:row>
      <xdr:rowOff>171450</xdr:rowOff>
    </xdr:to>
    <xdr:pic>
      <xdr:nvPicPr>
        <xdr:cNvPr id="4727" name="图片 4726"/>
        <xdr:cNvPicPr>
          <a:picLocks noChangeAspect="1"/>
        </xdr:cNvPicPr>
      </xdr:nvPicPr>
      <xdr:blipFill>
        <a:blip r:embed="rId102" r:link="rId2"/>
        <a:stretch>
          <a:fillRect/>
        </a:stretch>
      </xdr:blipFill>
      <xdr:spPr>
        <a:xfrm>
          <a:off x="34861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102</xdr:row>
      <xdr:rowOff>0</xdr:rowOff>
    </xdr:from>
    <xdr:to>
      <xdr:col>5</xdr:col>
      <xdr:colOff>381000</xdr:colOff>
      <xdr:row>103</xdr:row>
      <xdr:rowOff>171450</xdr:rowOff>
    </xdr:to>
    <xdr:pic>
      <xdr:nvPicPr>
        <xdr:cNvPr id="4728" name="图片 4727"/>
        <xdr:cNvPicPr>
          <a:picLocks noChangeAspect="1"/>
        </xdr:cNvPicPr>
      </xdr:nvPicPr>
      <xdr:blipFill>
        <a:blip r:embed="rId103" r:link="rId2"/>
        <a:stretch>
          <a:fillRect/>
        </a:stretch>
      </xdr:blipFill>
      <xdr:spPr>
        <a:xfrm>
          <a:off x="34861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106</xdr:row>
      <xdr:rowOff>0</xdr:rowOff>
    </xdr:from>
    <xdr:to>
      <xdr:col>5</xdr:col>
      <xdr:colOff>381000</xdr:colOff>
      <xdr:row>107</xdr:row>
      <xdr:rowOff>171450</xdr:rowOff>
    </xdr:to>
    <xdr:pic>
      <xdr:nvPicPr>
        <xdr:cNvPr id="4729" name="图片 4728"/>
        <xdr:cNvPicPr>
          <a:picLocks noChangeAspect="1"/>
        </xdr:cNvPicPr>
      </xdr:nvPicPr>
      <xdr:blipFill>
        <a:blip r:embed="rId104" r:link="rId2"/>
        <a:stretch>
          <a:fillRect/>
        </a:stretch>
      </xdr:blipFill>
      <xdr:spPr>
        <a:xfrm>
          <a:off x="34861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110</xdr:row>
      <xdr:rowOff>0</xdr:rowOff>
    </xdr:from>
    <xdr:to>
      <xdr:col>5</xdr:col>
      <xdr:colOff>381000</xdr:colOff>
      <xdr:row>111</xdr:row>
      <xdr:rowOff>171450</xdr:rowOff>
    </xdr:to>
    <xdr:pic>
      <xdr:nvPicPr>
        <xdr:cNvPr id="4730" name="图片 4729"/>
        <xdr:cNvPicPr>
          <a:picLocks noChangeAspect="1"/>
        </xdr:cNvPicPr>
      </xdr:nvPicPr>
      <xdr:blipFill>
        <a:blip r:embed="rId105" r:link="rId2"/>
        <a:stretch>
          <a:fillRect/>
        </a:stretch>
      </xdr:blipFill>
      <xdr:spPr>
        <a:xfrm>
          <a:off x="34861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113</xdr:row>
      <xdr:rowOff>0</xdr:rowOff>
    </xdr:from>
    <xdr:to>
      <xdr:col>5</xdr:col>
      <xdr:colOff>381000</xdr:colOff>
      <xdr:row>114</xdr:row>
      <xdr:rowOff>171450</xdr:rowOff>
    </xdr:to>
    <xdr:pic>
      <xdr:nvPicPr>
        <xdr:cNvPr id="4731" name="图片 4730"/>
        <xdr:cNvPicPr>
          <a:picLocks noChangeAspect="1"/>
        </xdr:cNvPicPr>
      </xdr:nvPicPr>
      <xdr:blipFill>
        <a:blip r:embed="rId106" r:link="rId2"/>
        <a:stretch>
          <a:fillRect/>
        </a:stretch>
      </xdr:blipFill>
      <xdr:spPr>
        <a:xfrm>
          <a:off x="34861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117</xdr:row>
      <xdr:rowOff>0</xdr:rowOff>
    </xdr:from>
    <xdr:to>
      <xdr:col>5</xdr:col>
      <xdr:colOff>381000</xdr:colOff>
      <xdr:row>118</xdr:row>
      <xdr:rowOff>171450</xdr:rowOff>
    </xdr:to>
    <xdr:pic>
      <xdr:nvPicPr>
        <xdr:cNvPr id="4732" name="图片 4731"/>
        <xdr:cNvPicPr>
          <a:picLocks noChangeAspect="1"/>
        </xdr:cNvPicPr>
      </xdr:nvPicPr>
      <xdr:blipFill>
        <a:blip r:embed="rId107" r:link="rId2"/>
        <a:stretch>
          <a:fillRect/>
        </a:stretch>
      </xdr:blipFill>
      <xdr:spPr>
        <a:xfrm>
          <a:off x="34861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121</xdr:row>
      <xdr:rowOff>0</xdr:rowOff>
    </xdr:from>
    <xdr:to>
      <xdr:col>5</xdr:col>
      <xdr:colOff>381000</xdr:colOff>
      <xdr:row>122</xdr:row>
      <xdr:rowOff>171450</xdr:rowOff>
    </xdr:to>
    <xdr:pic>
      <xdr:nvPicPr>
        <xdr:cNvPr id="4733" name="图片 4732"/>
        <xdr:cNvPicPr>
          <a:picLocks noChangeAspect="1"/>
        </xdr:cNvPicPr>
      </xdr:nvPicPr>
      <xdr:blipFill>
        <a:blip r:embed="rId108" r:link="rId2"/>
        <a:stretch>
          <a:fillRect/>
        </a:stretch>
      </xdr:blipFill>
      <xdr:spPr>
        <a:xfrm>
          <a:off x="34861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124</xdr:row>
      <xdr:rowOff>0</xdr:rowOff>
    </xdr:from>
    <xdr:to>
      <xdr:col>5</xdr:col>
      <xdr:colOff>381000</xdr:colOff>
      <xdr:row>125</xdr:row>
      <xdr:rowOff>171450</xdr:rowOff>
    </xdr:to>
    <xdr:pic>
      <xdr:nvPicPr>
        <xdr:cNvPr id="4734" name="图片 4733"/>
        <xdr:cNvPicPr>
          <a:picLocks noChangeAspect="1"/>
        </xdr:cNvPicPr>
      </xdr:nvPicPr>
      <xdr:blipFill>
        <a:blip r:embed="rId109" r:link="rId2"/>
        <a:stretch>
          <a:fillRect/>
        </a:stretch>
      </xdr:blipFill>
      <xdr:spPr>
        <a:xfrm>
          <a:off x="34861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128</xdr:row>
      <xdr:rowOff>0</xdr:rowOff>
    </xdr:from>
    <xdr:to>
      <xdr:col>5</xdr:col>
      <xdr:colOff>381000</xdr:colOff>
      <xdr:row>129</xdr:row>
      <xdr:rowOff>171450</xdr:rowOff>
    </xdr:to>
    <xdr:pic>
      <xdr:nvPicPr>
        <xdr:cNvPr id="4735" name="图片 4734"/>
        <xdr:cNvPicPr>
          <a:picLocks noChangeAspect="1"/>
        </xdr:cNvPicPr>
      </xdr:nvPicPr>
      <xdr:blipFill>
        <a:blip r:embed="rId110" r:link="rId2"/>
        <a:stretch>
          <a:fillRect/>
        </a:stretch>
      </xdr:blipFill>
      <xdr:spPr>
        <a:xfrm>
          <a:off x="34861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132</xdr:row>
      <xdr:rowOff>0</xdr:rowOff>
    </xdr:from>
    <xdr:to>
      <xdr:col>5</xdr:col>
      <xdr:colOff>381000</xdr:colOff>
      <xdr:row>133</xdr:row>
      <xdr:rowOff>171450</xdr:rowOff>
    </xdr:to>
    <xdr:pic>
      <xdr:nvPicPr>
        <xdr:cNvPr id="4736" name="图片 4735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34861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135</xdr:row>
      <xdr:rowOff>0</xdr:rowOff>
    </xdr:from>
    <xdr:to>
      <xdr:col>5</xdr:col>
      <xdr:colOff>381000</xdr:colOff>
      <xdr:row>136</xdr:row>
      <xdr:rowOff>171450</xdr:rowOff>
    </xdr:to>
    <xdr:pic>
      <xdr:nvPicPr>
        <xdr:cNvPr id="4737" name="图片 4736"/>
        <xdr:cNvPicPr>
          <a:picLocks noChangeAspect="1"/>
        </xdr:cNvPicPr>
      </xdr:nvPicPr>
      <xdr:blipFill>
        <a:blip r:embed="rId111" r:link="rId2"/>
        <a:stretch>
          <a:fillRect/>
        </a:stretch>
      </xdr:blipFill>
      <xdr:spPr>
        <a:xfrm>
          <a:off x="34861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139</xdr:row>
      <xdr:rowOff>0</xdr:rowOff>
    </xdr:from>
    <xdr:to>
      <xdr:col>5</xdr:col>
      <xdr:colOff>381000</xdr:colOff>
      <xdr:row>140</xdr:row>
      <xdr:rowOff>171450</xdr:rowOff>
    </xdr:to>
    <xdr:pic>
      <xdr:nvPicPr>
        <xdr:cNvPr id="4738" name="图片 4737"/>
        <xdr:cNvPicPr>
          <a:picLocks noChangeAspect="1"/>
        </xdr:cNvPicPr>
      </xdr:nvPicPr>
      <xdr:blipFill>
        <a:blip r:embed="rId112" r:link="rId2"/>
        <a:stretch>
          <a:fillRect/>
        </a:stretch>
      </xdr:blipFill>
      <xdr:spPr>
        <a:xfrm>
          <a:off x="34861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143</xdr:row>
      <xdr:rowOff>0</xdr:rowOff>
    </xdr:from>
    <xdr:to>
      <xdr:col>5</xdr:col>
      <xdr:colOff>381000</xdr:colOff>
      <xdr:row>144</xdr:row>
      <xdr:rowOff>171450</xdr:rowOff>
    </xdr:to>
    <xdr:pic>
      <xdr:nvPicPr>
        <xdr:cNvPr id="4739" name="图片 4738"/>
        <xdr:cNvPicPr>
          <a:picLocks noChangeAspect="1"/>
        </xdr:cNvPicPr>
      </xdr:nvPicPr>
      <xdr:blipFill>
        <a:blip r:embed="rId113" r:link="rId2"/>
        <a:stretch>
          <a:fillRect/>
        </a:stretch>
      </xdr:blipFill>
      <xdr:spPr>
        <a:xfrm>
          <a:off x="34861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5</xdr:col>
      <xdr:colOff>0</xdr:colOff>
      <xdr:row>146</xdr:row>
      <xdr:rowOff>0</xdr:rowOff>
    </xdr:from>
    <xdr:to>
      <xdr:col>5</xdr:col>
      <xdr:colOff>381000</xdr:colOff>
      <xdr:row>147</xdr:row>
      <xdr:rowOff>171450</xdr:rowOff>
    </xdr:to>
    <xdr:pic>
      <xdr:nvPicPr>
        <xdr:cNvPr id="4740" name="图片 4739"/>
        <xdr:cNvPicPr>
          <a:picLocks noChangeAspect="1"/>
        </xdr:cNvPicPr>
      </xdr:nvPicPr>
      <xdr:blipFill>
        <a:blip r:embed="rId114" r:link="rId2"/>
        <a:stretch>
          <a:fillRect/>
        </a:stretch>
      </xdr:blipFill>
      <xdr:spPr>
        <a:xfrm>
          <a:off x="34861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</xdr:row>
      <xdr:rowOff>0</xdr:rowOff>
    </xdr:from>
    <xdr:to>
      <xdr:col>6</xdr:col>
      <xdr:colOff>381000</xdr:colOff>
      <xdr:row>4</xdr:row>
      <xdr:rowOff>171450</xdr:rowOff>
    </xdr:to>
    <xdr:pic>
      <xdr:nvPicPr>
        <xdr:cNvPr id="4741" name="图片 4740"/>
        <xdr:cNvPicPr>
          <a:picLocks noChangeAspect="1"/>
        </xdr:cNvPicPr>
      </xdr:nvPicPr>
      <xdr:blipFill>
        <a:blip r:embed="rId115" r:link="rId2"/>
        <a:stretch>
          <a:fillRect/>
        </a:stretch>
      </xdr:blipFill>
      <xdr:spPr>
        <a:xfrm>
          <a:off x="452437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381000</xdr:colOff>
      <xdr:row>8</xdr:row>
      <xdr:rowOff>171450</xdr:rowOff>
    </xdr:to>
    <xdr:pic>
      <xdr:nvPicPr>
        <xdr:cNvPr id="4742" name="图片 4741"/>
        <xdr:cNvPicPr>
          <a:picLocks noChangeAspect="1"/>
        </xdr:cNvPicPr>
      </xdr:nvPicPr>
      <xdr:blipFill>
        <a:blip r:embed="rId116" r:link="rId2"/>
        <a:stretch>
          <a:fillRect/>
        </a:stretch>
      </xdr:blipFill>
      <xdr:spPr>
        <a:xfrm>
          <a:off x="452437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</xdr:row>
      <xdr:rowOff>0</xdr:rowOff>
    </xdr:from>
    <xdr:to>
      <xdr:col>6</xdr:col>
      <xdr:colOff>381000</xdr:colOff>
      <xdr:row>12</xdr:row>
      <xdr:rowOff>171450</xdr:rowOff>
    </xdr:to>
    <xdr:pic>
      <xdr:nvPicPr>
        <xdr:cNvPr id="4743" name="图片 4742"/>
        <xdr:cNvPicPr>
          <a:picLocks noChangeAspect="1"/>
        </xdr:cNvPicPr>
      </xdr:nvPicPr>
      <xdr:blipFill>
        <a:blip r:embed="rId117" r:link="rId2"/>
        <a:stretch>
          <a:fillRect/>
        </a:stretch>
      </xdr:blipFill>
      <xdr:spPr>
        <a:xfrm>
          <a:off x="452437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</xdr:row>
      <xdr:rowOff>0</xdr:rowOff>
    </xdr:from>
    <xdr:to>
      <xdr:col>6</xdr:col>
      <xdr:colOff>381000</xdr:colOff>
      <xdr:row>15</xdr:row>
      <xdr:rowOff>171450</xdr:rowOff>
    </xdr:to>
    <xdr:pic>
      <xdr:nvPicPr>
        <xdr:cNvPr id="4744" name="图片 4743"/>
        <xdr:cNvPicPr>
          <a:picLocks noChangeAspect="1"/>
        </xdr:cNvPicPr>
      </xdr:nvPicPr>
      <xdr:blipFill>
        <a:blip r:embed="rId118" r:link="rId2"/>
        <a:stretch>
          <a:fillRect/>
        </a:stretch>
      </xdr:blipFill>
      <xdr:spPr>
        <a:xfrm>
          <a:off x="452437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18</xdr:row>
      <xdr:rowOff>0</xdr:rowOff>
    </xdr:from>
    <xdr:to>
      <xdr:col>6</xdr:col>
      <xdr:colOff>381000</xdr:colOff>
      <xdr:row>19</xdr:row>
      <xdr:rowOff>171450</xdr:rowOff>
    </xdr:to>
    <xdr:pic>
      <xdr:nvPicPr>
        <xdr:cNvPr id="4745" name="图片 4744"/>
        <xdr:cNvPicPr>
          <a:picLocks noChangeAspect="1"/>
        </xdr:cNvPicPr>
      </xdr:nvPicPr>
      <xdr:blipFill>
        <a:blip r:embed="rId119" r:link="rId2"/>
        <a:stretch>
          <a:fillRect/>
        </a:stretch>
      </xdr:blipFill>
      <xdr:spPr>
        <a:xfrm>
          <a:off x="452437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22</xdr:row>
      <xdr:rowOff>0</xdr:rowOff>
    </xdr:from>
    <xdr:to>
      <xdr:col>6</xdr:col>
      <xdr:colOff>381000</xdr:colOff>
      <xdr:row>23</xdr:row>
      <xdr:rowOff>171450</xdr:rowOff>
    </xdr:to>
    <xdr:pic>
      <xdr:nvPicPr>
        <xdr:cNvPr id="4746" name="图片 4745"/>
        <xdr:cNvPicPr>
          <a:picLocks noChangeAspect="1"/>
        </xdr:cNvPicPr>
      </xdr:nvPicPr>
      <xdr:blipFill>
        <a:blip r:embed="rId120" r:link="rId2"/>
        <a:stretch>
          <a:fillRect/>
        </a:stretch>
      </xdr:blipFill>
      <xdr:spPr>
        <a:xfrm>
          <a:off x="452437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25</xdr:row>
      <xdr:rowOff>0</xdr:rowOff>
    </xdr:from>
    <xdr:to>
      <xdr:col>6</xdr:col>
      <xdr:colOff>381000</xdr:colOff>
      <xdr:row>26</xdr:row>
      <xdr:rowOff>171450</xdr:rowOff>
    </xdr:to>
    <xdr:pic>
      <xdr:nvPicPr>
        <xdr:cNvPr id="4747" name="图片 474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452437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29</xdr:row>
      <xdr:rowOff>0</xdr:rowOff>
    </xdr:from>
    <xdr:to>
      <xdr:col>6</xdr:col>
      <xdr:colOff>381000</xdr:colOff>
      <xdr:row>30</xdr:row>
      <xdr:rowOff>171450</xdr:rowOff>
    </xdr:to>
    <xdr:pic>
      <xdr:nvPicPr>
        <xdr:cNvPr id="4748" name="图片 4747"/>
        <xdr:cNvPicPr>
          <a:picLocks noChangeAspect="1"/>
        </xdr:cNvPicPr>
      </xdr:nvPicPr>
      <xdr:blipFill>
        <a:blip r:embed="rId121" r:link="rId2"/>
        <a:stretch>
          <a:fillRect/>
        </a:stretch>
      </xdr:blipFill>
      <xdr:spPr>
        <a:xfrm>
          <a:off x="452437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33</xdr:row>
      <xdr:rowOff>0</xdr:rowOff>
    </xdr:from>
    <xdr:to>
      <xdr:col>6</xdr:col>
      <xdr:colOff>381000</xdr:colOff>
      <xdr:row>34</xdr:row>
      <xdr:rowOff>171450</xdr:rowOff>
    </xdr:to>
    <xdr:pic>
      <xdr:nvPicPr>
        <xdr:cNvPr id="4749" name="图片 4748"/>
        <xdr:cNvPicPr>
          <a:picLocks noChangeAspect="1"/>
        </xdr:cNvPicPr>
      </xdr:nvPicPr>
      <xdr:blipFill>
        <a:blip r:embed="rId122" r:link="rId2"/>
        <a:stretch>
          <a:fillRect/>
        </a:stretch>
      </xdr:blipFill>
      <xdr:spPr>
        <a:xfrm>
          <a:off x="452437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36</xdr:row>
      <xdr:rowOff>0</xdr:rowOff>
    </xdr:from>
    <xdr:to>
      <xdr:col>6</xdr:col>
      <xdr:colOff>381000</xdr:colOff>
      <xdr:row>37</xdr:row>
      <xdr:rowOff>171450</xdr:rowOff>
    </xdr:to>
    <xdr:pic>
      <xdr:nvPicPr>
        <xdr:cNvPr id="4750" name="图片 474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452437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40</xdr:row>
      <xdr:rowOff>0</xdr:rowOff>
    </xdr:from>
    <xdr:to>
      <xdr:col>6</xdr:col>
      <xdr:colOff>381000</xdr:colOff>
      <xdr:row>41</xdr:row>
      <xdr:rowOff>171450</xdr:rowOff>
    </xdr:to>
    <xdr:pic>
      <xdr:nvPicPr>
        <xdr:cNvPr id="4751" name="图片 4750"/>
        <xdr:cNvPicPr>
          <a:picLocks noChangeAspect="1"/>
        </xdr:cNvPicPr>
      </xdr:nvPicPr>
      <xdr:blipFill>
        <a:blip r:embed="rId123" r:link="rId2"/>
        <a:stretch>
          <a:fillRect/>
        </a:stretch>
      </xdr:blipFill>
      <xdr:spPr>
        <a:xfrm>
          <a:off x="452437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44</xdr:row>
      <xdr:rowOff>0</xdr:rowOff>
    </xdr:from>
    <xdr:to>
      <xdr:col>6</xdr:col>
      <xdr:colOff>381000</xdr:colOff>
      <xdr:row>45</xdr:row>
      <xdr:rowOff>171450</xdr:rowOff>
    </xdr:to>
    <xdr:pic>
      <xdr:nvPicPr>
        <xdr:cNvPr id="4752" name="图片 4751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452437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47</xdr:row>
      <xdr:rowOff>0</xdr:rowOff>
    </xdr:from>
    <xdr:to>
      <xdr:col>6</xdr:col>
      <xdr:colOff>381000</xdr:colOff>
      <xdr:row>48</xdr:row>
      <xdr:rowOff>171450</xdr:rowOff>
    </xdr:to>
    <xdr:pic>
      <xdr:nvPicPr>
        <xdr:cNvPr id="4753" name="图片 4752"/>
        <xdr:cNvPicPr>
          <a:picLocks noChangeAspect="1"/>
        </xdr:cNvPicPr>
      </xdr:nvPicPr>
      <xdr:blipFill>
        <a:blip r:embed="rId124" r:link="rId2"/>
        <a:stretch>
          <a:fillRect/>
        </a:stretch>
      </xdr:blipFill>
      <xdr:spPr>
        <a:xfrm>
          <a:off x="452437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51</xdr:row>
      <xdr:rowOff>0</xdr:rowOff>
    </xdr:from>
    <xdr:to>
      <xdr:col>6</xdr:col>
      <xdr:colOff>381000</xdr:colOff>
      <xdr:row>52</xdr:row>
      <xdr:rowOff>171450</xdr:rowOff>
    </xdr:to>
    <xdr:pic>
      <xdr:nvPicPr>
        <xdr:cNvPr id="4754" name="图片 4753"/>
        <xdr:cNvPicPr>
          <a:picLocks noChangeAspect="1"/>
        </xdr:cNvPicPr>
      </xdr:nvPicPr>
      <xdr:blipFill>
        <a:blip r:embed="rId125" r:link="rId2"/>
        <a:stretch>
          <a:fillRect/>
        </a:stretch>
      </xdr:blipFill>
      <xdr:spPr>
        <a:xfrm>
          <a:off x="452437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55</xdr:row>
      <xdr:rowOff>0</xdr:rowOff>
    </xdr:from>
    <xdr:to>
      <xdr:col>6</xdr:col>
      <xdr:colOff>381000</xdr:colOff>
      <xdr:row>56</xdr:row>
      <xdr:rowOff>171450</xdr:rowOff>
    </xdr:to>
    <xdr:pic>
      <xdr:nvPicPr>
        <xdr:cNvPr id="4755" name="图片 4754"/>
        <xdr:cNvPicPr>
          <a:picLocks noChangeAspect="1"/>
        </xdr:cNvPicPr>
      </xdr:nvPicPr>
      <xdr:blipFill>
        <a:blip r:embed="rId126" r:link="rId2"/>
        <a:stretch>
          <a:fillRect/>
        </a:stretch>
      </xdr:blipFill>
      <xdr:spPr>
        <a:xfrm>
          <a:off x="452437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58</xdr:row>
      <xdr:rowOff>0</xdr:rowOff>
    </xdr:from>
    <xdr:to>
      <xdr:col>6</xdr:col>
      <xdr:colOff>381000</xdr:colOff>
      <xdr:row>59</xdr:row>
      <xdr:rowOff>171450</xdr:rowOff>
    </xdr:to>
    <xdr:pic>
      <xdr:nvPicPr>
        <xdr:cNvPr id="4756" name="图片 4755"/>
        <xdr:cNvPicPr>
          <a:picLocks noChangeAspect="1"/>
        </xdr:cNvPicPr>
      </xdr:nvPicPr>
      <xdr:blipFill>
        <a:blip r:embed="rId127" r:link="rId2"/>
        <a:stretch>
          <a:fillRect/>
        </a:stretch>
      </xdr:blipFill>
      <xdr:spPr>
        <a:xfrm>
          <a:off x="452437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62</xdr:row>
      <xdr:rowOff>0</xdr:rowOff>
    </xdr:from>
    <xdr:to>
      <xdr:col>6</xdr:col>
      <xdr:colOff>381000</xdr:colOff>
      <xdr:row>63</xdr:row>
      <xdr:rowOff>171450</xdr:rowOff>
    </xdr:to>
    <xdr:pic>
      <xdr:nvPicPr>
        <xdr:cNvPr id="4757" name="图片 4756"/>
        <xdr:cNvPicPr>
          <a:picLocks noChangeAspect="1"/>
        </xdr:cNvPicPr>
      </xdr:nvPicPr>
      <xdr:blipFill>
        <a:blip r:embed="rId128" r:link="rId2"/>
        <a:stretch>
          <a:fillRect/>
        </a:stretch>
      </xdr:blipFill>
      <xdr:spPr>
        <a:xfrm>
          <a:off x="452437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66</xdr:row>
      <xdr:rowOff>0</xdr:rowOff>
    </xdr:from>
    <xdr:to>
      <xdr:col>6</xdr:col>
      <xdr:colOff>381000</xdr:colOff>
      <xdr:row>67</xdr:row>
      <xdr:rowOff>171450</xdr:rowOff>
    </xdr:to>
    <xdr:pic>
      <xdr:nvPicPr>
        <xdr:cNvPr id="4758" name="图片 4757"/>
        <xdr:cNvPicPr>
          <a:picLocks noChangeAspect="1"/>
        </xdr:cNvPicPr>
      </xdr:nvPicPr>
      <xdr:blipFill>
        <a:blip r:embed="rId129" r:link="rId2"/>
        <a:stretch>
          <a:fillRect/>
        </a:stretch>
      </xdr:blipFill>
      <xdr:spPr>
        <a:xfrm>
          <a:off x="452437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69</xdr:row>
      <xdr:rowOff>0</xdr:rowOff>
    </xdr:from>
    <xdr:to>
      <xdr:col>6</xdr:col>
      <xdr:colOff>381000</xdr:colOff>
      <xdr:row>70</xdr:row>
      <xdr:rowOff>171450</xdr:rowOff>
    </xdr:to>
    <xdr:pic>
      <xdr:nvPicPr>
        <xdr:cNvPr id="4759" name="图片 4758"/>
        <xdr:cNvPicPr>
          <a:picLocks noChangeAspect="1"/>
        </xdr:cNvPicPr>
      </xdr:nvPicPr>
      <xdr:blipFill>
        <a:blip r:embed="rId130" r:link="rId2"/>
        <a:stretch>
          <a:fillRect/>
        </a:stretch>
      </xdr:blipFill>
      <xdr:spPr>
        <a:xfrm>
          <a:off x="452437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73</xdr:row>
      <xdr:rowOff>0</xdr:rowOff>
    </xdr:from>
    <xdr:to>
      <xdr:col>6</xdr:col>
      <xdr:colOff>381000</xdr:colOff>
      <xdr:row>74</xdr:row>
      <xdr:rowOff>171450</xdr:rowOff>
    </xdr:to>
    <xdr:pic>
      <xdr:nvPicPr>
        <xdr:cNvPr id="4760" name="图片 4759"/>
        <xdr:cNvPicPr>
          <a:picLocks noChangeAspect="1"/>
        </xdr:cNvPicPr>
      </xdr:nvPicPr>
      <xdr:blipFill>
        <a:blip r:embed="rId131" r:link="rId2"/>
        <a:stretch>
          <a:fillRect/>
        </a:stretch>
      </xdr:blipFill>
      <xdr:spPr>
        <a:xfrm>
          <a:off x="452437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77</xdr:row>
      <xdr:rowOff>0</xdr:rowOff>
    </xdr:from>
    <xdr:to>
      <xdr:col>6</xdr:col>
      <xdr:colOff>381000</xdr:colOff>
      <xdr:row>78</xdr:row>
      <xdr:rowOff>171450</xdr:rowOff>
    </xdr:to>
    <xdr:pic>
      <xdr:nvPicPr>
        <xdr:cNvPr id="4761" name="图片 4760"/>
        <xdr:cNvPicPr>
          <a:picLocks noChangeAspect="1"/>
        </xdr:cNvPicPr>
      </xdr:nvPicPr>
      <xdr:blipFill>
        <a:blip r:embed="rId132" r:link="rId2"/>
        <a:stretch>
          <a:fillRect/>
        </a:stretch>
      </xdr:blipFill>
      <xdr:spPr>
        <a:xfrm>
          <a:off x="452437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80</xdr:row>
      <xdr:rowOff>0</xdr:rowOff>
    </xdr:from>
    <xdr:to>
      <xdr:col>6</xdr:col>
      <xdr:colOff>381000</xdr:colOff>
      <xdr:row>81</xdr:row>
      <xdr:rowOff>171450</xdr:rowOff>
    </xdr:to>
    <xdr:pic>
      <xdr:nvPicPr>
        <xdr:cNvPr id="4762" name="图片 4761"/>
        <xdr:cNvPicPr>
          <a:picLocks noChangeAspect="1"/>
        </xdr:cNvPicPr>
      </xdr:nvPicPr>
      <xdr:blipFill>
        <a:blip r:embed="rId133" r:link="rId2"/>
        <a:stretch>
          <a:fillRect/>
        </a:stretch>
      </xdr:blipFill>
      <xdr:spPr>
        <a:xfrm>
          <a:off x="452437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84</xdr:row>
      <xdr:rowOff>0</xdr:rowOff>
    </xdr:from>
    <xdr:to>
      <xdr:col>6</xdr:col>
      <xdr:colOff>381000</xdr:colOff>
      <xdr:row>85</xdr:row>
      <xdr:rowOff>171450</xdr:rowOff>
    </xdr:to>
    <xdr:pic>
      <xdr:nvPicPr>
        <xdr:cNvPr id="4763" name="图片 4762"/>
        <xdr:cNvPicPr>
          <a:picLocks noChangeAspect="1"/>
        </xdr:cNvPicPr>
      </xdr:nvPicPr>
      <xdr:blipFill>
        <a:blip r:embed="rId134" r:link="rId2"/>
        <a:stretch>
          <a:fillRect/>
        </a:stretch>
      </xdr:blipFill>
      <xdr:spPr>
        <a:xfrm>
          <a:off x="452437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88</xdr:row>
      <xdr:rowOff>0</xdr:rowOff>
    </xdr:from>
    <xdr:to>
      <xdr:col>6</xdr:col>
      <xdr:colOff>381000</xdr:colOff>
      <xdr:row>89</xdr:row>
      <xdr:rowOff>171450</xdr:rowOff>
    </xdr:to>
    <xdr:pic>
      <xdr:nvPicPr>
        <xdr:cNvPr id="4764" name="图片 4763"/>
        <xdr:cNvPicPr>
          <a:picLocks noChangeAspect="1"/>
        </xdr:cNvPicPr>
      </xdr:nvPicPr>
      <xdr:blipFill>
        <a:blip r:embed="rId135" r:link="rId2"/>
        <a:stretch>
          <a:fillRect/>
        </a:stretch>
      </xdr:blipFill>
      <xdr:spPr>
        <a:xfrm>
          <a:off x="452437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91</xdr:row>
      <xdr:rowOff>0</xdr:rowOff>
    </xdr:from>
    <xdr:to>
      <xdr:col>6</xdr:col>
      <xdr:colOff>381000</xdr:colOff>
      <xdr:row>92</xdr:row>
      <xdr:rowOff>171450</xdr:rowOff>
    </xdr:to>
    <xdr:pic>
      <xdr:nvPicPr>
        <xdr:cNvPr id="4765" name="图片 4764"/>
        <xdr:cNvPicPr>
          <a:picLocks noChangeAspect="1"/>
        </xdr:cNvPicPr>
      </xdr:nvPicPr>
      <xdr:blipFill>
        <a:blip r:embed="rId136" r:link="rId2"/>
        <a:stretch>
          <a:fillRect/>
        </a:stretch>
      </xdr:blipFill>
      <xdr:spPr>
        <a:xfrm>
          <a:off x="452437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95</xdr:row>
      <xdr:rowOff>0</xdr:rowOff>
    </xdr:from>
    <xdr:to>
      <xdr:col>6</xdr:col>
      <xdr:colOff>381000</xdr:colOff>
      <xdr:row>96</xdr:row>
      <xdr:rowOff>171450</xdr:rowOff>
    </xdr:to>
    <xdr:pic>
      <xdr:nvPicPr>
        <xdr:cNvPr id="4766" name="图片 4765"/>
        <xdr:cNvPicPr>
          <a:picLocks noChangeAspect="1"/>
        </xdr:cNvPicPr>
      </xdr:nvPicPr>
      <xdr:blipFill>
        <a:blip r:embed="rId137" r:link="rId2"/>
        <a:stretch>
          <a:fillRect/>
        </a:stretch>
      </xdr:blipFill>
      <xdr:spPr>
        <a:xfrm>
          <a:off x="452437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99</xdr:row>
      <xdr:rowOff>0</xdr:rowOff>
    </xdr:from>
    <xdr:to>
      <xdr:col>6</xdr:col>
      <xdr:colOff>381000</xdr:colOff>
      <xdr:row>100</xdr:row>
      <xdr:rowOff>171450</xdr:rowOff>
    </xdr:to>
    <xdr:pic>
      <xdr:nvPicPr>
        <xdr:cNvPr id="4767" name="图片 4766"/>
        <xdr:cNvPicPr>
          <a:picLocks noChangeAspect="1"/>
        </xdr:cNvPicPr>
      </xdr:nvPicPr>
      <xdr:blipFill>
        <a:blip r:embed="rId138" r:link="rId2"/>
        <a:stretch>
          <a:fillRect/>
        </a:stretch>
      </xdr:blipFill>
      <xdr:spPr>
        <a:xfrm>
          <a:off x="452437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102</xdr:row>
      <xdr:rowOff>0</xdr:rowOff>
    </xdr:from>
    <xdr:to>
      <xdr:col>6</xdr:col>
      <xdr:colOff>381000</xdr:colOff>
      <xdr:row>103</xdr:row>
      <xdr:rowOff>171450</xdr:rowOff>
    </xdr:to>
    <xdr:pic>
      <xdr:nvPicPr>
        <xdr:cNvPr id="4768" name="图片 4767"/>
        <xdr:cNvPicPr>
          <a:picLocks noChangeAspect="1"/>
        </xdr:cNvPicPr>
      </xdr:nvPicPr>
      <xdr:blipFill>
        <a:blip r:embed="rId139" r:link="rId2"/>
        <a:stretch>
          <a:fillRect/>
        </a:stretch>
      </xdr:blipFill>
      <xdr:spPr>
        <a:xfrm>
          <a:off x="452437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106</xdr:row>
      <xdr:rowOff>0</xdr:rowOff>
    </xdr:from>
    <xdr:to>
      <xdr:col>6</xdr:col>
      <xdr:colOff>381000</xdr:colOff>
      <xdr:row>107</xdr:row>
      <xdr:rowOff>171450</xdr:rowOff>
    </xdr:to>
    <xdr:pic>
      <xdr:nvPicPr>
        <xdr:cNvPr id="4769" name="图片 4768"/>
        <xdr:cNvPicPr>
          <a:picLocks noChangeAspect="1"/>
        </xdr:cNvPicPr>
      </xdr:nvPicPr>
      <xdr:blipFill>
        <a:blip r:embed="rId140" r:link="rId2"/>
        <a:stretch>
          <a:fillRect/>
        </a:stretch>
      </xdr:blipFill>
      <xdr:spPr>
        <a:xfrm>
          <a:off x="452437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110</xdr:row>
      <xdr:rowOff>0</xdr:rowOff>
    </xdr:from>
    <xdr:to>
      <xdr:col>6</xdr:col>
      <xdr:colOff>381000</xdr:colOff>
      <xdr:row>111</xdr:row>
      <xdr:rowOff>171450</xdr:rowOff>
    </xdr:to>
    <xdr:pic>
      <xdr:nvPicPr>
        <xdr:cNvPr id="4770" name="图片 4769"/>
        <xdr:cNvPicPr>
          <a:picLocks noChangeAspect="1"/>
        </xdr:cNvPicPr>
      </xdr:nvPicPr>
      <xdr:blipFill>
        <a:blip r:embed="rId141" r:link="rId2"/>
        <a:stretch>
          <a:fillRect/>
        </a:stretch>
      </xdr:blipFill>
      <xdr:spPr>
        <a:xfrm>
          <a:off x="452437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113</xdr:row>
      <xdr:rowOff>0</xdr:rowOff>
    </xdr:from>
    <xdr:to>
      <xdr:col>6</xdr:col>
      <xdr:colOff>381000</xdr:colOff>
      <xdr:row>114</xdr:row>
      <xdr:rowOff>171450</xdr:rowOff>
    </xdr:to>
    <xdr:pic>
      <xdr:nvPicPr>
        <xdr:cNvPr id="4771" name="图片 4770"/>
        <xdr:cNvPicPr>
          <a:picLocks noChangeAspect="1"/>
        </xdr:cNvPicPr>
      </xdr:nvPicPr>
      <xdr:blipFill>
        <a:blip r:embed="rId142" r:link="rId2"/>
        <a:stretch>
          <a:fillRect/>
        </a:stretch>
      </xdr:blipFill>
      <xdr:spPr>
        <a:xfrm>
          <a:off x="452437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117</xdr:row>
      <xdr:rowOff>0</xdr:rowOff>
    </xdr:from>
    <xdr:to>
      <xdr:col>6</xdr:col>
      <xdr:colOff>381000</xdr:colOff>
      <xdr:row>118</xdr:row>
      <xdr:rowOff>171450</xdr:rowOff>
    </xdr:to>
    <xdr:pic>
      <xdr:nvPicPr>
        <xdr:cNvPr id="4772" name="图片 4771"/>
        <xdr:cNvPicPr>
          <a:picLocks noChangeAspect="1"/>
        </xdr:cNvPicPr>
      </xdr:nvPicPr>
      <xdr:blipFill>
        <a:blip r:embed="rId143" r:link="rId2"/>
        <a:stretch>
          <a:fillRect/>
        </a:stretch>
      </xdr:blipFill>
      <xdr:spPr>
        <a:xfrm>
          <a:off x="452437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121</xdr:row>
      <xdr:rowOff>0</xdr:rowOff>
    </xdr:from>
    <xdr:to>
      <xdr:col>6</xdr:col>
      <xdr:colOff>381000</xdr:colOff>
      <xdr:row>122</xdr:row>
      <xdr:rowOff>171450</xdr:rowOff>
    </xdr:to>
    <xdr:pic>
      <xdr:nvPicPr>
        <xdr:cNvPr id="4773" name="图片 4772"/>
        <xdr:cNvPicPr>
          <a:picLocks noChangeAspect="1"/>
        </xdr:cNvPicPr>
      </xdr:nvPicPr>
      <xdr:blipFill>
        <a:blip r:embed="rId144" r:link="rId2"/>
        <a:stretch>
          <a:fillRect/>
        </a:stretch>
      </xdr:blipFill>
      <xdr:spPr>
        <a:xfrm>
          <a:off x="452437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124</xdr:row>
      <xdr:rowOff>0</xdr:rowOff>
    </xdr:from>
    <xdr:to>
      <xdr:col>6</xdr:col>
      <xdr:colOff>381000</xdr:colOff>
      <xdr:row>125</xdr:row>
      <xdr:rowOff>171450</xdr:rowOff>
    </xdr:to>
    <xdr:pic>
      <xdr:nvPicPr>
        <xdr:cNvPr id="4774" name="图片 4773"/>
        <xdr:cNvPicPr>
          <a:picLocks noChangeAspect="1"/>
        </xdr:cNvPicPr>
      </xdr:nvPicPr>
      <xdr:blipFill>
        <a:blip r:embed="rId145" r:link="rId2"/>
        <a:stretch>
          <a:fillRect/>
        </a:stretch>
      </xdr:blipFill>
      <xdr:spPr>
        <a:xfrm>
          <a:off x="452437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128</xdr:row>
      <xdr:rowOff>0</xdr:rowOff>
    </xdr:from>
    <xdr:to>
      <xdr:col>6</xdr:col>
      <xdr:colOff>381000</xdr:colOff>
      <xdr:row>129</xdr:row>
      <xdr:rowOff>171450</xdr:rowOff>
    </xdr:to>
    <xdr:pic>
      <xdr:nvPicPr>
        <xdr:cNvPr id="4775" name="图片 4774"/>
        <xdr:cNvPicPr>
          <a:picLocks noChangeAspect="1"/>
        </xdr:cNvPicPr>
      </xdr:nvPicPr>
      <xdr:blipFill>
        <a:blip r:embed="rId146" r:link="rId2"/>
        <a:stretch>
          <a:fillRect/>
        </a:stretch>
      </xdr:blipFill>
      <xdr:spPr>
        <a:xfrm>
          <a:off x="452437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132</xdr:row>
      <xdr:rowOff>0</xdr:rowOff>
    </xdr:from>
    <xdr:to>
      <xdr:col>6</xdr:col>
      <xdr:colOff>381000</xdr:colOff>
      <xdr:row>133</xdr:row>
      <xdr:rowOff>171450</xdr:rowOff>
    </xdr:to>
    <xdr:pic>
      <xdr:nvPicPr>
        <xdr:cNvPr id="4776" name="图片 4775"/>
        <xdr:cNvPicPr>
          <a:picLocks noChangeAspect="1"/>
        </xdr:cNvPicPr>
      </xdr:nvPicPr>
      <xdr:blipFill>
        <a:blip r:embed="rId147" r:link="rId2"/>
        <a:stretch>
          <a:fillRect/>
        </a:stretch>
      </xdr:blipFill>
      <xdr:spPr>
        <a:xfrm>
          <a:off x="452437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135</xdr:row>
      <xdr:rowOff>0</xdr:rowOff>
    </xdr:from>
    <xdr:to>
      <xdr:col>6</xdr:col>
      <xdr:colOff>381000</xdr:colOff>
      <xdr:row>136</xdr:row>
      <xdr:rowOff>171450</xdr:rowOff>
    </xdr:to>
    <xdr:pic>
      <xdr:nvPicPr>
        <xdr:cNvPr id="4777" name="图片 4776"/>
        <xdr:cNvPicPr>
          <a:picLocks noChangeAspect="1"/>
        </xdr:cNvPicPr>
      </xdr:nvPicPr>
      <xdr:blipFill>
        <a:blip r:embed="rId148" r:link="rId2"/>
        <a:stretch>
          <a:fillRect/>
        </a:stretch>
      </xdr:blipFill>
      <xdr:spPr>
        <a:xfrm>
          <a:off x="452437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139</xdr:row>
      <xdr:rowOff>0</xdr:rowOff>
    </xdr:from>
    <xdr:to>
      <xdr:col>6</xdr:col>
      <xdr:colOff>381000</xdr:colOff>
      <xdr:row>140</xdr:row>
      <xdr:rowOff>171450</xdr:rowOff>
    </xdr:to>
    <xdr:pic>
      <xdr:nvPicPr>
        <xdr:cNvPr id="4778" name="图片 4777"/>
        <xdr:cNvPicPr>
          <a:picLocks noChangeAspect="1"/>
        </xdr:cNvPicPr>
      </xdr:nvPicPr>
      <xdr:blipFill>
        <a:blip r:embed="rId149" r:link="rId2"/>
        <a:stretch>
          <a:fillRect/>
        </a:stretch>
      </xdr:blipFill>
      <xdr:spPr>
        <a:xfrm>
          <a:off x="452437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143</xdr:row>
      <xdr:rowOff>0</xdr:rowOff>
    </xdr:from>
    <xdr:to>
      <xdr:col>6</xdr:col>
      <xdr:colOff>381000</xdr:colOff>
      <xdr:row>144</xdr:row>
      <xdr:rowOff>171450</xdr:rowOff>
    </xdr:to>
    <xdr:pic>
      <xdr:nvPicPr>
        <xdr:cNvPr id="4779" name="图片 4778"/>
        <xdr:cNvPicPr>
          <a:picLocks noChangeAspect="1"/>
        </xdr:cNvPicPr>
      </xdr:nvPicPr>
      <xdr:blipFill>
        <a:blip r:embed="rId150" r:link="rId2"/>
        <a:stretch>
          <a:fillRect/>
        </a:stretch>
      </xdr:blipFill>
      <xdr:spPr>
        <a:xfrm>
          <a:off x="452437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6</xdr:col>
      <xdr:colOff>0</xdr:colOff>
      <xdr:row>146</xdr:row>
      <xdr:rowOff>0</xdr:rowOff>
    </xdr:from>
    <xdr:to>
      <xdr:col>6</xdr:col>
      <xdr:colOff>381000</xdr:colOff>
      <xdr:row>147</xdr:row>
      <xdr:rowOff>171450</xdr:rowOff>
    </xdr:to>
    <xdr:pic>
      <xdr:nvPicPr>
        <xdr:cNvPr id="4780" name="图片 4779"/>
        <xdr:cNvPicPr>
          <a:picLocks noChangeAspect="1"/>
        </xdr:cNvPicPr>
      </xdr:nvPicPr>
      <xdr:blipFill>
        <a:blip r:embed="rId151" r:link="rId2"/>
        <a:stretch>
          <a:fillRect/>
        </a:stretch>
      </xdr:blipFill>
      <xdr:spPr>
        <a:xfrm>
          <a:off x="452437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</xdr:row>
      <xdr:rowOff>0</xdr:rowOff>
    </xdr:from>
    <xdr:to>
      <xdr:col>7</xdr:col>
      <xdr:colOff>381000</xdr:colOff>
      <xdr:row>4</xdr:row>
      <xdr:rowOff>171450</xdr:rowOff>
    </xdr:to>
    <xdr:pic>
      <xdr:nvPicPr>
        <xdr:cNvPr id="4781" name="图片 4780"/>
        <xdr:cNvPicPr>
          <a:picLocks noChangeAspect="1"/>
        </xdr:cNvPicPr>
      </xdr:nvPicPr>
      <xdr:blipFill>
        <a:blip r:embed="rId152" r:link="rId2"/>
        <a:stretch>
          <a:fillRect/>
        </a:stretch>
      </xdr:blipFill>
      <xdr:spPr>
        <a:xfrm>
          <a:off x="556260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381000</xdr:colOff>
      <xdr:row>8</xdr:row>
      <xdr:rowOff>171450</xdr:rowOff>
    </xdr:to>
    <xdr:pic>
      <xdr:nvPicPr>
        <xdr:cNvPr id="4782" name="图片 4781"/>
        <xdr:cNvPicPr>
          <a:picLocks noChangeAspect="1"/>
        </xdr:cNvPicPr>
      </xdr:nvPicPr>
      <xdr:blipFill>
        <a:blip r:embed="rId153" r:link="rId2"/>
        <a:stretch>
          <a:fillRect/>
        </a:stretch>
      </xdr:blipFill>
      <xdr:spPr>
        <a:xfrm>
          <a:off x="556260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</xdr:row>
      <xdr:rowOff>0</xdr:rowOff>
    </xdr:from>
    <xdr:to>
      <xdr:col>7</xdr:col>
      <xdr:colOff>381000</xdr:colOff>
      <xdr:row>12</xdr:row>
      <xdr:rowOff>171450</xdr:rowOff>
    </xdr:to>
    <xdr:pic>
      <xdr:nvPicPr>
        <xdr:cNvPr id="4783" name="图片 4782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556260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</xdr:row>
      <xdr:rowOff>0</xdr:rowOff>
    </xdr:from>
    <xdr:to>
      <xdr:col>7</xdr:col>
      <xdr:colOff>381000</xdr:colOff>
      <xdr:row>15</xdr:row>
      <xdr:rowOff>171450</xdr:rowOff>
    </xdr:to>
    <xdr:pic>
      <xdr:nvPicPr>
        <xdr:cNvPr id="4784" name="图片 4783"/>
        <xdr:cNvPicPr>
          <a:picLocks noChangeAspect="1"/>
        </xdr:cNvPicPr>
      </xdr:nvPicPr>
      <xdr:blipFill>
        <a:blip r:embed="rId154" r:link="rId2"/>
        <a:stretch>
          <a:fillRect/>
        </a:stretch>
      </xdr:blipFill>
      <xdr:spPr>
        <a:xfrm>
          <a:off x="556260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18</xdr:row>
      <xdr:rowOff>0</xdr:rowOff>
    </xdr:from>
    <xdr:to>
      <xdr:col>7</xdr:col>
      <xdr:colOff>381000</xdr:colOff>
      <xdr:row>19</xdr:row>
      <xdr:rowOff>171450</xdr:rowOff>
    </xdr:to>
    <xdr:pic>
      <xdr:nvPicPr>
        <xdr:cNvPr id="4785" name="图片 4784"/>
        <xdr:cNvPicPr>
          <a:picLocks noChangeAspect="1"/>
        </xdr:cNvPicPr>
      </xdr:nvPicPr>
      <xdr:blipFill>
        <a:blip r:embed="rId155" r:link="rId2"/>
        <a:stretch>
          <a:fillRect/>
        </a:stretch>
      </xdr:blipFill>
      <xdr:spPr>
        <a:xfrm>
          <a:off x="556260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22</xdr:row>
      <xdr:rowOff>0</xdr:rowOff>
    </xdr:from>
    <xdr:to>
      <xdr:col>7</xdr:col>
      <xdr:colOff>381000</xdr:colOff>
      <xdr:row>23</xdr:row>
      <xdr:rowOff>171450</xdr:rowOff>
    </xdr:to>
    <xdr:pic>
      <xdr:nvPicPr>
        <xdr:cNvPr id="4786" name="图片 4785"/>
        <xdr:cNvPicPr>
          <a:picLocks noChangeAspect="1"/>
        </xdr:cNvPicPr>
      </xdr:nvPicPr>
      <xdr:blipFill>
        <a:blip r:embed="rId156" r:link="rId2"/>
        <a:stretch>
          <a:fillRect/>
        </a:stretch>
      </xdr:blipFill>
      <xdr:spPr>
        <a:xfrm>
          <a:off x="556260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25</xdr:row>
      <xdr:rowOff>0</xdr:rowOff>
    </xdr:from>
    <xdr:to>
      <xdr:col>7</xdr:col>
      <xdr:colOff>381000</xdr:colOff>
      <xdr:row>26</xdr:row>
      <xdr:rowOff>171450</xdr:rowOff>
    </xdr:to>
    <xdr:pic>
      <xdr:nvPicPr>
        <xdr:cNvPr id="4787" name="图片 4786"/>
        <xdr:cNvPicPr>
          <a:picLocks noChangeAspect="1"/>
        </xdr:cNvPicPr>
      </xdr:nvPicPr>
      <xdr:blipFill>
        <a:blip r:embed="rId157" r:link="rId2"/>
        <a:stretch>
          <a:fillRect/>
        </a:stretch>
      </xdr:blipFill>
      <xdr:spPr>
        <a:xfrm>
          <a:off x="556260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29</xdr:row>
      <xdr:rowOff>0</xdr:rowOff>
    </xdr:from>
    <xdr:to>
      <xdr:col>7</xdr:col>
      <xdr:colOff>381000</xdr:colOff>
      <xdr:row>30</xdr:row>
      <xdr:rowOff>171450</xdr:rowOff>
    </xdr:to>
    <xdr:pic>
      <xdr:nvPicPr>
        <xdr:cNvPr id="4788" name="图片 4787"/>
        <xdr:cNvPicPr>
          <a:picLocks noChangeAspect="1"/>
        </xdr:cNvPicPr>
      </xdr:nvPicPr>
      <xdr:blipFill>
        <a:blip r:embed="rId158" r:link="rId2"/>
        <a:stretch>
          <a:fillRect/>
        </a:stretch>
      </xdr:blipFill>
      <xdr:spPr>
        <a:xfrm>
          <a:off x="556260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33</xdr:row>
      <xdr:rowOff>0</xdr:rowOff>
    </xdr:from>
    <xdr:to>
      <xdr:col>7</xdr:col>
      <xdr:colOff>381000</xdr:colOff>
      <xdr:row>34</xdr:row>
      <xdr:rowOff>171450</xdr:rowOff>
    </xdr:to>
    <xdr:pic>
      <xdr:nvPicPr>
        <xdr:cNvPr id="4789" name="图片 4788"/>
        <xdr:cNvPicPr>
          <a:picLocks noChangeAspect="1"/>
        </xdr:cNvPicPr>
      </xdr:nvPicPr>
      <xdr:blipFill>
        <a:blip r:embed="rId159" r:link="rId2"/>
        <a:stretch>
          <a:fillRect/>
        </a:stretch>
      </xdr:blipFill>
      <xdr:spPr>
        <a:xfrm>
          <a:off x="556260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36</xdr:row>
      <xdr:rowOff>0</xdr:rowOff>
    </xdr:from>
    <xdr:to>
      <xdr:col>7</xdr:col>
      <xdr:colOff>381000</xdr:colOff>
      <xdr:row>37</xdr:row>
      <xdr:rowOff>171450</xdr:rowOff>
    </xdr:to>
    <xdr:pic>
      <xdr:nvPicPr>
        <xdr:cNvPr id="4790" name="图片 4789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556260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40</xdr:row>
      <xdr:rowOff>0</xdr:rowOff>
    </xdr:from>
    <xdr:to>
      <xdr:col>7</xdr:col>
      <xdr:colOff>381000</xdr:colOff>
      <xdr:row>41</xdr:row>
      <xdr:rowOff>171450</xdr:rowOff>
    </xdr:to>
    <xdr:pic>
      <xdr:nvPicPr>
        <xdr:cNvPr id="4791" name="图片 4790"/>
        <xdr:cNvPicPr>
          <a:picLocks noChangeAspect="1"/>
        </xdr:cNvPicPr>
      </xdr:nvPicPr>
      <xdr:blipFill>
        <a:blip r:embed="rId160" r:link="rId2"/>
        <a:stretch>
          <a:fillRect/>
        </a:stretch>
      </xdr:blipFill>
      <xdr:spPr>
        <a:xfrm>
          <a:off x="556260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44</xdr:row>
      <xdr:rowOff>0</xdr:rowOff>
    </xdr:from>
    <xdr:to>
      <xdr:col>7</xdr:col>
      <xdr:colOff>381000</xdr:colOff>
      <xdr:row>45</xdr:row>
      <xdr:rowOff>171450</xdr:rowOff>
    </xdr:to>
    <xdr:pic>
      <xdr:nvPicPr>
        <xdr:cNvPr id="4792" name="图片 4791"/>
        <xdr:cNvPicPr>
          <a:picLocks noChangeAspect="1"/>
        </xdr:cNvPicPr>
      </xdr:nvPicPr>
      <xdr:blipFill>
        <a:blip r:embed="rId161" r:link="rId2"/>
        <a:stretch>
          <a:fillRect/>
        </a:stretch>
      </xdr:blipFill>
      <xdr:spPr>
        <a:xfrm>
          <a:off x="556260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47</xdr:row>
      <xdr:rowOff>0</xdr:rowOff>
    </xdr:from>
    <xdr:to>
      <xdr:col>7</xdr:col>
      <xdr:colOff>381000</xdr:colOff>
      <xdr:row>48</xdr:row>
      <xdr:rowOff>171450</xdr:rowOff>
    </xdr:to>
    <xdr:pic>
      <xdr:nvPicPr>
        <xdr:cNvPr id="4793" name="图片 4792"/>
        <xdr:cNvPicPr>
          <a:picLocks noChangeAspect="1"/>
        </xdr:cNvPicPr>
      </xdr:nvPicPr>
      <xdr:blipFill>
        <a:blip r:embed="rId162" r:link="rId2"/>
        <a:stretch>
          <a:fillRect/>
        </a:stretch>
      </xdr:blipFill>
      <xdr:spPr>
        <a:xfrm>
          <a:off x="556260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51</xdr:row>
      <xdr:rowOff>0</xdr:rowOff>
    </xdr:from>
    <xdr:to>
      <xdr:col>7</xdr:col>
      <xdr:colOff>381000</xdr:colOff>
      <xdr:row>52</xdr:row>
      <xdr:rowOff>171450</xdr:rowOff>
    </xdr:to>
    <xdr:pic>
      <xdr:nvPicPr>
        <xdr:cNvPr id="4794" name="图片 4793"/>
        <xdr:cNvPicPr>
          <a:picLocks noChangeAspect="1"/>
        </xdr:cNvPicPr>
      </xdr:nvPicPr>
      <xdr:blipFill>
        <a:blip r:embed="rId163" r:link="rId2"/>
        <a:stretch>
          <a:fillRect/>
        </a:stretch>
      </xdr:blipFill>
      <xdr:spPr>
        <a:xfrm>
          <a:off x="556260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55</xdr:row>
      <xdr:rowOff>0</xdr:rowOff>
    </xdr:from>
    <xdr:to>
      <xdr:col>7</xdr:col>
      <xdr:colOff>381000</xdr:colOff>
      <xdr:row>56</xdr:row>
      <xdr:rowOff>171450</xdr:rowOff>
    </xdr:to>
    <xdr:pic>
      <xdr:nvPicPr>
        <xdr:cNvPr id="4795" name="图片 4794"/>
        <xdr:cNvPicPr>
          <a:picLocks noChangeAspect="1"/>
        </xdr:cNvPicPr>
      </xdr:nvPicPr>
      <xdr:blipFill>
        <a:blip r:embed="rId164" r:link="rId2"/>
        <a:stretch>
          <a:fillRect/>
        </a:stretch>
      </xdr:blipFill>
      <xdr:spPr>
        <a:xfrm>
          <a:off x="556260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58</xdr:row>
      <xdr:rowOff>0</xdr:rowOff>
    </xdr:from>
    <xdr:to>
      <xdr:col>7</xdr:col>
      <xdr:colOff>381000</xdr:colOff>
      <xdr:row>59</xdr:row>
      <xdr:rowOff>171450</xdr:rowOff>
    </xdr:to>
    <xdr:pic>
      <xdr:nvPicPr>
        <xdr:cNvPr id="4796" name="图片 4795"/>
        <xdr:cNvPicPr>
          <a:picLocks noChangeAspect="1"/>
        </xdr:cNvPicPr>
      </xdr:nvPicPr>
      <xdr:blipFill>
        <a:blip r:embed="rId165" r:link="rId2"/>
        <a:stretch>
          <a:fillRect/>
        </a:stretch>
      </xdr:blipFill>
      <xdr:spPr>
        <a:xfrm>
          <a:off x="556260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62</xdr:row>
      <xdr:rowOff>0</xdr:rowOff>
    </xdr:from>
    <xdr:to>
      <xdr:col>7</xdr:col>
      <xdr:colOff>381000</xdr:colOff>
      <xdr:row>63</xdr:row>
      <xdr:rowOff>171450</xdr:rowOff>
    </xdr:to>
    <xdr:pic>
      <xdr:nvPicPr>
        <xdr:cNvPr id="4797" name="图片 4796"/>
        <xdr:cNvPicPr>
          <a:picLocks noChangeAspect="1"/>
        </xdr:cNvPicPr>
      </xdr:nvPicPr>
      <xdr:blipFill>
        <a:blip r:embed="rId166" r:link="rId2"/>
        <a:stretch>
          <a:fillRect/>
        </a:stretch>
      </xdr:blipFill>
      <xdr:spPr>
        <a:xfrm>
          <a:off x="556260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66</xdr:row>
      <xdr:rowOff>0</xdr:rowOff>
    </xdr:from>
    <xdr:to>
      <xdr:col>7</xdr:col>
      <xdr:colOff>381000</xdr:colOff>
      <xdr:row>67</xdr:row>
      <xdr:rowOff>171450</xdr:rowOff>
    </xdr:to>
    <xdr:pic>
      <xdr:nvPicPr>
        <xdr:cNvPr id="4798" name="图片 4797"/>
        <xdr:cNvPicPr>
          <a:picLocks noChangeAspect="1"/>
        </xdr:cNvPicPr>
      </xdr:nvPicPr>
      <xdr:blipFill>
        <a:blip r:embed="rId167" r:link="rId2"/>
        <a:stretch>
          <a:fillRect/>
        </a:stretch>
      </xdr:blipFill>
      <xdr:spPr>
        <a:xfrm>
          <a:off x="556260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69</xdr:row>
      <xdr:rowOff>0</xdr:rowOff>
    </xdr:from>
    <xdr:to>
      <xdr:col>7</xdr:col>
      <xdr:colOff>381000</xdr:colOff>
      <xdr:row>70</xdr:row>
      <xdr:rowOff>171450</xdr:rowOff>
    </xdr:to>
    <xdr:pic>
      <xdr:nvPicPr>
        <xdr:cNvPr id="4799" name="图片 4798"/>
        <xdr:cNvPicPr>
          <a:picLocks noChangeAspect="1"/>
        </xdr:cNvPicPr>
      </xdr:nvPicPr>
      <xdr:blipFill>
        <a:blip r:embed="rId168" r:link="rId2"/>
        <a:stretch>
          <a:fillRect/>
        </a:stretch>
      </xdr:blipFill>
      <xdr:spPr>
        <a:xfrm>
          <a:off x="556260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73</xdr:row>
      <xdr:rowOff>0</xdr:rowOff>
    </xdr:from>
    <xdr:to>
      <xdr:col>7</xdr:col>
      <xdr:colOff>381000</xdr:colOff>
      <xdr:row>74</xdr:row>
      <xdr:rowOff>171450</xdr:rowOff>
    </xdr:to>
    <xdr:pic>
      <xdr:nvPicPr>
        <xdr:cNvPr id="4800" name="图片 4799"/>
        <xdr:cNvPicPr>
          <a:picLocks noChangeAspect="1"/>
        </xdr:cNvPicPr>
      </xdr:nvPicPr>
      <xdr:blipFill>
        <a:blip r:embed="rId169" r:link="rId2"/>
        <a:stretch>
          <a:fillRect/>
        </a:stretch>
      </xdr:blipFill>
      <xdr:spPr>
        <a:xfrm>
          <a:off x="556260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77</xdr:row>
      <xdr:rowOff>0</xdr:rowOff>
    </xdr:from>
    <xdr:to>
      <xdr:col>7</xdr:col>
      <xdr:colOff>381000</xdr:colOff>
      <xdr:row>78</xdr:row>
      <xdr:rowOff>171450</xdr:rowOff>
    </xdr:to>
    <xdr:pic>
      <xdr:nvPicPr>
        <xdr:cNvPr id="4801" name="图片 4800"/>
        <xdr:cNvPicPr>
          <a:picLocks noChangeAspect="1"/>
        </xdr:cNvPicPr>
      </xdr:nvPicPr>
      <xdr:blipFill>
        <a:blip r:embed="rId170" r:link="rId2"/>
        <a:stretch>
          <a:fillRect/>
        </a:stretch>
      </xdr:blipFill>
      <xdr:spPr>
        <a:xfrm>
          <a:off x="556260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80</xdr:row>
      <xdr:rowOff>0</xdr:rowOff>
    </xdr:from>
    <xdr:to>
      <xdr:col>7</xdr:col>
      <xdr:colOff>381000</xdr:colOff>
      <xdr:row>81</xdr:row>
      <xdr:rowOff>171450</xdr:rowOff>
    </xdr:to>
    <xdr:pic>
      <xdr:nvPicPr>
        <xdr:cNvPr id="4802" name="图片 4801"/>
        <xdr:cNvPicPr>
          <a:picLocks noChangeAspect="1"/>
        </xdr:cNvPicPr>
      </xdr:nvPicPr>
      <xdr:blipFill>
        <a:blip r:embed="rId171" r:link="rId2"/>
        <a:stretch>
          <a:fillRect/>
        </a:stretch>
      </xdr:blipFill>
      <xdr:spPr>
        <a:xfrm>
          <a:off x="556260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84</xdr:row>
      <xdr:rowOff>0</xdr:rowOff>
    </xdr:from>
    <xdr:to>
      <xdr:col>7</xdr:col>
      <xdr:colOff>381000</xdr:colOff>
      <xdr:row>85</xdr:row>
      <xdr:rowOff>171450</xdr:rowOff>
    </xdr:to>
    <xdr:pic>
      <xdr:nvPicPr>
        <xdr:cNvPr id="4803" name="图片 4802"/>
        <xdr:cNvPicPr>
          <a:picLocks noChangeAspect="1"/>
        </xdr:cNvPicPr>
      </xdr:nvPicPr>
      <xdr:blipFill>
        <a:blip r:embed="rId172" r:link="rId2"/>
        <a:stretch>
          <a:fillRect/>
        </a:stretch>
      </xdr:blipFill>
      <xdr:spPr>
        <a:xfrm>
          <a:off x="556260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88</xdr:row>
      <xdr:rowOff>0</xdr:rowOff>
    </xdr:from>
    <xdr:to>
      <xdr:col>7</xdr:col>
      <xdr:colOff>381000</xdr:colOff>
      <xdr:row>89</xdr:row>
      <xdr:rowOff>171450</xdr:rowOff>
    </xdr:to>
    <xdr:pic>
      <xdr:nvPicPr>
        <xdr:cNvPr id="4804" name="图片 4803"/>
        <xdr:cNvPicPr>
          <a:picLocks noChangeAspect="1"/>
        </xdr:cNvPicPr>
      </xdr:nvPicPr>
      <xdr:blipFill>
        <a:blip r:embed="rId173" r:link="rId2"/>
        <a:stretch>
          <a:fillRect/>
        </a:stretch>
      </xdr:blipFill>
      <xdr:spPr>
        <a:xfrm>
          <a:off x="556260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91</xdr:row>
      <xdr:rowOff>0</xdr:rowOff>
    </xdr:from>
    <xdr:to>
      <xdr:col>7</xdr:col>
      <xdr:colOff>381000</xdr:colOff>
      <xdr:row>92</xdr:row>
      <xdr:rowOff>171450</xdr:rowOff>
    </xdr:to>
    <xdr:pic>
      <xdr:nvPicPr>
        <xdr:cNvPr id="4805" name="图片 4804"/>
        <xdr:cNvPicPr>
          <a:picLocks noChangeAspect="1"/>
        </xdr:cNvPicPr>
      </xdr:nvPicPr>
      <xdr:blipFill>
        <a:blip r:embed="rId174" r:link="rId2"/>
        <a:stretch>
          <a:fillRect/>
        </a:stretch>
      </xdr:blipFill>
      <xdr:spPr>
        <a:xfrm>
          <a:off x="556260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95</xdr:row>
      <xdr:rowOff>0</xdr:rowOff>
    </xdr:from>
    <xdr:to>
      <xdr:col>7</xdr:col>
      <xdr:colOff>381000</xdr:colOff>
      <xdr:row>96</xdr:row>
      <xdr:rowOff>171450</xdr:rowOff>
    </xdr:to>
    <xdr:pic>
      <xdr:nvPicPr>
        <xdr:cNvPr id="4806" name="图片 4805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556260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99</xdr:row>
      <xdr:rowOff>0</xdr:rowOff>
    </xdr:from>
    <xdr:to>
      <xdr:col>7</xdr:col>
      <xdr:colOff>381000</xdr:colOff>
      <xdr:row>100</xdr:row>
      <xdr:rowOff>171450</xdr:rowOff>
    </xdr:to>
    <xdr:pic>
      <xdr:nvPicPr>
        <xdr:cNvPr id="4807" name="图片 4806"/>
        <xdr:cNvPicPr>
          <a:picLocks noChangeAspect="1"/>
        </xdr:cNvPicPr>
      </xdr:nvPicPr>
      <xdr:blipFill>
        <a:blip r:embed="rId175" r:link="rId2"/>
        <a:stretch>
          <a:fillRect/>
        </a:stretch>
      </xdr:blipFill>
      <xdr:spPr>
        <a:xfrm>
          <a:off x="556260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102</xdr:row>
      <xdr:rowOff>0</xdr:rowOff>
    </xdr:from>
    <xdr:to>
      <xdr:col>7</xdr:col>
      <xdr:colOff>381000</xdr:colOff>
      <xdr:row>103</xdr:row>
      <xdr:rowOff>171450</xdr:rowOff>
    </xdr:to>
    <xdr:pic>
      <xdr:nvPicPr>
        <xdr:cNvPr id="4808" name="图片 4807"/>
        <xdr:cNvPicPr>
          <a:picLocks noChangeAspect="1"/>
        </xdr:cNvPicPr>
      </xdr:nvPicPr>
      <xdr:blipFill>
        <a:blip r:embed="rId176" r:link="rId2"/>
        <a:stretch>
          <a:fillRect/>
        </a:stretch>
      </xdr:blipFill>
      <xdr:spPr>
        <a:xfrm>
          <a:off x="556260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106</xdr:row>
      <xdr:rowOff>0</xdr:rowOff>
    </xdr:from>
    <xdr:to>
      <xdr:col>7</xdr:col>
      <xdr:colOff>381000</xdr:colOff>
      <xdr:row>107</xdr:row>
      <xdr:rowOff>171450</xdr:rowOff>
    </xdr:to>
    <xdr:pic>
      <xdr:nvPicPr>
        <xdr:cNvPr id="4809" name="图片 4808"/>
        <xdr:cNvPicPr>
          <a:picLocks noChangeAspect="1"/>
        </xdr:cNvPicPr>
      </xdr:nvPicPr>
      <xdr:blipFill>
        <a:blip r:embed="rId177" r:link="rId2"/>
        <a:stretch>
          <a:fillRect/>
        </a:stretch>
      </xdr:blipFill>
      <xdr:spPr>
        <a:xfrm>
          <a:off x="556260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110</xdr:row>
      <xdr:rowOff>0</xdr:rowOff>
    </xdr:from>
    <xdr:to>
      <xdr:col>7</xdr:col>
      <xdr:colOff>381000</xdr:colOff>
      <xdr:row>111</xdr:row>
      <xdr:rowOff>171450</xdr:rowOff>
    </xdr:to>
    <xdr:pic>
      <xdr:nvPicPr>
        <xdr:cNvPr id="4810" name="图片 4809"/>
        <xdr:cNvPicPr>
          <a:picLocks noChangeAspect="1"/>
        </xdr:cNvPicPr>
      </xdr:nvPicPr>
      <xdr:blipFill>
        <a:blip r:embed="rId178" r:link="rId2"/>
        <a:stretch>
          <a:fillRect/>
        </a:stretch>
      </xdr:blipFill>
      <xdr:spPr>
        <a:xfrm>
          <a:off x="556260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113</xdr:row>
      <xdr:rowOff>0</xdr:rowOff>
    </xdr:from>
    <xdr:to>
      <xdr:col>7</xdr:col>
      <xdr:colOff>381000</xdr:colOff>
      <xdr:row>114</xdr:row>
      <xdr:rowOff>171450</xdr:rowOff>
    </xdr:to>
    <xdr:pic>
      <xdr:nvPicPr>
        <xdr:cNvPr id="4811" name="图片 4810"/>
        <xdr:cNvPicPr>
          <a:picLocks noChangeAspect="1"/>
        </xdr:cNvPicPr>
      </xdr:nvPicPr>
      <xdr:blipFill>
        <a:blip r:embed="rId179" r:link="rId2"/>
        <a:stretch>
          <a:fillRect/>
        </a:stretch>
      </xdr:blipFill>
      <xdr:spPr>
        <a:xfrm>
          <a:off x="556260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117</xdr:row>
      <xdr:rowOff>0</xdr:rowOff>
    </xdr:from>
    <xdr:to>
      <xdr:col>7</xdr:col>
      <xdr:colOff>381000</xdr:colOff>
      <xdr:row>118</xdr:row>
      <xdr:rowOff>171450</xdr:rowOff>
    </xdr:to>
    <xdr:pic>
      <xdr:nvPicPr>
        <xdr:cNvPr id="4812" name="图片 4811"/>
        <xdr:cNvPicPr>
          <a:picLocks noChangeAspect="1"/>
        </xdr:cNvPicPr>
      </xdr:nvPicPr>
      <xdr:blipFill>
        <a:blip r:embed="rId180" r:link="rId2"/>
        <a:stretch>
          <a:fillRect/>
        </a:stretch>
      </xdr:blipFill>
      <xdr:spPr>
        <a:xfrm>
          <a:off x="556260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121</xdr:row>
      <xdr:rowOff>0</xdr:rowOff>
    </xdr:from>
    <xdr:to>
      <xdr:col>7</xdr:col>
      <xdr:colOff>381000</xdr:colOff>
      <xdr:row>122</xdr:row>
      <xdr:rowOff>171450</xdr:rowOff>
    </xdr:to>
    <xdr:pic>
      <xdr:nvPicPr>
        <xdr:cNvPr id="4813" name="图片 4812"/>
        <xdr:cNvPicPr>
          <a:picLocks noChangeAspect="1"/>
        </xdr:cNvPicPr>
      </xdr:nvPicPr>
      <xdr:blipFill>
        <a:blip r:embed="rId181" r:link="rId2"/>
        <a:stretch>
          <a:fillRect/>
        </a:stretch>
      </xdr:blipFill>
      <xdr:spPr>
        <a:xfrm>
          <a:off x="556260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124</xdr:row>
      <xdr:rowOff>0</xdr:rowOff>
    </xdr:from>
    <xdr:to>
      <xdr:col>7</xdr:col>
      <xdr:colOff>381000</xdr:colOff>
      <xdr:row>125</xdr:row>
      <xdr:rowOff>171450</xdr:rowOff>
    </xdr:to>
    <xdr:pic>
      <xdr:nvPicPr>
        <xdr:cNvPr id="4814" name="图片 4813"/>
        <xdr:cNvPicPr>
          <a:picLocks noChangeAspect="1"/>
        </xdr:cNvPicPr>
      </xdr:nvPicPr>
      <xdr:blipFill>
        <a:blip r:embed="rId182" r:link="rId2"/>
        <a:stretch>
          <a:fillRect/>
        </a:stretch>
      </xdr:blipFill>
      <xdr:spPr>
        <a:xfrm>
          <a:off x="556260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128</xdr:row>
      <xdr:rowOff>0</xdr:rowOff>
    </xdr:from>
    <xdr:to>
      <xdr:col>7</xdr:col>
      <xdr:colOff>381000</xdr:colOff>
      <xdr:row>129</xdr:row>
      <xdr:rowOff>171450</xdr:rowOff>
    </xdr:to>
    <xdr:pic>
      <xdr:nvPicPr>
        <xdr:cNvPr id="4815" name="图片 4814"/>
        <xdr:cNvPicPr>
          <a:picLocks noChangeAspect="1"/>
        </xdr:cNvPicPr>
      </xdr:nvPicPr>
      <xdr:blipFill>
        <a:blip r:embed="rId183" r:link="rId2"/>
        <a:stretch>
          <a:fillRect/>
        </a:stretch>
      </xdr:blipFill>
      <xdr:spPr>
        <a:xfrm>
          <a:off x="556260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132</xdr:row>
      <xdr:rowOff>0</xdr:rowOff>
    </xdr:from>
    <xdr:to>
      <xdr:col>7</xdr:col>
      <xdr:colOff>381000</xdr:colOff>
      <xdr:row>133</xdr:row>
      <xdr:rowOff>171450</xdr:rowOff>
    </xdr:to>
    <xdr:pic>
      <xdr:nvPicPr>
        <xdr:cNvPr id="4816" name="图片 4815"/>
        <xdr:cNvPicPr>
          <a:picLocks noChangeAspect="1"/>
        </xdr:cNvPicPr>
      </xdr:nvPicPr>
      <xdr:blipFill>
        <a:blip r:embed="rId184" r:link="rId2"/>
        <a:stretch>
          <a:fillRect/>
        </a:stretch>
      </xdr:blipFill>
      <xdr:spPr>
        <a:xfrm>
          <a:off x="556260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135</xdr:row>
      <xdr:rowOff>0</xdr:rowOff>
    </xdr:from>
    <xdr:to>
      <xdr:col>7</xdr:col>
      <xdr:colOff>381000</xdr:colOff>
      <xdr:row>136</xdr:row>
      <xdr:rowOff>171450</xdr:rowOff>
    </xdr:to>
    <xdr:pic>
      <xdr:nvPicPr>
        <xdr:cNvPr id="4817" name="图片 4816"/>
        <xdr:cNvPicPr>
          <a:picLocks noChangeAspect="1"/>
        </xdr:cNvPicPr>
      </xdr:nvPicPr>
      <xdr:blipFill>
        <a:blip r:embed="rId185" r:link="rId2"/>
        <a:stretch>
          <a:fillRect/>
        </a:stretch>
      </xdr:blipFill>
      <xdr:spPr>
        <a:xfrm>
          <a:off x="556260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139</xdr:row>
      <xdr:rowOff>0</xdr:rowOff>
    </xdr:from>
    <xdr:to>
      <xdr:col>7</xdr:col>
      <xdr:colOff>381000</xdr:colOff>
      <xdr:row>140</xdr:row>
      <xdr:rowOff>171450</xdr:rowOff>
    </xdr:to>
    <xdr:pic>
      <xdr:nvPicPr>
        <xdr:cNvPr id="4818" name="图片 4817"/>
        <xdr:cNvPicPr>
          <a:picLocks noChangeAspect="1"/>
        </xdr:cNvPicPr>
      </xdr:nvPicPr>
      <xdr:blipFill>
        <a:blip r:embed="rId186" r:link="rId2"/>
        <a:stretch>
          <a:fillRect/>
        </a:stretch>
      </xdr:blipFill>
      <xdr:spPr>
        <a:xfrm>
          <a:off x="556260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143</xdr:row>
      <xdr:rowOff>0</xdr:rowOff>
    </xdr:from>
    <xdr:to>
      <xdr:col>7</xdr:col>
      <xdr:colOff>381000</xdr:colOff>
      <xdr:row>144</xdr:row>
      <xdr:rowOff>171450</xdr:rowOff>
    </xdr:to>
    <xdr:pic>
      <xdr:nvPicPr>
        <xdr:cNvPr id="4819" name="图片 4818"/>
        <xdr:cNvPicPr>
          <a:picLocks noChangeAspect="1"/>
        </xdr:cNvPicPr>
      </xdr:nvPicPr>
      <xdr:blipFill>
        <a:blip r:embed="rId187" r:link="rId2"/>
        <a:stretch>
          <a:fillRect/>
        </a:stretch>
      </xdr:blipFill>
      <xdr:spPr>
        <a:xfrm>
          <a:off x="556260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7</xdr:col>
      <xdr:colOff>0</xdr:colOff>
      <xdr:row>146</xdr:row>
      <xdr:rowOff>0</xdr:rowOff>
    </xdr:from>
    <xdr:to>
      <xdr:col>7</xdr:col>
      <xdr:colOff>381000</xdr:colOff>
      <xdr:row>147</xdr:row>
      <xdr:rowOff>171450</xdr:rowOff>
    </xdr:to>
    <xdr:pic>
      <xdr:nvPicPr>
        <xdr:cNvPr id="4820" name="图片 4819"/>
        <xdr:cNvPicPr>
          <a:picLocks noChangeAspect="1"/>
        </xdr:cNvPicPr>
      </xdr:nvPicPr>
      <xdr:blipFill>
        <a:blip r:embed="rId188" r:link="rId2"/>
        <a:stretch>
          <a:fillRect/>
        </a:stretch>
      </xdr:blipFill>
      <xdr:spPr>
        <a:xfrm>
          <a:off x="556260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</xdr:row>
      <xdr:rowOff>0</xdr:rowOff>
    </xdr:from>
    <xdr:to>
      <xdr:col>8</xdr:col>
      <xdr:colOff>381000</xdr:colOff>
      <xdr:row>4</xdr:row>
      <xdr:rowOff>171450</xdr:rowOff>
    </xdr:to>
    <xdr:pic>
      <xdr:nvPicPr>
        <xdr:cNvPr id="4821" name="图片 4820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6600825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</xdr:row>
      <xdr:rowOff>0</xdr:rowOff>
    </xdr:from>
    <xdr:to>
      <xdr:col>8</xdr:col>
      <xdr:colOff>381000</xdr:colOff>
      <xdr:row>8</xdr:row>
      <xdr:rowOff>171450</xdr:rowOff>
    </xdr:to>
    <xdr:pic>
      <xdr:nvPicPr>
        <xdr:cNvPr id="4822" name="图片 4821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6600825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</xdr:row>
      <xdr:rowOff>0</xdr:rowOff>
    </xdr:from>
    <xdr:to>
      <xdr:col>8</xdr:col>
      <xdr:colOff>381000</xdr:colOff>
      <xdr:row>12</xdr:row>
      <xdr:rowOff>171450</xdr:rowOff>
    </xdr:to>
    <xdr:pic>
      <xdr:nvPicPr>
        <xdr:cNvPr id="4823" name="图片 4822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6600825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</xdr:row>
      <xdr:rowOff>0</xdr:rowOff>
    </xdr:from>
    <xdr:to>
      <xdr:col>8</xdr:col>
      <xdr:colOff>381000</xdr:colOff>
      <xdr:row>15</xdr:row>
      <xdr:rowOff>171450</xdr:rowOff>
    </xdr:to>
    <xdr:pic>
      <xdr:nvPicPr>
        <xdr:cNvPr id="4824" name="图片 4823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6600825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18</xdr:row>
      <xdr:rowOff>0</xdr:rowOff>
    </xdr:from>
    <xdr:to>
      <xdr:col>8</xdr:col>
      <xdr:colOff>381000</xdr:colOff>
      <xdr:row>19</xdr:row>
      <xdr:rowOff>171450</xdr:rowOff>
    </xdr:to>
    <xdr:pic>
      <xdr:nvPicPr>
        <xdr:cNvPr id="4825" name="图片 4824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6600825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22</xdr:row>
      <xdr:rowOff>0</xdr:rowOff>
    </xdr:from>
    <xdr:to>
      <xdr:col>8</xdr:col>
      <xdr:colOff>381000</xdr:colOff>
      <xdr:row>23</xdr:row>
      <xdr:rowOff>171450</xdr:rowOff>
    </xdr:to>
    <xdr:pic>
      <xdr:nvPicPr>
        <xdr:cNvPr id="4826" name="图片 4825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6600825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25</xdr:row>
      <xdr:rowOff>0</xdr:rowOff>
    </xdr:from>
    <xdr:to>
      <xdr:col>8</xdr:col>
      <xdr:colOff>381000</xdr:colOff>
      <xdr:row>26</xdr:row>
      <xdr:rowOff>171450</xdr:rowOff>
    </xdr:to>
    <xdr:pic>
      <xdr:nvPicPr>
        <xdr:cNvPr id="4827" name="图片 4826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6600825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29</xdr:row>
      <xdr:rowOff>0</xdr:rowOff>
    </xdr:from>
    <xdr:to>
      <xdr:col>8</xdr:col>
      <xdr:colOff>381000</xdr:colOff>
      <xdr:row>30</xdr:row>
      <xdr:rowOff>171450</xdr:rowOff>
    </xdr:to>
    <xdr:pic>
      <xdr:nvPicPr>
        <xdr:cNvPr id="4828" name="图片 4827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6600825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33</xdr:row>
      <xdr:rowOff>0</xdr:rowOff>
    </xdr:from>
    <xdr:to>
      <xdr:col>8</xdr:col>
      <xdr:colOff>381000</xdr:colOff>
      <xdr:row>34</xdr:row>
      <xdr:rowOff>171450</xdr:rowOff>
    </xdr:to>
    <xdr:pic>
      <xdr:nvPicPr>
        <xdr:cNvPr id="4829" name="图片 4828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6600825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36</xdr:row>
      <xdr:rowOff>0</xdr:rowOff>
    </xdr:from>
    <xdr:to>
      <xdr:col>8</xdr:col>
      <xdr:colOff>381000</xdr:colOff>
      <xdr:row>37</xdr:row>
      <xdr:rowOff>171450</xdr:rowOff>
    </xdr:to>
    <xdr:pic>
      <xdr:nvPicPr>
        <xdr:cNvPr id="4830" name="图片 4829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6600825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40</xdr:row>
      <xdr:rowOff>0</xdr:rowOff>
    </xdr:from>
    <xdr:to>
      <xdr:col>8</xdr:col>
      <xdr:colOff>381000</xdr:colOff>
      <xdr:row>41</xdr:row>
      <xdr:rowOff>171450</xdr:rowOff>
    </xdr:to>
    <xdr:pic>
      <xdr:nvPicPr>
        <xdr:cNvPr id="4831" name="图片 4830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6600825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44</xdr:row>
      <xdr:rowOff>0</xdr:rowOff>
    </xdr:from>
    <xdr:to>
      <xdr:col>8</xdr:col>
      <xdr:colOff>381000</xdr:colOff>
      <xdr:row>45</xdr:row>
      <xdr:rowOff>171450</xdr:rowOff>
    </xdr:to>
    <xdr:pic>
      <xdr:nvPicPr>
        <xdr:cNvPr id="4832" name="图片 4831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6600825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47</xdr:row>
      <xdr:rowOff>0</xdr:rowOff>
    </xdr:from>
    <xdr:to>
      <xdr:col>8</xdr:col>
      <xdr:colOff>381000</xdr:colOff>
      <xdr:row>48</xdr:row>
      <xdr:rowOff>171450</xdr:rowOff>
    </xdr:to>
    <xdr:pic>
      <xdr:nvPicPr>
        <xdr:cNvPr id="4833" name="图片 4832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6600825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51</xdr:row>
      <xdr:rowOff>0</xdr:rowOff>
    </xdr:from>
    <xdr:to>
      <xdr:col>8</xdr:col>
      <xdr:colOff>381000</xdr:colOff>
      <xdr:row>52</xdr:row>
      <xdr:rowOff>171450</xdr:rowOff>
    </xdr:to>
    <xdr:pic>
      <xdr:nvPicPr>
        <xdr:cNvPr id="4834" name="图片 4833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6600825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55</xdr:row>
      <xdr:rowOff>0</xdr:rowOff>
    </xdr:from>
    <xdr:to>
      <xdr:col>8</xdr:col>
      <xdr:colOff>381000</xdr:colOff>
      <xdr:row>56</xdr:row>
      <xdr:rowOff>171450</xdr:rowOff>
    </xdr:to>
    <xdr:pic>
      <xdr:nvPicPr>
        <xdr:cNvPr id="4835" name="图片 4834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6600825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58</xdr:row>
      <xdr:rowOff>0</xdr:rowOff>
    </xdr:from>
    <xdr:to>
      <xdr:col>8</xdr:col>
      <xdr:colOff>381000</xdr:colOff>
      <xdr:row>59</xdr:row>
      <xdr:rowOff>171450</xdr:rowOff>
    </xdr:to>
    <xdr:pic>
      <xdr:nvPicPr>
        <xdr:cNvPr id="4836" name="图片 4835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6600825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62</xdr:row>
      <xdr:rowOff>0</xdr:rowOff>
    </xdr:from>
    <xdr:to>
      <xdr:col>8</xdr:col>
      <xdr:colOff>381000</xdr:colOff>
      <xdr:row>63</xdr:row>
      <xdr:rowOff>171450</xdr:rowOff>
    </xdr:to>
    <xdr:pic>
      <xdr:nvPicPr>
        <xdr:cNvPr id="4837" name="图片 4836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6600825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66</xdr:row>
      <xdr:rowOff>0</xdr:rowOff>
    </xdr:from>
    <xdr:to>
      <xdr:col>8</xdr:col>
      <xdr:colOff>381000</xdr:colOff>
      <xdr:row>67</xdr:row>
      <xdr:rowOff>171450</xdr:rowOff>
    </xdr:to>
    <xdr:pic>
      <xdr:nvPicPr>
        <xdr:cNvPr id="4838" name="图片 4837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6600825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69</xdr:row>
      <xdr:rowOff>0</xdr:rowOff>
    </xdr:from>
    <xdr:to>
      <xdr:col>8</xdr:col>
      <xdr:colOff>381000</xdr:colOff>
      <xdr:row>70</xdr:row>
      <xdr:rowOff>171450</xdr:rowOff>
    </xdr:to>
    <xdr:pic>
      <xdr:nvPicPr>
        <xdr:cNvPr id="4839" name="图片 4838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6600825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73</xdr:row>
      <xdr:rowOff>0</xdr:rowOff>
    </xdr:from>
    <xdr:to>
      <xdr:col>8</xdr:col>
      <xdr:colOff>381000</xdr:colOff>
      <xdr:row>74</xdr:row>
      <xdr:rowOff>171450</xdr:rowOff>
    </xdr:to>
    <xdr:pic>
      <xdr:nvPicPr>
        <xdr:cNvPr id="4840" name="图片 4839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6600825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77</xdr:row>
      <xdr:rowOff>0</xdr:rowOff>
    </xdr:from>
    <xdr:to>
      <xdr:col>8</xdr:col>
      <xdr:colOff>381000</xdr:colOff>
      <xdr:row>78</xdr:row>
      <xdr:rowOff>171450</xdr:rowOff>
    </xdr:to>
    <xdr:pic>
      <xdr:nvPicPr>
        <xdr:cNvPr id="4841" name="图片 4840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6600825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80</xdr:row>
      <xdr:rowOff>0</xdr:rowOff>
    </xdr:from>
    <xdr:to>
      <xdr:col>8</xdr:col>
      <xdr:colOff>381000</xdr:colOff>
      <xdr:row>81</xdr:row>
      <xdr:rowOff>171450</xdr:rowOff>
    </xdr:to>
    <xdr:pic>
      <xdr:nvPicPr>
        <xdr:cNvPr id="4842" name="图片 4841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6600825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84</xdr:row>
      <xdr:rowOff>0</xdr:rowOff>
    </xdr:from>
    <xdr:to>
      <xdr:col>8</xdr:col>
      <xdr:colOff>381000</xdr:colOff>
      <xdr:row>85</xdr:row>
      <xdr:rowOff>171450</xdr:rowOff>
    </xdr:to>
    <xdr:pic>
      <xdr:nvPicPr>
        <xdr:cNvPr id="4843" name="图片 4842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6600825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88</xdr:row>
      <xdr:rowOff>0</xdr:rowOff>
    </xdr:from>
    <xdr:to>
      <xdr:col>8</xdr:col>
      <xdr:colOff>381000</xdr:colOff>
      <xdr:row>89</xdr:row>
      <xdr:rowOff>171450</xdr:rowOff>
    </xdr:to>
    <xdr:pic>
      <xdr:nvPicPr>
        <xdr:cNvPr id="4844" name="图片 4843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6600825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91</xdr:row>
      <xdr:rowOff>0</xdr:rowOff>
    </xdr:from>
    <xdr:to>
      <xdr:col>8</xdr:col>
      <xdr:colOff>381000</xdr:colOff>
      <xdr:row>92</xdr:row>
      <xdr:rowOff>171450</xdr:rowOff>
    </xdr:to>
    <xdr:pic>
      <xdr:nvPicPr>
        <xdr:cNvPr id="4845" name="图片 4844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6600825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95</xdr:row>
      <xdr:rowOff>0</xdr:rowOff>
    </xdr:from>
    <xdr:to>
      <xdr:col>8</xdr:col>
      <xdr:colOff>381000</xdr:colOff>
      <xdr:row>96</xdr:row>
      <xdr:rowOff>171450</xdr:rowOff>
    </xdr:to>
    <xdr:pic>
      <xdr:nvPicPr>
        <xdr:cNvPr id="4846" name="图片 4845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6600825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99</xdr:row>
      <xdr:rowOff>0</xdr:rowOff>
    </xdr:from>
    <xdr:to>
      <xdr:col>8</xdr:col>
      <xdr:colOff>381000</xdr:colOff>
      <xdr:row>100</xdr:row>
      <xdr:rowOff>171450</xdr:rowOff>
    </xdr:to>
    <xdr:pic>
      <xdr:nvPicPr>
        <xdr:cNvPr id="4847" name="图片 4846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6600825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102</xdr:row>
      <xdr:rowOff>0</xdr:rowOff>
    </xdr:from>
    <xdr:to>
      <xdr:col>8</xdr:col>
      <xdr:colOff>381000</xdr:colOff>
      <xdr:row>103</xdr:row>
      <xdr:rowOff>171450</xdr:rowOff>
    </xdr:to>
    <xdr:pic>
      <xdr:nvPicPr>
        <xdr:cNvPr id="4848" name="图片 4847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6600825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106</xdr:row>
      <xdr:rowOff>0</xdr:rowOff>
    </xdr:from>
    <xdr:to>
      <xdr:col>8</xdr:col>
      <xdr:colOff>381000</xdr:colOff>
      <xdr:row>107</xdr:row>
      <xdr:rowOff>171450</xdr:rowOff>
    </xdr:to>
    <xdr:pic>
      <xdr:nvPicPr>
        <xdr:cNvPr id="4849" name="图片 4848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6600825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110</xdr:row>
      <xdr:rowOff>0</xdr:rowOff>
    </xdr:from>
    <xdr:to>
      <xdr:col>8</xdr:col>
      <xdr:colOff>381000</xdr:colOff>
      <xdr:row>111</xdr:row>
      <xdr:rowOff>171450</xdr:rowOff>
    </xdr:to>
    <xdr:pic>
      <xdr:nvPicPr>
        <xdr:cNvPr id="4850" name="图片 4849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6600825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113</xdr:row>
      <xdr:rowOff>0</xdr:rowOff>
    </xdr:from>
    <xdr:to>
      <xdr:col>8</xdr:col>
      <xdr:colOff>381000</xdr:colOff>
      <xdr:row>114</xdr:row>
      <xdr:rowOff>171450</xdr:rowOff>
    </xdr:to>
    <xdr:pic>
      <xdr:nvPicPr>
        <xdr:cNvPr id="4851" name="图片 4850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6600825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117</xdr:row>
      <xdr:rowOff>0</xdr:rowOff>
    </xdr:from>
    <xdr:to>
      <xdr:col>8</xdr:col>
      <xdr:colOff>381000</xdr:colOff>
      <xdr:row>118</xdr:row>
      <xdr:rowOff>171450</xdr:rowOff>
    </xdr:to>
    <xdr:pic>
      <xdr:nvPicPr>
        <xdr:cNvPr id="4852" name="图片 4851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6600825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121</xdr:row>
      <xdr:rowOff>0</xdr:rowOff>
    </xdr:from>
    <xdr:to>
      <xdr:col>8</xdr:col>
      <xdr:colOff>381000</xdr:colOff>
      <xdr:row>122</xdr:row>
      <xdr:rowOff>171450</xdr:rowOff>
    </xdr:to>
    <xdr:pic>
      <xdr:nvPicPr>
        <xdr:cNvPr id="4853" name="图片 4852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6600825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124</xdr:row>
      <xdr:rowOff>0</xdr:rowOff>
    </xdr:from>
    <xdr:to>
      <xdr:col>8</xdr:col>
      <xdr:colOff>381000</xdr:colOff>
      <xdr:row>125</xdr:row>
      <xdr:rowOff>171450</xdr:rowOff>
    </xdr:to>
    <xdr:pic>
      <xdr:nvPicPr>
        <xdr:cNvPr id="4854" name="图片 4853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6600825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128</xdr:row>
      <xdr:rowOff>0</xdr:rowOff>
    </xdr:from>
    <xdr:to>
      <xdr:col>8</xdr:col>
      <xdr:colOff>381000</xdr:colOff>
      <xdr:row>129</xdr:row>
      <xdr:rowOff>171450</xdr:rowOff>
    </xdr:to>
    <xdr:pic>
      <xdr:nvPicPr>
        <xdr:cNvPr id="4855" name="图片 4854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6600825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132</xdr:row>
      <xdr:rowOff>0</xdr:rowOff>
    </xdr:from>
    <xdr:to>
      <xdr:col>8</xdr:col>
      <xdr:colOff>381000</xdr:colOff>
      <xdr:row>133</xdr:row>
      <xdr:rowOff>171450</xdr:rowOff>
    </xdr:to>
    <xdr:pic>
      <xdr:nvPicPr>
        <xdr:cNvPr id="4856" name="图片 4855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6600825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135</xdr:row>
      <xdr:rowOff>0</xdr:rowOff>
    </xdr:from>
    <xdr:to>
      <xdr:col>8</xdr:col>
      <xdr:colOff>381000</xdr:colOff>
      <xdr:row>136</xdr:row>
      <xdr:rowOff>171450</xdr:rowOff>
    </xdr:to>
    <xdr:pic>
      <xdr:nvPicPr>
        <xdr:cNvPr id="4857" name="图片 4856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6600825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139</xdr:row>
      <xdr:rowOff>0</xdr:rowOff>
    </xdr:from>
    <xdr:to>
      <xdr:col>8</xdr:col>
      <xdr:colOff>381000</xdr:colOff>
      <xdr:row>140</xdr:row>
      <xdr:rowOff>171450</xdr:rowOff>
    </xdr:to>
    <xdr:pic>
      <xdr:nvPicPr>
        <xdr:cNvPr id="4858" name="图片 4857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6600825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143</xdr:row>
      <xdr:rowOff>0</xdr:rowOff>
    </xdr:from>
    <xdr:to>
      <xdr:col>8</xdr:col>
      <xdr:colOff>381000</xdr:colOff>
      <xdr:row>144</xdr:row>
      <xdr:rowOff>171450</xdr:rowOff>
    </xdr:to>
    <xdr:pic>
      <xdr:nvPicPr>
        <xdr:cNvPr id="4859" name="图片 4858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6600825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8</xdr:col>
      <xdr:colOff>0</xdr:colOff>
      <xdr:row>146</xdr:row>
      <xdr:rowOff>0</xdr:rowOff>
    </xdr:from>
    <xdr:to>
      <xdr:col>8</xdr:col>
      <xdr:colOff>381000</xdr:colOff>
      <xdr:row>147</xdr:row>
      <xdr:rowOff>171450</xdr:rowOff>
    </xdr:to>
    <xdr:pic>
      <xdr:nvPicPr>
        <xdr:cNvPr id="4860" name="图片 4859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6600825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</xdr:row>
      <xdr:rowOff>0</xdr:rowOff>
    </xdr:from>
    <xdr:to>
      <xdr:col>9</xdr:col>
      <xdr:colOff>381000</xdr:colOff>
      <xdr:row>4</xdr:row>
      <xdr:rowOff>171450</xdr:rowOff>
    </xdr:to>
    <xdr:pic>
      <xdr:nvPicPr>
        <xdr:cNvPr id="4861" name="图片 4860"/>
        <xdr:cNvPicPr>
          <a:picLocks noChangeAspect="1"/>
        </xdr:cNvPicPr>
      </xdr:nvPicPr>
      <xdr:blipFill>
        <a:blip r:embed="rId199" r:link="rId2"/>
        <a:stretch>
          <a:fillRect/>
        </a:stretch>
      </xdr:blipFill>
      <xdr:spPr>
        <a:xfrm>
          <a:off x="7639050" y="628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</xdr:row>
      <xdr:rowOff>0</xdr:rowOff>
    </xdr:from>
    <xdr:to>
      <xdr:col>9</xdr:col>
      <xdr:colOff>381000</xdr:colOff>
      <xdr:row>8</xdr:row>
      <xdr:rowOff>171450</xdr:rowOff>
    </xdr:to>
    <xdr:pic>
      <xdr:nvPicPr>
        <xdr:cNvPr id="4862" name="图片 4861"/>
        <xdr:cNvPicPr>
          <a:picLocks noChangeAspect="1"/>
        </xdr:cNvPicPr>
      </xdr:nvPicPr>
      <xdr:blipFill>
        <a:blip r:embed="rId7" r:link="rId2"/>
        <a:stretch>
          <a:fillRect/>
        </a:stretch>
      </xdr:blipFill>
      <xdr:spPr>
        <a:xfrm>
          <a:off x="7639050" y="1466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</xdr:row>
      <xdr:rowOff>0</xdr:rowOff>
    </xdr:from>
    <xdr:to>
      <xdr:col>9</xdr:col>
      <xdr:colOff>381000</xdr:colOff>
      <xdr:row>12</xdr:row>
      <xdr:rowOff>171450</xdr:rowOff>
    </xdr:to>
    <xdr:pic>
      <xdr:nvPicPr>
        <xdr:cNvPr id="4863" name="图片 4862"/>
        <xdr:cNvPicPr>
          <a:picLocks noChangeAspect="1"/>
        </xdr:cNvPicPr>
      </xdr:nvPicPr>
      <xdr:blipFill>
        <a:blip r:embed="rId190" r:link="rId2"/>
        <a:stretch>
          <a:fillRect/>
        </a:stretch>
      </xdr:blipFill>
      <xdr:spPr>
        <a:xfrm>
          <a:off x="7639050" y="2305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</xdr:row>
      <xdr:rowOff>0</xdr:rowOff>
    </xdr:from>
    <xdr:to>
      <xdr:col>9</xdr:col>
      <xdr:colOff>381000</xdr:colOff>
      <xdr:row>15</xdr:row>
      <xdr:rowOff>171450</xdr:rowOff>
    </xdr:to>
    <xdr:pic>
      <xdr:nvPicPr>
        <xdr:cNvPr id="4864" name="图片 4863"/>
        <xdr:cNvPicPr>
          <a:picLocks noChangeAspect="1"/>
        </xdr:cNvPicPr>
      </xdr:nvPicPr>
      <xdr:blipFill>
        <a:blip r:embed="rId196" r:link="rId2"/>
        <a:stretch>
          <a:fillRect/>
        </a:stretch>
      </xdr:blipFill>
      <xdr:spPr>
        <a:xfrm>
          <a:off x="7639050" y="29337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9</xdr:col>
      <xdr:colOff>381000</xdr:colOff>
      <xdr:row>19</xdr:row>
      <xdr:rowOff>171450</xdr:rowOff>
    </xdr:to>
    <xdr:pic>
      <xdr:nvPicPr>
        <xdr:cNvPr id="4865" name="图片 4864"/>
        <xdr:cNvPicPr>
          <a:picLocks noChangeAspect="1"/>
        </xdr:cNvPicPr>
      </xdr:nvPicPr>
      <xdr:blipFill>
        <a:blip r:embed="rId194" r:link="rId2"/>
        <a:stretch>
          <a:fillRect/>
        </a:stretch>
      </xdr:blipFill>
      <xdr:spPr>
        <a:xfrm>
          <a:off x="7639050" y="3771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22</xdr:row>
      <xdr:rowOff>0</xdr:rowOff>
    </xdr:from>
    <xdr:to>
      <xdr:col>9</xdr:col>
      <xdr:colOff>381000</xdr:colOff>
      <xdr:row>23</xdr:row>
      <xdr:rowOff>171450</xdr:rowOff>
    </xdr:to>
    <xdr:pic>
      <xdr:nvPicPr>
        <xdr:cNvPr id="4866" name="图片 4865"/>
        <xdr:cNvPicPr>
          <a:picLocks noChangeAspect="1"/>
        </xdr:cNvPicPr>
      </xdr:nvPicPr>
      <xdr:blipFill>
        <a:blip r:embed="rId189" r:link="rId2"/>
        <a:stretch>
          <a:fillRect/>
        </a:stretch>
      </xdr:blipFill>
      <xdr:spPr>
        <a:xfrm>
          <a:off x="7639050" y="4610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25</xdr:row>
      <xdr:rowOff>0</xdr:rowOff>
    </xdr:from>
    <xdr:to>
      <xdr:col>9</xdr:col>
      <xdr:colOff>381000</xdr:colOff>
      <xdr:row>26</xdr:row>
      <xdr:rowOff>171450</xdr:rowOff>
    </xdr:to>
    <xdr:pic>
      <xdr:nvPicPr>
        <xdr:cNvPr id="4867" name="图片 4866"/>
        <xdr:cNvPicPr>
          <a:picLocks noChangeAspect="1"/>
        </xdr:cNvPicPr>
      </xdr:nvPicPr>
      <xdr:blipFill>
        <a:blip r:embed="rId195" r:link="rId2"/>
        <a:stretch>
          <a:fillRect/>
        </a:stretch>
      </xdr:blipFill>
      <xdr:spPr>
        <a:xfrm>
          <a:off x="7639050" y="52387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29</xdr:row>
      <xdr:rowOff>0</xdr:rowOff>
    </xdr:from>
    <xdr:to>
      <xdr:col>9</xdr:col>
      <xdr:colOff>381000</xdr:colOff>
      <xdr:row>30</xdr:row>
      <xdr:rowOff>171450</xdr:rowOff>
    </xdr:to>
    <xdr:pic>
      <xdr:nvPicPr>
        <xdr:cNvPr id="4868" name="图片 4867"/>
        <xdr:cNvPicPr>
          <a:picLocks noChangeAspect="1"/>
        </xdr:cNvPicPr>
      </xdr:nvPicPr>
      <xdr:blipFill>
        <a:blip r:embed="rId210" r:link="rId2"/>
        <a:stretch>
          <a:fillRect/>
        </a:stretch>
      </xdr:blipFill>
      <xdr:spPr>
        <a:xfrm>
          <a:off x="7639050" y="6076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33</xdr:row>
      <xdr:rowOff>0</xdr:rowOff>
    </xdr:from>
    <xdr:to>
      <xdr:col>9</xdr:col>
      <xdr:colOff>381000</xdr:colOff>
      <xdr:row>34</xdr:row>
      <xdr:rowOff>171450</xdr:rowOff>
    </xdr:to>
    <xdr:pic>
      <xdr:nvPicPr>
        <xdr:cNvPr id="4869" name="图片 4868"/>
        <xdr:cNvPicPr>
          <a:picLocks noChangeAspect="1"/>
        </xdr:cNvPicPr>
      </xdr:nvPicPr>
      <xdr:blipFill>
        <a:blip r:embed="rId192" r:link="rId2"/>
        <a:stretch>
          <a:fillRect/>
        </a:stretch>
      </xdr:blipFill>
      <xdr:spPr>
        <a:xfrm>
          <a:off x="7639050" y="6915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36</xdr:row>
      <xdr:rowOff>0</xdr:rowOff>
    </xdr:from>
    <xdr:to>
      <xdr:col>9</xdr:col>
      <xdr:colOff>381000</xdr:colOff>
      <xdr:row>37</xdr:row>
      <xdr:rowOff>171450</xdr:rowOff>
    </xdr:to>
    <xdr:pic>
      <xdr:nvPicPr>
        <xdr:cNvPr id="4870" name="图片 4869"/>
        <xdr:cNvPicPr>
          <a:picLocks noChangeAspect="1"/>
        </xdr:cNvPicPr>
      </xdr:nvPicPr>
      <xdr:blipFill>
        <a:blip r:embed="rId15" r:link="rId2"/>
        <a:stretch>
          <a:fillRect/>
        </a:stretch>
      </xdr:blipFill>
      <xdr:spPr>
        <a:xfrm>
          <a:off x="7639050" y="75438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40</xdr:row>
      <xdr:rowOff>0</xdr:rowOff>
    </xdr:from>
    <xdr:to>
      <xdr:col>9</xdr:col>
      <xdr:colOff>381000</xdr:colOff>
      <xdr:row>41</xdr:row>
      <xdr:rowOff>171450</xdr:rowOff>
    </xdr:to>
    <xdr:pic>
      <xdr:nvPicPr>
        <xdr:cNvPr id="4871" name="图片 4870"/>
        <xdr:cNvPicPr>
          <a:picLocks noChangeAspect="1"/>
        </xdr:cNvPicPr>
      </xdr:nvPicPr>
      <xdr:blipFill>
        <a:blip r:embed="rId201" r:link="rId2"/>
        <a:stretch>
          <a:fillRect/>
        </a:stretch>
      </xdr:blipFill>
      <xdr:spPr>
        <a:xfrm>
          <a:off x="7639050" y="8382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44</xdr:row>
      <xdr:rowOff>0</xdr:rowOff>
    </xdr:from>
    <xdr:to>
      <xdr:col>9</xdr:col>
      <xdr:colOff>381000</xdr:colOff>
      <xdr:row>45</xdr:row>
      <xdr:rowOff>171450</xdr:rowOff>
    </xdr:to>
    <xdr:pic>
      <xdr:nvPicPr>
        <xdr:cNvPr id="4872" name="图片 4871"/>
        <xdr:cNvPicPr>
          <a:picLocks noChangeAspect="1"/>
        </xdr:cNvPicPr>
      </xdr:nvPicPr>
      <xdr:blipFill>
        <a:blip r:embed="rId193" r:link="rId2"/>
        <a:stretch>
          <a:fillRect/>
        </a:stretch>
      </xdr:blipFill>
      <xdr:spPr>
        <a:xfrm>
          <a:off x="7639050" y="9220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47</xdr:row>
      <xdr:rowOff>0</xdr:rowOff>
    </xdr:from>
    <xdr:to>
      <xdr:col>9</xdr:col>
      <xdr:colOff>381000</xdr:colOff>
      <xdr:row>48</xdr:row>
      <xdr:rowOff>171450</xdr:rowOff>
    </xdr:to>
    <xdr:pic>
      <xdr:nvPicPr>
        <xdr:cNvPr id="4873" name="图片 4872"/>
        <xdr:cNvPicPr>
          <a:picLocks noChangeAspect="1"/>
        </xdr:cNvPicPr>
      </xdr:nvPicPr>
      <xdr:blipFill>
        <a:blip r:embed="rId202" r:link="rId2"/>
        <a:stretch>
          <a:fillRect/>
        </a:stretch>
      </xdr:blipFill>
      <xdr:spPr>
        <a:xfrm>
          <a:off x="7639050" y="98488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51</xdr:row>
      <xdr:rowOff>0</xdr:rowOff>
    </xdr:from>
    <xdr:to>
      <xdr:col>9</xdr:col>
      <xdr:colOff>381000</xdr:colOff>
      <xdr:row>52</xdr:row>
      <xdr:rowOff>171450</xdr:rowOff>
    </xdr:to>
    <xdr:pic>
      <xdr:nvPicPr>
        <xdr:cNvPr id="4874" name="图片 4873"/>
        <xdr:cNvPicPr>
          <a:picLocks noChangeAspect="1"/>
        </xdr:cNvPicPr>
      </xdr:nvPicPr>
      <xdr:blipFill>
        <a:blip r:embed="rId208" r:link="rId2"/>
        <a:stretch>
          <a:fillRect/>
        </a:stretch>
      </xdr:blipFill>
      <xdr:spPr>
        <a:xfrm>
          <a:off x="7639050" y="10687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55</xdr:row>
      <xdr:rowOff>0</xdr:rowOff>
    </xdr:from>
    <xdr:to>
      <xdr:col>9</xdr:col>
      <xdr:colOff>381000</xdr:colOff>
      <xdr:row>56</xdr:row>
      <xdr:rowOff>171450</xdr:rowOff>
    </xdr:to>
    <xdr:pic>
      <xdr:nvPicPr>
        <xdr:cNvPr id="4875" name="图片 4874"/>
        <xdr:cNvPicPr>
          <a:picLocks noChangeAspect="1"/>
        </xdr:cNvPicPr>
      </xdr:nvPicPr>
      <xdr:blipFill>
        <a:blip r:embed="rId215" r:link="rId2"/>
        <a:stretch>
          <a:fillRect/>
        </a:stretch>
      </xdr:blipFill>
      <xdr:spPr>
        <a:xfrm>
          <a:off x="7639050" y="11525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58</xdr:row>
      <xdr:rowOff>0</xdr:rowOff>
    </xdr:from>
    <xdr:to>
      <xdr:col>9</xdr:col>
      <xdr:colOff>381000</xdr:colOff>
      <xdr:row>59</xdr:row>
      <xdr:rowOff>171450</xdr:rowOff>
    </xdr:to>
    <xdr:pic>
      <xdr:nvPicPr>
        <xdr:cNvPr id="4876" name="图片 4875"/>
        <xdr:cNvPicPr>
          <a:picLocks noChangeAspect="1"/>
        </xdr:cNvPicPr>
      </xdr:nvPicPr>
      <xdr:blipFill>
        <a:blip r:embed="rId207" r:link="rId2"/>
        <a:stretch>
          <a:fillRect/>
        </a:stretch>
      </xdr:blipFill>
      <xdr:spPr>
        <a:xfrm>
          <a:off x="7639050" y="121539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62</xdr:row>
      <xdr:rowOff>0</xdr:rowOff>
    </xdr:from>
    <xdr:to>
      <xdr:col>9</xdr:col>
      <xdr:colOff>381000</xdr:colOff>
      <xdr:row>63</xdr:row>
      <xdr:rowOff>171450</xdr:rowOff>
    </xdr:to>
    <xdr:pic>
      <xdr:nvPicPr>
        <xdr:cNvPr id="4877" name="图片 4876"/>
        <xdr:cNvPicPr>
          <a:picLocks noChangeAspect="1"/>
        </xdr:cNvPicPr>
      </xdr:nvPicPr>
      <xdr:blipFill>
        <a:blip r:embed="rId213" r:link="rId2"/>
        <a:stretch>
          <a:fillRect/>
        </a:stretch>
      </xdr:blipFill>
      <xdr:spPr>
        <a:xfrm>
          <a:off x="7639050" y="12992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9</xdr:col>
      <xdr:colOff>381000</xdr:colOff>
      <xdr:row>67</xdr:row>
      <xdr:rowOff>171450</xdr:rowOff>
    </xdr:to>
    <xdr:pic>
      <xdr:nvPicPr>
        <xdr:cNvPr id="4878" name="图片 4877"/>
        <xdr:cNvPicPr>
          <a:picLocks noChangeAspect="1"/>
        </xdr:cNvPicPr>
      </xdr:nvPicPr>
      <xdr:blipFill>
        <a:blip r:embed="rId205" r:link="rId2"/>
        <a:stretch>
          <a:fillRect/>
        </a:stretch>
      </xdr:blipFill>
      <xdr:spPr>
        <a:xfrm>
          <a:off x="7639050" y="13830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69</xdr:row>
      <xdr:rowOff>0</xdr:rowOff>
    </xdr:from>
    <xdr:to>
      <xdr:col>9</xdr:col>
      <xdr:colOff>381000</xdr:colOff>
      <xdr:row>70</xdr:row>
      <xdr:rowOff>171450</xdr:rowOff>
    </xdr:to>
    <xdr:pic>
      <xdr:nvPicPr>
        <xdr:cNvPr id="4879" name="图片 4878"/>
        <xdr:cNvPicPr>
          <a:picLocks noChangeAspect="1"/>
        </xdr:cNvPicPr>
      </xdr:nvPicPr>
      <xdr:blipFill>
        <a:blip r:embed="rId222" r:link="rId2"/>
        <a:stretch>
          <a:fillRect/>
        </a:stretch>
      </xdr:blipFill>
      <xdr:spPr>
        <a:xfrm>
          <a:off x="7639050" y="144589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73</xdr:row>
      <xdr:rowOff>0</xdr:rowOff>
    </xdr:from>
    <xdr:to>
      <xdr:col>9</xdr:col>
      <xdr:colOff>381000</xdr:colOff>
      <xdr:row>74</xdr:row>
      <xdr:rowOff>171450</xdr:rowOff>
    </xdr:to>
    <xdr:pic>
      <xdr:nvPicPr>
        <xdr:cNvPr id="4880" name="图片 4879"/>
        <xdr:cNvPicPr>
          <a:picLocks noChangeAspect="1"/>
        </xdr:cNvPicPr>
      </xdr:nvPicPr>
      <xdr:blipFill>
        <a:blip r:embed="rId211" r:link="rId2"/>
        <a:stretch>
          <a:fillRect/>
        </a:stretch>
      </xdr:blipFill>
      <xdr:spPr>
        <a:xfrm>
          <a:off x="7639050" y="15297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77</xdr:row>
      <xdr:rowOff>0</xdr:rowOff>
    </xdr:from>
    <xdr:to>
      <xdr:col>9</xdr:col>
      <xdr:colOff>381000</xdr:colOff>
      <xdr:row>78</xdr:row>
      <xdr:rowOff>171450</xdr:rowOff>
    </xdr:to>
    <xdr:pic>
      <xdr:nvPicPr>
        <xdr:cNvPr id="4881" name="图片 4880"/>
        <xdr:cNvPicPr>
          <a:picLocks noChangeAspect="1"/>
        </xdr:cNvPicPr>
      </xdr:nvPicPr>
      <xdr:blipFill>
        <a:blip r:embed="rId200" r:link="rId2"/>
        <a:stretch>
          <a:fillRect/>
        </a:stretch>
      </xdr:blipFill>
      <xdr:spPr>
        <a:xfrm>
          <a:off x="7639050" y="16135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80</xdr:row>
      <xdr:rowOff>0</xdr:rowOff>
    </xdr:from>
    <xdr:to>
      <xdr:col>9</xdr:col>
      <xdr:colOff>381000</xdr:colOff>
      <xdr:row>81</xdr:row>
      <xdr:rowOff>171450</xdr:rowOff>
    </xdr:to>
    <xdr:pic>
      <xdr:nvPicPr>
        <xdr:cNvPr id="4882" name="图片 4881"/>
        <xdr:cNvPicPr>
          <a:picLocks noChangeAspect="1"/>
        </xdr:cNvPicPr>
      </xdr:nvPicPr>
      <xdr:blipFill>
        <a:blip r:embed="rId197" r:link="rId2"/>
        <a:stretch>
          <a:fillRect/>
        </a:stretch>
      </xdr:blipFill>
      <xdr:spPr>
        <a:xfrm>
          <a:off x="7639050" y="167640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84</xdr:row>
      <xdr:rowOff>0</xdr:rowOff>
    </xdr:from>
    <xdr:to>
      <xdr:col>9</xdr:col>
      <xdr:colOff>381000</xdr:colOff>
      <xdr:row>85</xdr:row>
      <xdr:rowOff>171450</xdr:rowOff>
    </xdr:to>
    <xdr:pic>
      <xdr:nvPicPr>
        <xdr:cNvPr id="4883" name="图片 4882"/>
        <xdr:cNvPicPr>
          <a:picLocks noChangeAspect="1"/>
        </xdr:cNvPicPr>
      </xdr:nvPicPr>
      <xdr:blipFill>
        <a:blip r:embed="rId216" r:link="rId2"/>
        <a:stretch>
          <a:fillRect/>
        </a:stretch>
      </xdr:blipFill>
      <xdr:spPr>
        <a:xfrm>
          <a:off x="7639050" y="17602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88</xdr:row>
      <xdr:rowOff>0</xdr:rowOff>
    </xdr:from>
    <xdr:to>
      <xdr:col>9</xdr:col>
      <xdr:colOff>381000</xdr:colOff>
      <xdr:row>89</xdr:row>
      <xdr:rowOff>171450</xdr:rowOff>
    </xdr:to>
    <xdr:pic>
      <xdr:nvPicPr>
        <xdr:cNvPr id="4884" name="图片 4883"/>
        <xdr:cNvPicPr>
          <a:picLocks noChangeAspect="1"/>
        </xdr:cNvPicPr>
      </xdr:nvPicPr>
      <xdr:blipFill>
        <a:blip r:embed="rId203" r:link="rId2"/>
        <a:stretch>
          <a:fillRect/>
        </a:stretch>
      </xdr:blipFill>
      <xdr:spPr>
        <a:xfrm>
          <a:off x="7639050" y="18440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91</xdr:row>
      <xdr:rowOff>0</xdr:rowOff>
    </xdr:from>
    <xdr:to>
      <xdr:col>9</xdr:col>
      <xdr:colOff>381000</xdr:colOff>
      <xdr:row>92</xdr:row>
      <xdr:rowOff>171450</xdr:rowOff>
    </xdr:to>
    <xdr:pic>
      <xdr:nvPicPr>
        <xdr:cNvPr id="4885" name="图片 4884"/>
        <xdr:cNvPicPr>
          <a:picLocks noChangeAspect="1"/>
        </xdr:cNvPicPr>
      </xdr:nvPicPr>
      <xdr:blipFill>
        <a:blip r:embed="rId218" r:link="rId2"/>
        <a:stretch>
          <a:fillRect/>
        </a:stretch>
      </xdr:blipFill>
      <xdr:spPr>
        <a:xfrm>
          <a:off x="7639050" y="190690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95</xdr:row>
      <xdr:rowOff>0</xdr:rowOff>
    </xdr:from>
    <xdr:to>
      <xdr:col>9</xdr:col>
      <xdr:colOff>381000</xdr:colOff>
      <xdr:row>96</xdr:row>
      <xdr:rowOff>171450</xdr:rowOff>
    </xdr:to>
    <xdr:pic>
      <xdr:nvPicPr>
        <xdr:cNvPr id="4886" name="图片 4885"/>
        <xdr:cNvPicPr>
          <a:picLocks noChangeAspect="1"/>
        </xdr:cNvPicPr>
      </xdr:nvPicPr>
      <xdr:blipFill>
        <a:blip r:embed="rId214" r:link="rId2"/>
        <a:stretch>
          <a:fillRect/>
        </a:stretch>
      </xdr:blipFill>
      <xdr:spPr>
        <a:xfrm>
          <a:off x="7639050" y="19907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99</xdr:row>
      <xdr:rowOff>0</xdr:rowOff>
    </xdr:from>
    <xdr:to>
      <xdr:col>9</xdr:col>
      <xdr:colOff>381000</xdr:colOff>
      <xdr:row>100</xdr:row>
      <xdr:rowOff>171450</xdr:rowOff>
    </xdr:to>
    <xdr:pic>
      <xdr:nvPicPr>
        <xdr:cNvPr id="4887" name="图片 4886"/>
        <xdr:cNvPicPr>
          <a:picLocks noChangeAspect="1"/>
        </xdr:cNvPicPr>
      </xdr:nvPicPr>
      <xdr:blipFill>
        <a:blip r:embed="rId223" r:link="rId2"/>
        <a:stretch>
          <a:fillRect/>
        </a:stretch>
      </xdr:blipFill>
      <xdr:spPr>
        <a:xfrm>
          <a:off x="7639050" y="20745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102</xdr:row>
      <xdr:rowOff>0</xdr:rowOff>
    </xdr:from>
    <xdr:to>
      <xdr:col>9</xdr:col>
      <xdr:colOff>381000</xdr:colOff>
      <xdr:row>103</xdr:row>
      <xdr:rowOff>171450</xdr:rowOff>
    </xdr:to>
    <xdr:pic>
      <xdr:nvPicPr>
        <xdr:cNvPr id="4888" name="图片 4887"/>
        <xdr:cNvPicPr>
          <a:picLocks noChangeAspect="1"/>
        </xdr:cNvPicPr>
      </xdr:nvPicPr>
      <xdr:blipFill>
        <a:blip r:embed="rId209" r:link="rId2"/>
        <a:stretch>
          <a:fillRect/>
        </a:stretch>
      </xdr:blipFill>
      <xdr:spPr>
        <a:xfrm>
          <a:off x="7639050" y="213741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106</xdr:row>
      <xdr:rowOff>0</xdr:rowOff>
    </xdr:from>
    <xdr:to>
      <xdr:col>9</xdr:col>
      <xdr:colOff>381000</xdr:colOff>
      <xdr:row>107</xdr:row>
      <xdr:rowOff>171450</xdr:rowOff>
    </xdr:to>
    <xdr:pic>
      <xdr:nvPicPr>
        <xdr:cNvPr id="4889" name="图片 4888"/>
        <xdr:cNvPicPr>
          <a:picLocks noChangeAspect="1"/>
        </xdr:cNvPicPr>
      </xdr:nvPicPr>
      <xdr:blipFill>
        <a:blip r:embed="rId217" r:link="rId2"/>
        <a:stretch>
          <a:fillRect/>
        </a:stretch>
      </xdr:blipFill>
      <xdr:spPr>
        <a:xfrm>
          <a:off x="7639050" y="22212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110</xdr:row>
      <xdr:rowOff>0</xdr:rowOff>
    </xdr:from>
    <xdr:to>
      <xdr:col>9</xdr:col>
      <xdr:colOff>381000</xdr:colOff>
      <xdr:row>111</xdr:row>
      <xdr:rowOff>171450</xdr:rowOff>
    </xdr:to>
    <xdr:pic>
      <xdr:nvPicPr>
        <xdr:cNvPr id="4890" name="图片 4889"/>
        <xdr:cNvPicPr>
          <a:picLocks noChangeAspect="1"/>
        </xdr:cNvPicPr>
      </xdr:nvPicPr>
      <xdr:blipFill>
        <a:blip r:embed="rId204" r:link="rId2"/>
        <a:stretch>
          <a:fillRect/>
        </a:stretch>
      </xdr:blipFill>
      <xdr:spPr>
        <a:xfrm>
          <a:off x="7639050" y="230505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113</xdr:row>
      <xdr:rowOff>0</xdr:rowOff>
    </xdr:from>
    <xdr:to>
      <xdr:col>9</xdr:col>
      <xdr:colOff>381000</xdr:colOff>
      <xdr:row>114</xdr:row>
      <xdr:rowOff>171450</xdr:rowOff>
    </xdr:to>
    <xdr:pic>
      <xdr:nvPicPr>
        <xdr:cNvPr id="4891" name="图片 4890"/>
        <xdr:cNvPicPr>
          <a:picLocks noChangeAspect="1"/>
        </xdr:cNvPicPr>
      </xdr:nvPicPr>
      <xdr:blipFill>
        <a:blip r:embed="rId212" r:link="rId2"/>
        <a:stretch>
          <a:fillRect/>
        </a:stretch>
      </xdr:blipFill>
      <xdr:spPr>
        <a:xfrm>
          <a:off x="7639050" y="236791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117</xdr:row>
      <xdr:rowOff>0</xdr:rowOff>
    </xdr:from>
    <xdr:to>
      <xdr:col>9</xdr:col>
      <xdr:colOff>381000</xdr:colOff>
      <xdr:row>118</xdr:row>
      <xdr:rowOff>171450</xdr:rowOff>
    </xdr:to>
    <xdr:pic>
      <xdr:nvPicPr>
        <xdr:cNvPr id="4892" name="图片 4891"/>
        <xdr:cNvPicPr>
          <a:picLocks noChangeAspect="1"/>
        </xdr:cNvPicPr>
      </xdr:nvPicPr>
      <xdr:blipFill>
        <a:blip r:embed="rId224" r:link="rId2"/>
        <a:stretch>
          <a:fillRect/>
        </a:stretch>
      </xdr:blipFill>
      <xdr:spPr>
        <a:xfrm>
          <a:off x="7639050" y="245173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121</xdr:row>
      <xdr:rowOff>0</xdr:rowOff>
    </xdr:from>
    <xdr:to>
      <xdr:col>9</xdr:col>
      <xdr:colOff>381000</xdr:colOff>
      <xdr:row>122</xdr:row>
      <xdr:rowOff>171450</xdr:rowOff>
    </xdr:to>
    <xdr:pic>
      <xdr:nvPicPr>
        <xdr:cNvPr id="4893" name="图片 4892"/>
        <xdr:cNvPicPr>
          <a:picLocks noChangeAspect="1"/>
        </xdr:cNvPicPr>
      </xdr:nvPicPr>
      <xdr:blipFill>
        <a:blip r:embed="rId221" r:link="rId2"/>
        <a:stretch>
          <a:fillRect/>
        </a:stretch>
      </xdr:blipFill>
      <xdr:spPr>
        <a:xfrm>
          <a:off x="7639050" y="253555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124</xdr:row>
      <xdr:rowOff>0</xdr:rowOff>
    </xdr:from>
    <xdr:to>
      <xdr:col>9</xdr:col>
      <xdr:colOff>381000</xdr:colOff>
      <xdr:row>125</xdr:row>
      <xdr:rowOff>171450</xdr:rowOff>
    </xdr:to>
    <xdr:pic>
      <xdr:nvPicPr>
        <xdr:cNvPr id="4894" name="图片 4893"/>
        <xdr:cNvPicPr>
          <a:picLocks noChangeAspect="1"/>
        </xdr:cNvPicPr>
      </xdr:nvPicPr>
      <xdr:blipFill>
        <a:blip r:embed="rId220" r:link="rId2"/>
        <a:stretch>
          <a:fillRect/>
        </a:stretch>
      </xdr:blipFill>
      <xdr:spPr>
        <a:xfrm>
          <a:off x="7639050" y="259842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128</xdr:row>
      <xdr:rowOff>0</xdr:rowOff>
    </xdr:from>
    <xdr:to>
      <xdr:col>9</xdr:col>
      <xdr:colOff>381000</xdr:colOff>
      <xdr:row>129</xdr:row>
      <xdr:rowOff>171450</xdr:rowOff>
    </xdr:to>
    <xdr:pic>
      <xdr:nvPicPr>
        <xdr:cNvPr id="4895" name="图片 4894"/>
        <xdr:cNvPicPr>
          <a:picLocks noChangeAspect="1"/>
        </xdr:cNvPicPr>
      </xdr:nvPicPr>
      <xdr:blipFill>
        <a:blip r:embed="rId191" r:link="rId2"/>
        <a:stretch>
          <a:fillRect/>
        </a:stretch>
      </xdr:blipFill>
      <xdr:spPr>
        <a:xfrm>
          <a:off x="7639050" y="268224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132</xdr:row>
      <xdr:rowOff>0</xdr:rowOff>
    </xdr:from>
    <xdr:to>
      <xdr:col>9</xdr:col>
      <xdr:colOff>381000</xdr:colOff>
      <xdr:row>133</xdr:row>
      <xdr:rowOff>171450</xdr:rowOff>
    </xdr:to>
    <xdr:pic>
      <xdr:nvPicPr>
        <xdr:cNvPr id="4896" name="图片 4895"/>
        <xdr:cNvPicPr>
          <a:picLocks noChangeAspect="1"/>
        </xdr:cNvPicPr>
      </xdr:nvPicPr>
      <xdr:blipFill>
        <a:blip r:embed="rId206" r:link="rId2"/>
        <a:stretch>
          <a:fillRect/>
        </a:stretch>
      </xdr:blipFill>
      <xdr:spPr>
        <a:xfrm>
          <a:off x="7639050" y="276606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135</xdr:row>
      <xdr:rowOff>0</xdr:rowOff>
    </xdr:from>
    <xdr:to>
      <xdr:col>9</xdr:col>
      <xdr:colOff>381000</xdr:colOff>
      <xdr:row>136</xdr:row>
      <xdr:rowOff>171450</xdr:rowOff>
    </xdr:to>
    <xdr:pic>
      <xdr:nvPicPr>
        <xdr:cNvPr id="4897" name="图片 4896"/>
        <xdr:cNvPicPr>
          <a:picLocks noChangeAspect="1"/>
        </xdr:cNvPicPr>
      </xdr:nvPicPr>
      <xdr:blipFill>
        <a:blip r:embed="rId198" r:link="rId2"/>
        <a:stretch>
          <a:fillRect/>
        </a:stretch>
      </xdr:blipFill>
      <xdr:spPr>
        <a:xfrm>
          <a:off x="7639050" y="282892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139</xdr:row>
      <xdr:rowOff>0</xdr:rowOff>
    </xdr:from>
    <xdr:to>
      <xdr:col>9</xdr:col>
      <xdr:colOff>381000</xdr:colOff>
      <xdr:row>140</xdr:row>
      <xdr:rowOff>171450</xdr:rowOff>
    </xdr:to>
    <xdr:pic>
      <xdr:nvPicPr>
        <xdr:cNvPr id="4898" name="图片 4897"/>
        <xdr:cNvPicPr>
          <a:picLocks noChangeAspect="1"/>
        </xdr:cNvPicPr>
      </xdr:nvPicPr>
      <xdr:blipFill>
        <a:blip r:embed="rId1" r:link="rId2"/>
        <a:stretch>
          <a:fillRect/>
        </a:stretch>
      </xdr:blipFill>
      <xdr:spPr>
        <a:xfrm>
          <a:off x="7639050" y="291274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143</xdr:row>
      <xdr:rowOff>0</xdr:rowOff>
    </xdr:from>
    <xdr:to>
      <xdr:col>9</xdr:col>
      <xdr:colOff>381000</xdr:colOff>
      <xdr:row>144</xdr:row>
      <xdr:rowOff>171450</xdr:rowOff>
    </xdr:to>
    <xdr:pic>
      <xdr:nvPicPr>
        <xdr:cNvPr id="4899" name="图片 4898"/>
        <xdr:cNvPicPr>
          <a:picLocks noChangeAspect="1"/>
        </xdr:cNvPicPr>
      </xdr:nvPicPr>
      <xdr:blipFill>
        <a:blip r:embed="rId219" r:link="rId2"/>
        <a:stretch>
          <a:fillRect/>
        </a:stretch>
      </xdr:blipFill>
      <xdr:spPr>
        <a:xfrm>
          <a:off x="7639050" y="2996565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9</xdr:col>
      <xdr:colOff>381000</xdr:colOff>
      <xdr:row>147</xdr:row>
      <xdr:rowOff>171450</xdr:rowOff>
    </xdr:to>
    <xdr:pic>
      <xdr:nvPicPr>
        <xdr:cNvPr id="4900" name="图片 4899"/>
        <xdr:cNvPicPr>
          <a:picLocks noChangeAspect="1"/>
        </xdr:cNvPicPr>
      </xdr:nvPicPr>
      <xdr:blipFill>
        <a:blip r:embed="rId225" r:link="rId2"/>
        <a:stretch>
          <a:fillRect/>
        </a:stretch>
      </xdr:blipFill>
      <xdr:spPr>
        <a:xfrm>
          <a:off x="7639050" y="30594300"/>
          <a:ext cx="381000" cy="38100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8</xdr:row>
          <xdr:rowOff>66675</xdr:rowOff>
        </xdr:from>
        <xdr:to>
          <xdr:col>1</xdr:col>
          <xdr:colOff>342900</xdr:colOff>
          <xdr:row>9</xdr:row>
          <xdr:rowOff>152400</xdr:rowOff>
        </xdr:to>
        <xdr:sp>
          <xdr:nvSpPr>
            <xdr:cNvPr id="9217" name="Software_Update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295275" y="1438275"/>
              <a:ext cx="1438275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295275</xdr:colOff>
          <xdr:row>6</xdr:row>
          <xdr:rowOff>123825</xdr:rowOff>
        </xdr:from>
        <xdr:to>
          <xdr:col>1</xdr:col>
          <xdr:colOff>342900</xdr:colOff>
          <xdr:row>8</xdr:row>
          <xdr:rowOff>38100</xdr:rowOff>
        </xdr:to>
        <xdr:sp>
          <xdr:nvSpPr>
            <xdr:cNvPr id="9218" name="Data_Update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295275" y="1152525"/>
              <a:ext cx="1438275" cy="2571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hyperlink" Target="https://client.qun.qq.com/qun_vote/javascript:;" TargetMode="Externa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image" Target="../media/image228.wmf"/><Relationship Id="rId5" Type="http://schemas.openxmlformats.org/officeDocument/2006/relationships/control" Target="../activeX/activeX4.xml"/><Relationship Id="rId4" Type="http://schemas.openxmlformats.org/officeDocument/2006/relationships/image" Target="../media/image227.wmf"/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00B050"/>
  </sheetPr>
  <dimension ref="A1:J200"/>
  <sheetViews>
    <sheetView topLeftCell="C1" workbookViewId="0">
      <selection activeCell="G1" sqref="G1:J1"/>
    </sheetView>
  </sheetViews>
  <sheetFormatPr defaultColWidth="0" defaultRowHeight="20.1" customHeight="1" zeroHeight="1"/>
  <cols>
    <col min="1" max="1" width="21.5" style="28" hidden="1" customWidth="1"/>
    <col min="2" max="2" width="24.75" style="28" hidden="1" customWidth="1"/>
    <col min="3" max="3" width="20.625" style="28" customWidth="1"/>
    <col min="4" max="10" width="10.625" style="28" customWidth="1"/>
    <col min="11" max="11" width="10.625" style="53" hidden="1" customWidth="1"/>
    <col min="12" max="16384" width="10.625" style="53" hidden="1"/>
  </cols>
  <sheetData>
    <row r="1" s="52" customFormat="1" customHeight="1" spans="1:10">
      <c r="A1" s="54" t="str">
        <f ca="1">IFERROR(HLOOKUP(DATE($G$3,$H$3,$I$3),'API1'!$B$2:$CR$46,ROW($A4),0)&amp;"","")</f>
        <v>√</v>
      </c>
      <c r="B1" s="54" t="str">
        <f>HLOOKUP(DATE($G$3,$H$3,$I$3),DATA!$C:$CS,ROW($B4),0)&amp;""</f>
        <v/>
      </c>
      <c r="C1" s="55" t="str">
        <f>IF(HLOOKUP(DATE($G$3,$H$3,$I$3),'API1'!$B$2:$CR$4,3,0)="作","工作日","休息日")</f>
        <v>工作日</v>
      </c>
      <c r="D1" s="56" t="s">
        <v>0</v>
      </c>
      <c r="E1" s="56"/>
      <c r="F1" s="57"/>
      <c r="G1" s="58" t="s">
        <v>1</v>
      </c>
      <c r="H1" s="56"/>
      <c r="I1" s="56"/>
      <c r="J1" s="57"/>
    </row>
    <row r="2" s="52" customFormat="1" ht="33.95" customHeight="1" spans="1:10">
      <c r="A2" s="54" t="str">
        <f ca="1">IFERROR(HLOOKUP(DATE($G$3,$H$3,$I$3),'API1'!$B$2:$CR$46,ROW($A5),0)&amp;"","")</f>
        <v>√</v>
      </c>
      <c r="B2" s="54" t="str">
        <f>HLOOKUP(DATE($G$3,$H$3,$I$3),DATA!$C:$CS,ROW($B5),0)&amp;""</f>
        <v>王思雨</v>
      </c>
      <c r="C2" s="59" t="s">
        <v>2</v>
      </c>
      <c r="D2" s="60" t="s">
        <v>3</v>
      </c>
      <c r="E2" s="61" t="s">
        <v>4</v>
      </c>
      <c r="F2" s="61" t="s">
        <v>5</v>
      </c>
      <c r="G2" s="55" t="s">
        <v>6</v>
      </c>
      <c r="H2" s="55" t="s">
        <v>7</v>
      </c>
      <c r="I2" s="55" t="s">
        <v>8</v>
      </c>
      <c r="J2" s="67" t="str">
        <f ca="1">IF(ISNA($B$1),"无记录",IF($A$1="√","查询成功","查询成功"))</f>
        <v>查询成功</v>
      </c>
    </row>
    <row r="3" s="52" customFormat="1" customHeight="1" spans="1:10">
      <c r="A3" s="54" t="str">
        <f ca="1">IFERROR(HLOOKUP(DATE($G$3,$H$3,$I$3),'API1'!$B$2:$CR$46,ROW($A6),0)&amp;"","")</f>
        <v>√</v>
      </c>
      <c r="B3" s="54" t="str">
        <f>HLOOKUP(DATE($G$3,$H$3,$I$3),DATA!$C:$CS,ROW($B6),0)&amp;""</f>
        <v>02-04 11:21</v>
      </c>
      <c r="C3" s="62"/>
      <c r="D3" s="57">
        <f ca="1">COUNTIF($A:$A,"×")</f>
        <v>1</v>
      </c>
      <c r="E3" s="55">
        <f ca="1">COUNTIF($A:$A,"√")</f>
        <v>40</v>
      </c>
      <c r="F3" s="55">
        <f ca="1">$D$3+$E$3</f>
        <v>41</v>
      </c>
      <c r="G3" s="63">
        <v>2021</v>
      </c>
      <c r="H3" s="63">
        <v>2</v>
      </c>
      <c r="I3" s="63">
        <v>4</v>
      </c>
      <c r="J3" s="68"/>
    </row>
    <row r="4" s="52" customFormat="1" customHeight="1" spans="1:10">
      <c r="A4" s="54" t="str">
        <f ca="1">IFERROR(HLOOKUP(DATE($G$3,$H$3,$I$3),'API1'!$B$2:$CR$46,ROW($A7),0)&amp;"","")</f>
        <v>√</v>
      </c>
      <c r="B4" s="54" t="str">
        <f>HLOOKUP(DATE($G$3,$H$3,$I$3),DATA!$C:$CS,ROW($B7),0)&amp;""</f>
        <v/>
      </c>
      <c r="C4" s="64" t="str">
        <f t="array" ref="C4">IF($C$1="休息日","查询日休息！",INDEX(DATA!$A:$A,SMALL(COUNTIF($B$1:$B$200,DATA!$A$1:$A$200)/1%%+ROW($A$1:$A$200),ROW(A4)))&amp;"")</f>
        <v>陈纳森</v>
      </c>
      <c r="D4" s="65"/>
      <c r="E4" s="65"/>
      <c r="F4" s="65"/>
      <c r="G4" s="65"/>
      <c r="H4" s="65"/>
      <c r="I4" s="65"/>
      <c r="J4" s="69"/>
    </row>
    <row r="5" s="52" customFormat="1" customHeight="1" spans="1:10">
      <c r="A5" s="54" t="str">
        <f ca="1">IFERROR(HLOOKUP(DATE($G$3,$H$3,$I$3),'API1'!$B$2:$CR$46,ROW($A8),0)&amp;"","")</f>
        <v>√</v>
      </c>
      <c r="B5" s="54" t="str">
        <f>HLOOKUP(DATE($G$3,$H$3,$I$3),DATA!$C:$CS,ROW($B8),0)&amp;""</f>
        <v/>
      </c>
      <c r="C5" s="64" t="str">
        <f t="array" ref="C5">IF($C$1="休息日","查询日休息！",INDEX(DATA!$A:$A,SMALL(COUNTIF($B$1:$B$200,DATA!$A$1:$A$200)/1%%+ROW($A$1:$A$200),ROW(A5)))&amp;"")</f>
        <v/>
      </c>
      <c r="D5" s="65"/>
      <c r="E5" s="65"/>
      <c r="F5" s="65"/>
      <c r="G5" s="65"/>
      <c r="H5" s="65"/>
      <c r="I5" s="65"/>
      <c r="J5" s="69"/>
    </row>
    <row r="6" s="52" customFormat="1" customHeight="1" spans="1:10">
      <c r="A6" s="54" t="str">
        <f ca="1">IFERROR(HLOOKUP(DATE($G$3,$H$3,$I$3),'API1'!$B$2:$CR$46,ROW($A9),0)&amp;"","")</f>
        <v>√</v>
      </c>
      <c r="B6" s="54" t="str">
        <f>HLOOKUP(DATE($G$3,$H$3,$I$3),DATA!$C:$CS,ROW($B9),0)&amp;""</f>
        <v>涂天赐</v>
      </c>
      <c r="C6" s="64" t="str">
        <f t="array" ref="C6">IF($C$1="休息日","查询日休息！",INDEX(DATA!$A:$A,SMALL(COUNTIF($B$1:$B$200,DATA!$A$1:$A$200)/1%%+ROW($A$1:$A$200),ROW(A6)))&amp;"")</f>
        <v/>
      </c>
      <c r="D6" s="65"/>
      <c r="E6" s="65"/>
      <c r="F6" s="65"/>
      <c r="G6" s="65"/>
      <c r="H6" s="65"/>
      <c r="I6" s="65"/>
      <c r="J6" s="69"/>
    </row>
    <row r="7" s="52" customFormat="1" customHeight="1" spans="1:10">
      <c r="A7" s="54" t="str">
        <f ca="1">IFERROR(HLOOKUP(DATE($G$3,$H$3,$I$3),'API1'!$B$2:$CR$46,ROW($A10),0)&amp;"","")</f>
        <v>√</v>
      </c>
      <c r="B7" s="54" t="str">
        <f>HLOOKUP(DATE($G$3,$H$3,$I$3),DATA!$C:$CS,ROW($B10),0)&amp;""</f>
        <v>02-04 10:37</v>
      </c>
      <c r="C7" s="64" t="str">
        <f t="array" ref="C7">IF($C$1="休息日","查询日休息！",INDEX(DATA!$A:$A,SMALL(COUNTIF($B$1:$B$200,DATA!$A$1:$A$200)/1%%+ROW($A$1:$A$200),ROW(A7)))&amp;"")</f>
        <v/>
      </c>
      <c r="D7" s="65"/>
      <c r="E7" s="66"/>
      <c r="F7" s="65"/>
      <c r="G7" s="65"/>
      <c r="H7" s="65"/>
      <c r="I7" s="65"/>
      <c r="J7" s="69"/>
    </row>
    <row r="8" s="52" customFormat="1" customHeight="1" spans="1:10">
      <c r="A8" s="54" t="str">
        <f ca="1">IFERROR(HLOOKUP(DATE($G$3,$H$3,$I$3),'API1'!$B$2:$CR$46,ROW($A11),0)&amp;"","")</f>
        <v>√</v>
      </c>
      <c r="B8" s="54" t="str">
        <f>HLOOKUP(DATE($G$3,$H$3,$I$3),DATA!$C:$CS,ROW($B11),0)&amp;""</f>
        <v/>
      </c>
      <c r="C8" s="64" t="str">
        <f t="array" ref="C8">IF($C$1="休息日","查询日休息！",INDEX(DATA!$A:$A,SMALL(COUNTIF($B$1:$B$200,DATA!$A$1:$A$200)/1%%+ROW($A$1:$A$200),ROW(A8)))&amp;"")</f>
        <v/>
      </c>
      <c r="D8" s="65"/>
      <c r="E8" s="65"/>
      <c r="F8" s="65"/>
      <c r="G8" s="65"/>
      <c r="H8" s="65"/>
      <c r="I8" s="65"/>
      <c r="J8" s="69"/>
    </row>
    <row r="9" s="52" customFormat="1" customHeight="1" spans="1:10">
      <c r="A9" s="54" t="str">
        <f ca="1">IFERROR(HLOOKUP(DATE($G$3,$H$3,$I$3),'API1'!$B$2:$CR$46,ROW($A12),0)&amp;"","")</f>
        <v>√</v>
      </c>
      <c r="B9" s="54" t="str">
        <f>HLOOKUP(DATE($G$3,$H$3,$I$3),DATA!$C:$CS,ROW($B12),0)&amp;""</f>
        <v/>
      </c>
      <c r="C9" s="64" t="str">
        <f t="array" ref="C9">IF($C$1="休息日","查询日休息！",INDEX(DATA!$A:$A,SMALL(COUNTIF($B$1:$B$200,DATA!$A$1:$A$200)/1%%+ROW($A$1:$A$200),ROW(A9)))&amp;"")</f>
        <v/>
      </c>
      <c r="D9" s="65"/>
      <c r="E9" s="65"/>
      <c r="F9" s="65"/>
      <c r="G9" s="65"/>
      <c r="H9" s="65"/>
      <c r="I9" s="65"/>
      <c r="J9" s="69"/>
    </row>
    <row r="10" s="52" customFormat="1" customHeight="1" spans="1:10">
      <c r="A10" s="54" t="str">
        <f ca="1">IFERROR(HLOOKUP(DATE($G$3,$H$3,$I$3),'API1'!$B$2:$CR$46,ROW($A13),0)&amp;"","")</f>
        <v>√</v>
      </c>
      <c r="B10" s="54" t="str">
        <f>HLOOKUP(DATE($G$3,$H$3,$I$3),DATA!$C:$CS,ROW($B13),0)&amp;""</f>
        <v>李文霞</v>
      </c>
      <c r="C10" s="64" t="str">
        <f t="array" ref="C10">IF($C$1="休息日","查询日休息！",INDEX(DATA!$A:$A,SMALL(COUNTIF($B$1:$B$200,DATA!$A$1:$A$200)/1%%+ROW($A$1:$A$200),ROW(A10)))&amp;"")</f>
        <v/>
      </c>
      <c r="D10" s="65"/>
      <c r="E10" s="65"/>
      <c r="F10" s="65"/>
      <c r="G10" s="65"/>
      <c r="H10" s="65"/>
      <c r="I10" s="65"/>
      <c r="J10" s="69"/>
    </row>
    <row r="11" s="52" customFormat="1" customHeight="1" spans="1:10">
      <c r="A11" s="54" t="str">
        <f ca="1">IFERROR(HLOOKUP(DATE($G$3,$H$3,$I$3),'API1'!$B$2:$CR$46,ROW($A14),0)&amp;"","")</f>
        <v>√</v>
      </c>
      <c r="B11" s="54" t="str">
        <f>HLOOKUP(DATE($G$3,$H$3,$I$3),DATA!$C:$CS,ROW($B14),0)&amp;""</f>
        <v>02-04 10:31</v>
      </c>
      <c r="C11" s="64" t="str">
        <f t="array" ref="C11">IF($C$1="休息日","查询日休息！",INDEX(DATA!$A:$A,SMALL(COUNTIF($B$1:$B$200,DATA!$A$1:$A$200)/1%%+ROW($A$1:$A$200),ROW(A11)))&amp;"")</f>
        <v/>
      </c>
      <c r="D11" s="65"/>
      <c r="E11" s="65"/>
      <c r="F11" s="65"/>
      <c r="G11" s="65"/>
      <c r="H11" s="65"/>
      <c r="I11" s="65"/>
      <c r="J11" s="69"/>
    </row>
    <row r="12" s="52" customFormat="1" customHeight="1" spans="1:10">
      <c r="A12" s="54" t="str">
        <f ca="1">IFERROR(HLOOKUP(DATE($G$3,$H$3,$I$3),'API1'!$B$2:$CR$46,ROW($A15),0)&amp;"","")</f>
        <v>√</v>
      </c>
      <c r="B12" s="54" t="str">
        <f>HLOOKUP(DATE($G$3,$H$3,$I$3),DATA!$C:$CS,ROW($B15),0)&amp;""</f>
        <v/>
      </c>
      <c r="C12" s="64" t="str">
        <f t="array" ref="C12">IF($C$1="休息日","查询日休息！",INDEX(DATA!$A:$A,SMALL(COUNTIF($B$1:$B$200,DATA!$A$1:$A$200)/1%%+ROW($A$1:$A$200),ROW(A12)))&amp;"")</f>
        <v/>
      </c>
      <c r="D12" s="65"/>
      <c r="E12" s="65"/>
      <c r="F12" s="65"/>
      <c r="G12" s="65"/>
      <c r="H12" s="65"/>
      <c r="I12" s="65"/>
      <c r="J12" s="69"/>
    </row>
    <row r="13" s="52" customFormat="1" customHeight="1" spans="1:10">
      <c r="A13" s="54" t="str">
        <f ca="1">IFERROR(HLOOKUP(DATE($G$3,$H$3,$I$3),'API1'!$B$2:$CR$46,ROW($A16),0)&amp;"","")</f>
        <v>√</v>
      </c>
      <c r="B13" s="54" t="str">
        <f>HLOOKUP(DATE($G$3,$H$3,$I$3),DATA!$C:$CS,ROW($B16),0)&amp;""</f>
        <v>蔡振龙</v>
      </c>
      <c r="C13" s="64" t="str">
        <f t="array" ref="C13">IF($C$1="休息日","查询日休息！",INDEX(DATA!$A:$A,SMALL(COUNTIF($B$1:$B$200,DATA!$A$1:$A$200)/1%%+ROW($A$1:$A$200),ROW(A13)))&amp;"")</f>
        <v/>
      </c>
      <c r="D13" s="65"/>
      <c r="E13" s="65"/>
      <c r="F13" s="65"/>
      <c r="G13" s="65"/>
      <c r="H13" s="65"/>
      <c r="I13" s="65"/>
      <c r="J13" s="69"/>
    </row>
    <row r="14" s="52" customFormat="1" customHeight="1" spans="1:10">
      <c r="A14" s="54" t="str">
        <f ca="1">IFERROR(HLOOKUP(DATE($G$3,$H$3,$I$3),'API1'!$B$2:$CR$46,ROW($A17),0)&amp;"","")</f>
        <v>√</v>
      </c>
      <c r="B14" s="54" t="str">
        <f>HLOOKUP(DATE($G$3,$H$3,$I$3),DATA!$C:$CS,ROW($B17),0)&amp;""</f>
        <v>02-04 10:27</v>
      </c>
      <c r="C14" s="64" t="str">
        <f t="array" ref="C14">IF($C$1="休息日","查询日休息！",INDEX(DATA!$A:$A,SMALL(COUNTIF($B$1:$B$200,DATA!$A$1:$A$200)/1%%+ROW($A$1:$A$200),ROW(A14)))&amp;"")</f>
        <v/>
      </c>
      <c r="D14" s="65"/>
      <c r="E14" s="65"/>
      <c r="F14" s="65"/>
      <c r="G14" s="65"/>
      <c r="H14" s="65"/>
      <c r="I14" s="65"/>
      <c r="J14" s="69"/>
    </row>
    <row r="15" s="52" customFormat="1" customHeight="1" spans="1:10">
      <c r="A15" s="54" t="str">
        <f ca="1">IFERROR(HLOOKUP(DATE($G$3,$H$3,$I$3),'API1'!$B$2:$CR$46,ROW($A18),0)&amp;"","")</f>
        <v>√</v>
      </c>
      <c r="B15" s="54" t="str">
        <f>HLOOKUP(DATE($G$3,$H$3,$I$3),DATA!$C:$CS,ROW($B18),0)&amp;""</f>
        <v/>
      </c>
      <c r="C15" s="64" t="str">
        <f t="array" ref="C15">IF($C$1="休息日","查询日休息！",INDEX(DATA!$A:$A,SMALL(COUNTIF($B$1:$B$200,DATA!$A$1:$A$200)/1%%+ROW($A$1:$A$200),ROW(A15)))&amp;"")</f>
        <v/>
      </c>
      <c r="D15" s="65"/>
      <c r="E15" s="65"/>
      <c r="F15" s="65"/>
      <c r="G15" s="65"/>
      <c r="H15" s="65"/>
      <c r="I15" s="65"/>
      <c r="J15" s="69"/>
    </row>
    <row r="16" s="52" customFormat="1" customHeight="1" spans="1:10">
      <c r="A16" s="54" t="str">
        <f ca="1">IFERROR(HLOOKUP(DATE($G$3,$H$3,$I$3),'API1'!$B$2:$CR$46,ROW($A19),0)&amp;"","")</f>
        <v>√</v>
      </c>
      <c r="B16" s="54" t="str">
        <f>HLOOKUP(DATE($G$3,$H$3,$I$3),DATA!$C:$CS,ROW($B19),0)&amp;""</f>
        <v/>
      </c>
      <c r="C16" s="64" t="str">
        <f t="array" ref="C16">IF($C$1="休息日","查询日休息！",INDEX(DATA!$A:$A,SMALL(COUNTIF($B$1:$B$200,DATA!$A$1:$A$200)/1%%+ROW($A$1:$A$200),ROW(A16)))&amp;"")</f>
        <v/>
      </c>
      <c r="D16" s="65"/>
      <c r="E16" s="65"/>
      <c r="F16" s="65"/>
      <c r="G16" s="65"/>
      <c r="H16" s="65"/>
      <c r="I16" s="65"/>
      <c r="J16" s="69"/>
    </row>
    <row r="17" s="52" customFormat="1" customHeight="1" spans="1:10">
      <c r="A17" s="54" t="str">
        <f ca="1">IFERROR(HLOOKUP(DATE($G$3,$H$3,$I$3),'API1'!$B$2:$CR$46,ROW($A20),0)&amp;"","")</f>
        <v>√</v>
      </c>
      <c r="B17" s="54" t="str">
        <f>HLOOKUP(DATE($G$3,$H$3,$I$3),DATA!$C:$CS,ROW($B20),0)&amp;""</f>
        <v>舒成昌</v>
      </c>
      <c r="C17" s="64" t="str">
        <f t="array" ref="C17">IF($C$1="休息日","查询日休息！",INDEX(DATA!$A:$A,SMALL(COUNTIF($B$1:$B$200,DATA!$A$1:$A$200)/1%%+ROW($A$1:$A$200),ROW(A17)))&amp;"")</f>
        <v/>
      </c>
      <c r="D17" s="65"/>
      <c r="E17" s="65"/>
      <c r="F17" s="65"/>
      <c r="G17" s="65"/>
      <c r="H17" s="65"/>
      <c r="I17" s="65"/>
      <c r="J17" s="69"/>
    </row>
    <row r="18" s="52" customFormat="1" customHeight="1" spans="1:10">
      <c r="A18" s="54" t="str">
        <f ca="1">IFERROR(HLOOKUP(DATE($G$3,$H$3,$I$3),'API1'!$B$2:$CR$46,ROW($A21),0)&amp;"","")</f>
        <v>√</v>
      </c>
      <c r="B18" s="54" t="str">
        <f>HLOOKUP(DATE($G$3,$H$3,$I$3),DATA!$C:$CS,ROW($B21),0)&amp;""</f>
        <v>02-04 10:26</v>
      </c>
      <c r="C18" s="64" t="str">
        <f t="array" ref="C18">IF($C$1="休息日","查询日休息！",INDEX(DATA!$A:$A,SMALL(COUNTIF($B$1:$B$200,DATA!$A$1:$A$200)/1%%+ROW($A$1:$A$200),ROW(A18)))&amp;"")</f>
        <v/>
      </c>
      <c r="D18" s="65"/>
      <c r="E18" s="65"/>
      <c r="F18" s="65"/>
      <c r="G18" s="65"/>
      <c r="H18" s="65"/>
      <c r="I18" s="65"/>
      <c r="J18" s="69"/>
    </row>
    <row r="19" s="52" customFormat="1" customHeight="1" spans="1:10">
      <c r="A19" s="54" t="str">
        <f ca="1">IFERROR(HLOOKUP(DATE($G$3,$H$3,$I$3),'API1'!$B$2:$CR$46,ROW($A22),0)&amp;"","")</f>
        <v>√</v>
      </c>
      <c r="B19" s="54" t="str">
        <f>HLOOKUP(DATE($G$3,$H$3,$I$3),DATA!$C:$CS,ROW($B22),0)&amp;""</f>
        <v/>
      </c>
      <c r="C19" s="64" t="str">
        <f t="array" ref="C19">IF($C$1="休息日","查询日休息！",INDEX(DATA!$A:$A,SMALL(COUNTIF($B$1:$B$200,DATA!$A$1:$A$200)/1%%+ROW($A$1:$A$200),ROW(A19)))&amp;"")</f>
        <v/>
      </c>
      <c r="D19" s="65"/>
      <c r="E19" s="65"/>
      <c r="F19" s="65"/>
      <c r="G19" s="65"/>
      <c r="H19" s="65"/>
      <c r="I19" s="65"/>
      <c r="J19" s="69"/>
    </row>
    <row r="20" s="52" customFormat="1" customHeight="1" spans="1:10">
      <c r="A20" s="54" t="str">
        <f ca="1">IFERROR(HLOOKUP(DATE($G$3,$H$3,$I$3),'API1'!$B$2:$CR$46,ROW($A23),0)&amp;"","")</f>
        <v>√</v>
      </c>
      <c r="B20" s="54" t="str">
        <f>HLOOKUP(DATE($G$3,$H$3,$I$3),DATA!$C:$CS,ROW($B23),0)&amp;""</f>
        <v/>
      </c>
      <c r="C20" s="64" t="str">
        <f t="array" ref="C20">IF($C$1="休息日","查询日休息！",INDEX(DATA!$A:$A,SMALL(COUNTIF($B$1:$B$200,DATA!$A$1:$A$200)/1%%+ROW($A$1:$A$200),ROW(A20)))&amp;"")</f>
        <v/>
      </c>
      <c r="D20" s="65"/>
      <c r="E20" s="65"/>
      <c r="F20" s="65"/>
      <c r="G20" s="65"/>
      <c r="H20" s="65"/>
      <c r="I20" s="65"/>
      <c r="J20" s="69"/>
    </row>
    <row r="21" s="52" customFormat="1" customHeight="1" spans="1:10">
      <c r="A21" s="54" t="str">
        <f ca="1">IFERROR(HLOOKUP(DATE($G$3,$H$3,$I$3),'API1'!$B$2:$CR$46,ROW($A24),0)&amp;"","")</f>
        <v>√</v>
      </c>
      <c r="B21" s="54" t="str">
        <f>HLOOKUP(DATE($G$3,$H$3,$I$3),DATA!$C:$CS,ROW($B24),0)&amp;""</f>
        <v>周洋</v>
      </c>
      <c r="C21" s="64" t="str">
        <f t="array" ref="C21">IF($C$1="休息日","查询日休息！",INDEX(DATA!$A:$A,SMALL(COUNTIF($B$1:$B$200,DATA!$A$1:$A$200)/1%%+ROW($A$1:$A$200),ROW(A21)))&amp;"")</f>
        <v/>
      </c>
      <c r="D21" s="65"/>
      <c r="E21" s="65"/>
      <c r="F21" s="65"/>
      <c r="G21" s="65"/>
      <c r="H21" s="65"/>
      <c r="I21" s="65"/>
      <c r="J21" s="69"/>
    </row>
    <row r="22" s="52" customFormat="1" customHeight="1" spans="1:10">
      <c r="A22" s="54" t="str">
        <f ca="1">IFERROR(HLOOKUP(DATE($G$3,$H$3,$I$3),'API1'!$B$2:$CR$46,ROW($A25),0)&amp;"","")</f>
        <v>√</v>
      </c>
      <c r="B22" s="54" t="str">
        <f>HLOOKUP(DATE($G$3,$H$3,$I$3),DATA!$C:$CS,ROW($B25),0)&amp;""</f>
        <v>02-04 10:23</v>
      </c>
      <c r="C22" s="64" t="str">
        <f t="array" ref="C22">IF($C$1="休息日","查询日休息！",INDEX(DATA!$A:$A,SMALL(COUNTIF($B$1:$B$200,DATA!$A$1:$A$200)/1%%+ROW($A$1:$A$200),ROW(A22)))&amp;"")</f>
        <v/>
      </c>
      <c r="D22" s="65"/>
      <c r="E22" s="65"/>
      <c r="F22" s="65"/>
      <c r="G22" s="65"/>
      <c r="H22" s="65"/>
      <c r="I22" s="65"/>
      <c r="J22" s="69"/>
    </row>
    <row r="23" s="52" customFormat="1" customHeight="1" spans="1:10">
      <c r="A23" s="54" t="str">
        <f ca="1">IFERROR(HLOOKUP(DATE($G$3,$H$3,$I$3),'API1'!$B$2:$CR$46,ROW($A26),0)&amp;"","")</f>
        <v>√</v>
      </c>
      <c r="B23" s="54" t="str">
        <f>HLOOKUP(DATE($G$3,$H$3,$I$3),DATA!$C:$CS,ROW($B26),0)&amp;""</f>
        <v/>
      </c>
      <c r="C23" s="64" t="str">
        <f t="array" ref="C23">IF($C$1="休息日","查询日休息！",INDEX(DATA!$A:$A,SMALL(COUNTIF($B$1:$B$200,DATA!$A$1:$A$200)/1%%+ROW($A$1:$A$200),ROW(A23)))&amp;"")</f>
        <v/>
      </c>
      <c r="D23" s="65"/>
      <c r="E23" s="65"/>
      <c r="F23" s="65"/>
      <c r="G23" s="65"/>
      <c r="H23" s="65"/>
      <c r="I23" s="65"/>
      <c r="J23" s="69"/>
    </row>
    <row r="24" s="52" customFormat="1" customHeight="1" spans="1:10">
      <c r="A24" s="54" t="str">
        <f ca="1">IFERROR(HLOOKUP(DATE($G$3,$H$3,$I$3),'API1'!$B$2:$CR$46,ROW($A27),0)&amp;"","")</f>
        <v>√</v>
      </c>
      <c r="B24" s="54" t="str">
        <f>HLOOKUP(DATE($G$3,$H$3,$I$3),DATA!$C:$CS,ROW($B27),0)&amp;""</f>
        <v>黄锐</v>
      </c>
      <c r="C24" s="64" t="str">
        <f t="array" ref="C24">IF($C$1="休息日","查询日休息！",INDEX(DATA!$A:$A,SMALL(COUNTIF($B$1:$B$200,DATA!$A$1:$A$200)/1%%+ROW($A$1:$A$200),ROW(A24)))&amp;"")</f>
        <v/>
      </c>
      <c r="D24" s="65"/>
      <c r="E24" s="65"/>
      <c r="F24" s="65"/>
      <c r="G24" s="65"/>
      <c r="H24" s="65"/>
      <c r="I24" s="65"/>
      <c r="J24" s="69"/>
    </row>
    <row r="25" s="52" customFormat="1" customHeight="1" spans="1:10">
      <c r="A25" s="54" t="str">
        <f ca="1">IFERROR(HLOOKUP(DATE($G$3,$H$3,$I$3),'API1'!$B$2:$CR$46,ROW($A28),0)&amp;"","")</f>
        <v>√</v>
      </c>
      <c r="B25" s="54" t="str">
        <f>HLOOKUP(DATE($G$3,$H$3,$I$3),DATA!$C:$CS,ROW($B28),0)&amp;""</f>
        <v>02-04 09:52</v>
      </c>
      <c r="C25" s="64" t="str">
        <f t="array" ref="C25">IF($C$1="休息日","查询日休息！",INDEX(DATA!$A:$A,SMALL(COUNTIF($B$1:$B$200,DATA!$A$1:$A$200)/1%%+ROW($A$1:$A$200),ROW(A25)))&amp;"")</f>
        <v/>
      </c>
      <c r="D25" s="65"/>
      <c r="E25" s="65"/>
      <c r="F25" s="65"/>
      <c r="G25" s="65"/>
      <c r="H25" s="65"/>
      <c r="I25" s="65"/>
      <c r="J25" s="69"/>
    </row>
    <row r="26" s="52" customFormat="1" customHeight="1" spans="1:10">
      <c r="A26" s="54" t="str">
        <f ca="1">IFERROR(HLOOKUP(DATE($G$3,$H$3,$I$3),'API1'!$B$2:$CR$46,ROW($A29),0)&amp;"","")</f>
        <v>√</v>
      </c>
      <c r="B26" s="54" t="str">
        <f>HLOOKUP(DATE($G$3,$H$3,$I$3),DATA!$C:$CS,ROW($B29),0)&amp;""</f>
        <v/>
      </c>
      <c r="C26" s="64" t="str">
        <f t="array" ref="C26">IF($C$1="休息日","查询日休息！",INDEX(DATA!$A:$A,SMALL(COUNTIF($B$1:$B$200,DATA!$A$1:$A$200)/1%%+ROW($A$1:$A$200),ROW(A26)))&amp;"")</f>
        <v/>
      </c>
      <c r="D26" s="65"/>
      <c r="E26" s="65"/>
      <c r="F26" s="65"/>
      <c r="G26" s="65"/>
      <c r="H26" s="65"/>
      <c r="I26" s="65"/>
      <c r="J26" s="69"/>
    </row>
    <row r="27" s="52" customFormat="1" customHeight="1" spans="1:10">
      <c r="A27" s="54" t="str">
        <f ca="1">IFERROR(HLOOKUP(DATE($G$3,$H$3,$I$3),'API1'!$B$2:$CR$46,ROW($A30),0)&amp;"","")</f>
        <v>√</v>
      </c>
      <c r="B27" s="54" t="str">
        <f>HLOOKUP(DATE($G$3,$H$3,$I$3),DATA!$C:$CS,ROW($B30),0)&amp;""</f>
        <v/>
      </c>
      <c r="C27" s="64" t="str">
        <f t="array" ref="C27">IF($C$1="休息日","查询日休息！",INDEX(DATA!$A:$A,SMALL(COUNTIF($B$1:$B$200,DATA!$A$1:$A$200)/1%%+ROW($A$1:$A$200),ROW(A27)))&amp;"")</f>
        <v/>
      </c>
      <c r="D27" s="65"/>
      <c r="E27" s="65"/>
      <c r="F27" s="65"/>
      <c r="G27" s="65"/>
      <c r="H27" s="65"/>
      <c r="I27" s="65"/>
      <c r="J27" s="69"/>
    </row>
    <row r="28" s="52" customFormat="1" customHeight="1" spans="1:10">
      <c r="A28" s="54" t="str">
        <f ca="1">IFERROR(HLOOKUP(DATE($G$3,$H$3,$I$3),'API1'!$B$2:$CR$46,ROW($A31),0)&amp;"","")</f>
        <v>√</v>
      </c>
      <c r="B28" s="54" t="str">
        <f>HLOOKUP(DATE($G$3,$H$3,$I$3),DATA!$C:$CS,ROW($B31),0)&amp;""</f>
        <v>毛永恒</v>
      </c>
      <c r="C28" s="64" t="str">
        <f t="array" ref="C28">IF($C$1="休息日","查询日休息！",INDEX(DATA!$A:$A,SMALL(COUNTIF($B$1:$B$200,DATA!$A$1:$A$200)/1%%+ROW($A$1:$A$200),ROW(A28)))&amp;"")</f>
        <v/>
      </c>
      <c r="D28" s="65"/>
      <c r="E28" s="65"/>
      <c r="F28" s="65"/>
      <c r="G28" s="65"/>
      <c r="H28" s="65"/>
      <c r="I28" s="65"/>
      <c r="J28" s="69"/>
    </row>
    <row r="29" s="52" customFormat="1" customHeight="1" spans="1:10">
      <c r="A29" s="54" t="str">
        <f ca="1">IFERROR(HLOOKUP(DATE($G$3,$H$3,$I$3),'API1'!$B$2:$CR$46,ROW($A32),0)&amp;"","")</f>
        <v>√</v>
      </c>
      <c r="B29" s="54" t="str">
        <f>HLOOKUP(DATE($G$3,$H$3,$I$3),DATA!$C:$CS,ROW($B32),0)&amp;""</f>
        <v>02-04 09:52</v>
      </c>
      <c r="C29" s="64" t="str">
        <f t="array" ref="C29">IF($C$1="休息日","查询日休息！",INDEX(DATA!$A:$A,SMALL(COUNTIF($B$1:$B$200,DATA!$A$1:$A$200)/1%%+ROW($A$1:$A$200),ROW(A29)))&amp;"")</f>
        <v/>
      </c>
      <c r="D29" s="65"/>
      <c r="E29" s="65"/>
      <c r="F29" s="65"/>
      <c r="G29" s="65"/>
      <c r="H29" s="65"/>
      <c r="I29" s="65"/>
      <c r="J29" s="69"/>
    </row>
    <row r="30" s="52" customFormat="1" customHeight="1" spans="1:10">
      <c r="A30" s="54" t="str">
        <f ca="1">IFERROR(HLOOKUP(DATE($G$3,$H$3,$I$3),'API1'!$B$2:$CR$46,ROW($A33),0)&amp;"","")</f>
        <v>√</v>
      </c>
      <c r="B30" s="54" t="str">
        <f>HLOOKUP(DATE($G$3,$H$3,$I$3),DATA!$C:$CS,ROW($B33),0)&amp;""</f>
        <v/>
      </c>
      <c r="C30" s="64" t="str">
        <f t="array" ref="C30">IF($C$1="休息日","查询日休息！",INDEX(DATA!$A:$A,SMALL(COUNTIF($B$1:$B$200,DATA!$A$1:$A$200)/1%%+ROW($A$1:$A$200),ROW(A30)))&amp;"")</f>
        <v/>
      </c>
      <c r="D30" s="65"/>
      <c r="E30" s="65"/>
      <c r="F30" s="65"/>
      <c r="G30" s="65"/>
      <c r="H30" s="65"/>
      <c r="I30" s="65"/>
      <c r="J30" s="69"/>
    </row>
    <row r="31" s="52" customFormat="1" customHeight="1" spans="1:10">
      <c r="A31" s="54" t="str">
        <f ca="1">IFERROR(HLOOKUP(DATE($G$3,$H$3,$I$3),'API1'!$B$2:$CR$46,ROW($A34),0)&amp;"","")</f>
        <v>√</v>
      </c>
      <c r="B31" s="54" t="str">
        <f>HLOOKUP(DATE($G$3,$H$3,$I$3),DATA!$C:$CS,ROW($B34),0)&amp;""</f>
        <v/>
      </c>
      <c r="C31" s="64" t="str">
        <f t="array" ref="C31">IF($C$1="休息日","查询日休息！",INDEX(DATA!$A:$A,SMALL(COUNTIF($B$1:$B$200,DATA!$A$1:$A$200)/1%%+ROW($A$1:$A$200),ROW(A31)))&amp;"")</f>
        <v/>
      </c>
      <c r="D31" s="65"/>
      <c r="E31" s="65"/>
      <c r="F31" s="65"/>
      <c r="G31" s="65"/>
      <c r="H31" s="65"/>
      <c r="I31" s="65"/>
      <c r="J31" s="69"/>
    </row>
    <row r="32" s="52" customFormat="1" customHeight="1" spans="1:10">
      <c r="A32" s="54" t="str">
        <f ca="1">IFERROR(HLOOKUP(DATE($G$3,$H$3,$I$3),'API1'!$B$2:$CR$46,ROW($A35),0)&amp;"","")</f>
        <v>√</v>
      </c>
      <c r="B32" s="54" t="str">
        <f>HLOOKUP(DATE($G$3,$H$3,$I$3),DATA!$C:$CS,ROW($B35),0)&amp;""</f>
        <v>丁江涛</v>
      </c>
      <c r="C32" s="64" t="str">
        <f t="array" ref="C32">IF($C$1="休息日","查询日休息！",INDEX(DATA!$A:$A,SMALL(COUNTIF($B$1:$B$200,DATA!$A$1:$A$200)/1%%+ROW($A$1:$A$200),ROW(A32)))&amp;"")</f>
        <v/>
      </c>
      <c r="D32" s="65"/>
      <c r="E32" s="65"/>
      <c r="F32" s="65"/>
      <c r="G32" s="65"/>
      <c r="H32" s="65"/>
      <c r="I32" s="65"/>
      <c r="J32" s="69"/>
    </row>
    <row r="33" s="52" customFormat="1" customHeight="1" spans="1:10">
      <c r="A33" s="54" t="str">
        <f ca="1">IFERROR(HLOOKUP(DATE($G$3,$H$3,$I$3),'API1'!$B$2:$CR$46,ROW($A36),0)&amp;"","")</f>
        <v>√</v>
      </c>
      <c r="B33" s="54" t="str">
        <f>HLOOKUP(DATE($G$3,$H$3,$I$3),DATA!$C:$CS,ROW($B36),0)&amp;""</f>
        <v>02-04 09:48</v>
      </c>
      <c r="C33" s="64" t="str">
        <f t="array" ref="C33">IF($C$1="休息日","查询日休息！",INDEX(DATA!$A:$A,SMALL(COUNTIF($B$1:$B$200,DATA!$A$1:$A$200)/1%%+ROW($A$1:$A$200),ROW(A33)))&amp;"")</f>
        <v/>
      </c>
      <c r="D33" s="65"/>
      <c r="E33" s="65"/>
      <c r="F33" s="65"/>
      <c r="G33" s="65"/>
      <c r="H33" s="65"/>
      <c r="I33" s="65"/>
      <c r="J33" s="69"/>
    </row>
    <row r="34" s="52" customFormat="1" customHeight="1" spans="1:10">
      <c r="A34" s="54" t="str">
        <f ca="1">IFERROR(HLOOKUP(DATE($G$3,$H$3,$I$3),'API1'!$B$2:$CR$46,ROW($A37),0)&amp;"","")</f>
        <v>√</v>
      </c>
      <c r="B34" s="54" t="str">
        <f>HLOOKUP(DATE($G$3,$H$3,$I$3),DATA!$C:$CS,ROW($B37),0)&amp;""</f>
        <v/>
      </c>
      <c r="C34" s="64" t="str">
        <f t="array" ref="C34">IF($C$1="休息日","查询日休息！",INDEX(DATA!$A:$A,SMALL(COUNTIF($B$1:$B$200,DATA!$A$1:$A$200)/1%%+ROW($A$1:$A$200),ROW(A34)))&amp;"")</f>
        <v/>
      </c>
      <c r="D34" s="65"/>
      <c r="E34" s="65"/>
      <c r="F34" s="65"/>
      <c r="G34" s="65"/>
      <c r="H34" s="65"/>
      <c r="I34" s="65"/>
      <c r="J34" s="69"/>
    </row>
    <row r="35" s="52" customFormat="1" customHeight="1" spans="1:10">
      <c r="A35" s="54" t="str">
        <f ca="1">IFERROR(HLOOKUP(DATE($G$3,$H$3,$I$3),'API1'!$B$2:$CR$46,ROW($A38),0)&amp;"","")</f>
        <v>√</v>
      </c>
      <c r="B35" s="54" t="str">
        <f>HLOOKUP(DATE($G$3,$H$3,$I$3),DATA!$C:$CS,ROW($B38),0)&amp;""</f>
        <v>朱磊</v>
      </c>
      <c r="C35" s="64" t="str">
        <f t="array" ref="C35">IF($C$1="休息日","查询日休息！",INDEX(DATA!$A:$A,SMALL(COUNTIF($B$1:$B$200,DATA!$A$1:$A$200)/1%%+ROW($A$1:$A$200),ROW(A35)))&amp;"")</f>
        <v/>
      </c>
      <c r="D35" s="65"/>
      <c r="E35" s="65"/>
      <c r="F35" s="65"/>
      <c r="G35" s="65"/>
      <c r="H35" s="65"/>
      <c r="I35" s="65"/>
      <c r="J35" s="69"/>
    </row>
    <row r="36" s="52" customFormat="1" customHeight="1" spans="1:10">
      <c r="A36" s="54" t="str">
        <f ca="1">IFERROR(HLOOKUP(DATE($G$3,$H$3,$I$3),'API1'!$B$2:$CR$46,ROW($A39),0)&amp;"","")</f>
        <v>√</v>
      </c>
      <c r="B36" s="54" t="str">
        <f>HLOOKUP(DATE($G$3,$H$3,$I$3),DATA!$C:$CS,ROW($B39),0)&amp;""</f>
        <v>02-04 09:47</v>
      </c>
      <c r="C36" s="64" t="str">
        <f t="array" ref="C36">IF($C$1="休息日","查询日休息！",INDEX(DATA!$A:$A,SMALL(COUNTIF($B$1:$B$200,DATA!$A$1:$A$200)/1%%+ROW($A$1:$A$200),ROW(A36)))&amp;"")</f>
        <v/>
      </c>
      <c r="D36" s="65"/>
      <c r="E36" s="65"/>
      <c r="F36" s="65"/>
      <c r="G36" s="65"/>
      <c r="H36" s="65"/>
      <c r="I36" s="65"/>
      <c r="J36" s="69"/>
    </row>
    <row r="37" s="52" customFormat="1" customHeight="1" spans="1:10">
      <c r="A37" s="54" t="str">
        <f ca="1">IFERROR(HLOOKUP(DATE($G$3,$H$3,$I$3),'API1'!$B$2:$CR$46,ROW($A40),0)&amp;"","")</f>
        <v>√</v>
      </c>
      <c r="B37" s="54" t="str">
        <f>HLOOKUP(DATE($G$3,$H$3,$I$3),DATA!$C:$CS,ROW($B40),0)&amp;""</f>
        <v/>
      </c>
      <c r="C37" s="64" t="str">
        <f t="array" ref="C37">IF($C$1="休息日","查询日休息！",INDEX(DATA!$A:$A,SMALL(COUNTIF($B$1:$B$200,DATA!$A$1:$A$200)/1%%+ROW($A$1:$A$200),ROW(A37)))&amp;"")</f>
        <v/>
      </c>
      <c r="D37" s="65"/>
      <c r="E37" s="65"/>
      <c r="F37" s="65"/>
      <c r="G37" s="65"/>
      <c r="H37" s="65"/>
      <c r="I37" s="65"/>
      <c r="J37" s="69"/>
    </row>
    <row r="38" s="52" customFormat="1" customHeight="1" spans="1:10">
      <c r="A38" s="54" t="str">
        <f ca="1">IFERROR(HLOOKUP(DATE($G$3,$H$3,$I$3),'API1'!$B$2:$CR$46,ROW($A41),0)&amp;"","")</f>
        <v>√</v>
      </c>
      <c r="B38" s="54" t="str">
        <f>HLOOKUP(DATE($G$3,$H$3,$I$3),DATA!$C:$CS,ROW($B41),0)&amp;""</f>
        <v/>
      </c>
      <c r="C38" s="64" t="str">
        <f t="array" ref="C38">IF($C$1="休息日","查询日休息！",INDEX(DATA!$A:$A,SMALL(COUNTIF($B$1:$B$200,DATA!$A$1:$A$200)/1%%+ROW($A$1:$A$200),ROW(A38)))&amp;"")</f>
        <v/>
      </c>
      <c r="D38" s="65"/>
      <c r="E38" s="65"/>
      <c r="F38" s="65"/>
      <c r="G38" s="65"/>
      <c r="H38" s="65"/>
      <c r="I38" s="65"/>
      <c r="J38" s="69"/>
    </row>
    <row r="39" s="52" customFormat="1" customHeight="1" spans="1:10">
      <c r="A39" s="54" t="str">
        <f ca="1">IFERROR(HLOOKUP(DATE($G$3,$H$3,$I$3),'API1'!$B$2:$CR$46,ROW($A42),0)&amp;"","")</f>
        <v>√</v>
      </c>
      <c r="B39" s="54" t="str">
        <f>HLOOKUP(DATE($G$3,$H$3,$I$3),DATA!$C:$CS,ROW($B42),0)&amp;""</f>
        <v>杨草晖</v>
      </c>
      <c r="C39" s="64" t="str">
        <f t="array" ref="C39">IF($C$1="休息日","查询日休息！",INDEX(DATA!$A:$A,SMALL(COUNTIF($B$1:$B$200,DATA!$A$1:$A$200)/1%%+ROW($A$1:$A$200),ROW(A39)))&amp;"")</f>
        <v/>
      </c>
      <c r="D39" s="65"/>
      <c r="E39" s="65"/>
      <c r="F39" s="65"/>
      <c r="G39" s="65"/>
      <c r="H39" s="65"/>
      <c r="I39" s="65"/>
      <c r="J39" s="69"/>
    </row>
    <row r="40" s="52" customFormat="1" customHeight="1" spans="1:10">
      <c r="A40" s="54" t="str">
        <f ca="1">IFERROR(HLOOKUP(DATE($G$3,$H$3,$I$3),'API1'!$B$2:$CR$46,ROW($A43),0)&amp;"","")</f>
        <v>√</v>
      </c>
      <c r="B40" s="54" t="str">
        <f>HLOOKUP(DATE($G$3,$H$3,$I$3),DATA!$C:$CS,ROW($B43),0)&amp;""</f>
        <v>02-04 09:47</v>
      </c>
      <c r="C40" s="64" t="str">
        <f t="array" ref="C40">IF($C$1="休息日","查询日休息！",INDEX(DATA!$A:$A,SMALL(COUNTIF($B$1:$B$200,DATA!$A$1:$A$200)/1%%+ROW($A$1:$A$200),ROW(A40)))&amp;"")</f>
        <v/>
      </c>
      <c r="D40" s="65"/>
      <c r="E40" s="65"/>
      <c r="F40" s="65"/>
      <c r="G40" s="65"/>
      <c r="H40" s="65"/>
      <c r="I40" s="65"/>
      <c r="J40" s="69"/>
    </row>
    <row r="41" s="52" customFormat="1" customHeight="1" spans="1:10">
      <c r="A41" s="54" t="str">
        <f ca="1">IFERROR(HLOOKUP(DATE($G$3,$H$3,$I$3),'API1'!$B$2:$CR$46,ROW($A44),0)&amp;"","")</f>
        <v>×</v>
      </c>
      <c r="B41" s="54" t="str">
        <f>HLOOKUP(DATE($G$3,$H$3,$I$3),DATA!$C:$CS,ROW($B44),0)&amp;""</f>
        <v/>
      </c>
      <c r="C41" s="64" t="str">
        <f t="array" ref="C41">IF($C$1="休息日","查询日休息！",INDEX(DATA!$A:$A,SMALL(COUNTIF($B$1:$B$200,DATA!$A$1:$A$200)/1%%+ROW($A$1:$A$200),ROW(A41)))&amp;"")</f>
        <v/>
      </c>
      <c r="D41" s="65"/>
      <c r="E41" s="65"/>
      <c r="F41" s="65"/>
      <c r="G41" s="65"/>
      <c r="H41" s="65"/>
      <c r="I41" s="65"/>
      <c r="J41" s="69"/>
    </row>
    <row r="42" s="52" customFormat="1" customHeight="1" spans="1:10">
      <c r="A42" s="54" t="str">
        <f ca="1">IFERROR(HLOOKUP(DATE($G$3,$H$3,$I$3),'API1'!$B$2:$CR$46,ROW($A45),0)&amp;"","")</f>
        <v/>
      </c>
      <c r="B42" s="54" t="str">
        <f>HLOOKUP(DATE($G$3,$H$3,$I$3),DATA!$C:$CS,ROW($B45),0)&amp;""</f>
        <v/>
      </c>
      <c r="C42" s="64" t="str">
        <f t="array" ref="C42">IF($C$1="休息日","查询日休息！",INDEX(DATA!$A:$A,SMALL(COUNTIF($B$1:$B$200,DATA!$A$1:$A$200)/1%%+ROW($A$1:$A$200),ROW(A42)))&amp;"")</f>
        <v/>
      </c>
      <c r="D42" s="65"/>
      <c r="E42" s="65"/>
      <c r="F42" s="65"/>
      <c r="G42" s="65"/>
      <c r="H42" s="65"/>
      <c r="I42" s="65"/>
      <c r="J42" s="69"/>
    </row>
    <row r="43" s="52" customFormat="1" customHeight="1" spans="1:10">
      <c r="A43" s="54" t="str">
        <f ca="1">IFERROR(HLOOKUP(DATE($G$3,$H$3,$I$3),'API1'!$B$2:$CR$46,ROW($A46),0)&amp;"","")</f>
        <v/>
      </c>
      <c r="B43" s="54" t="str">
        <f>HLOOKUP(DATE($G$3,$H$3,$I$3),DATA!$C:$CS,ROW($B46),0)&amp;""</f>
        <v>乔坤</v>
      </c>
      <c r="C43" s="64" t="str">
        <f t="array" ref="C43">IF($C$1="休息日","查询日休息！",INDEX(DATA!$A:$A,SMALL(COUNTIF($B$1:$B$200,DATA!$A$1:$A$200)/1%%+ROW($A$1:$A$200),ROW(A43)))&amp;"")</f>
        <v/>
      </c>
      <c r="D43" s="65"/>
      <c r="E43" s="65"/>
      <c r="F43" s="65"/>
      <c r="G43" s="65"/>
      <c r="H43" s="65"/>
      <c r="I43" s="65"/>
      <c r="J43" s="69"/>
    </row>
    <row r="44" s="52" customFormat="1" customHeight="1" spans="1:10">
      <c r="A44" s="54" t="str">
        <f ca="1">IFERROR(HLOOKUP(DATE($G$3,$H$3,$I$3),'API1'!$B$2:$CR$46,ROW($A47),0)&amp;"","")</f>
        <v/>
      </c>
      <c r="B44" s="54" t="str">
        <f>HLOOKUP(DATE($G$3,$H$3,$I$3),DATA!$C:$CS,ROW($B47),0)&amp;""</f>
        <v>02-04 09:31</v>
      </c>
      <c r="C44" s="64" t="str">
        <f t="array" ref="C44">IF($C$1="休息日","查询日休息！",INDEX(DATA!$A:$A,SMALL(COUNTIF($B$1:$B$200,DATA!$A$1:$A$200)/1%%+ROW($A$1:$A$200),ROW(A44)))&amp;"")</f>
        <v/>
      </c>
      <c r="D44" s="65"/>
      <c r="E44" s="65"/>
      <c r="F44" s="65"/>
      <c r="G44" s="65"/>
      <c r="H44" s="65"/>
      <c r="I44" s="65"/>
      <c r="J44" s="69"/>
    </row>
    <row r="45" s="52" customFormat="1" customHeight="1" spans="1:10">
      <c r="A45" s="54" t="str">
        <f ca="1">IFERROR(HLOOKUP(DATE($G$3,$H$3,$I$3),'API1'!$B$2:$CR$46,ROW($A48),0)&amp;"","")</f>
        <v/>
      </c>
      <c r="B45" s="54" t="str">
        <f>HLOOKUP(DATE($G$3,$H$3,$I$3),DATA!$C:$CS,ROW($B48),0)&amp;""</f>
        <v/>
      </c>
      <c r="C45" s="64" t="str">
        <f t="array" ref="C45">IF($C$1="休息日","查询日休息！",INDEX(DATA!$A:$A,SMALL(COUNTIF($B$1:$B$200,DATA!$A$1:$A$200)/1%%+ROW($A$1:$A$200),ROW(A45)))&amp;"")</f>
        <v/>
      </c>
      <c r="D45" s="65"/>
      <c r="E45" s="65"/>
      <c r="F45" s="65"/>
      <c r="G45" s="65"/>
      <c r="H45" s="65"/>
      <c r="I45" s="65"/>
      <c r="J45" s="69"/>
    </row>
    <row r="46" s="52" customFormat="1" customHeight="1" spans="1:10">
      <c r="A46" s="54" t="str">
        <f ca="1">IFERROR(HLOOKUP(DATE($G$3,$H$3,$I$3),'API1'!$B$2:$CR$46,ROW($A49),0)&amp;"","")</f>
        <v/>
      </c>
      <c r="B46" s="54" t="str">
        <f>HLOOKUP(DATE($G$3,$H$3,$I$3),DATA!$C:$CS,ROW($B49),0)&amp;""</f>
        <v>余飞</v>
      </c>
      <c r="C46" s="64" t="str">
        <f t="array" ref="C46">IF($C$1="休息日","查询日休息！",INDEX(DATA!$A:$A,SMALL(COUNTIF($B$1:$B$200,DATA!$A$1:$A$200)/1%%+ROW($A$1:$A$200),ROW(A46)))&amp;"")</f>
        <v/>
      </c>
      <c r="D46" s="65"/>
      <c r="E46" s="65"/>
      <c r="F46" s="65"/>
      <c r="G46" s="65"/>
      <c r="H46" s="65"/>
      <c r="I46" s="65"/>
      <c r="J46" s="69"/>
    </row>
    <row r="47" s="52" customFormat="1" customHeight="1" spans="1:10">
      <c r="A47" s="54" t="str">
        <f ca="1">IFERROR(HLOOKUP(DATE($G$3,$H$3,$I$3),'API1'!$B$2:$CR$46,ROW($A50),0)&amp;"","")</f>
        <v/>
      </c>
      <c r="B47" s="54" t="str">
        <f>HLOOKUP(DATE($G$3,$H$3,$I$3),DATA!$C:$CS,ROW($B50),0)&amp;""</f>
        <v>02-04 09:10</v>
      </c>
      <c r="C47" s="64" t="str">
        <f t="array" ref="C47">IF($C$1="休息日","查询日休息！",INDEX(DATA!$A:$A,SMALL(COUNTIF($B$1:$B$200,DATA!$A$1:$A$200)/1%%+ROW($A$1:$A$200),ROW(A47)))&amp;"")</f>
        <v/>
      </c>
      <c r="D47" s="65"/>
      <c r="E47" s="65"/>
      <c r="F47" s="65"/>
      <c r="G47" s="65"/>
      <c r="H47" s="65"/>
      <c r="I47" s="65"/>
      <c r="J47" s="69"/>
    </row>
    <row r="48" s="52" customFormat="1" customHeight="1" spans="1:10">
      <c r="A48" s="54" t="str">
        <f ca="1">IFERROR(HLOOKUP(DATE($G$3,$H$3,$I$3),'API1'!$B$2:$CR$46,ROW($A51),0)&amp;"","")</f>
        <v/>
      </c>
      <c r="B48" s="54" t="str">
        <f>HLOOKUP(DATE($G$3,$H$3,$I$3),DATA!$C:$CS,ROW($B51),0)&amp;""</f>
        <v/>
      </c>
      <c r="C48" s="64" t="str">
        <f t="array" ref="C48">IF($C$1="休息日","查询日休息！",INDEX(DATA!$A:$A,SMALL(COUNTIF($B$1:$B$200,DATA!$A$1:$A$200)/1%%+ROW($A$1:$A$200),ROW(A48)))&amp;"")</f>
        <v/>
      </c>
      <c r="D48" s="65"/>
      <c r="E48" s="65"/>
      <c r="F48" s="65"/>
      <c r="G48" s="65"/>
      <c r="H48" s="65"/>
      <c r="I48" s="65"/>
      <c r="J48" s="69"/>
    </row>
    <row r="49" s="52" customFormat="1" customHeight="1" spans="1:10">
      <c r="A49" s="54" t="str">
        <f ca="1">IFERROR(HLOOKUP(DATE($G$3,$H$3,$I$3),'API1'!$B$2:$CR$46,ROW($A52),0)&amp;"","")</f>
        <v/>
      </c>
      <c r="B49" s="54" t="str">
        <f>HLOOKUP(DATE($G$3,$H$3,$I$3),DATA!$C:$CS,ROW($B52),0)&amp;""</f>
        <v/>
      </c>
      <c r="C49" s="64" t="str">
        <f t="array" ref="C49">IF($C$1="休息日","查询日休息！",INDEX(DATA!$A:$A,SMALL(COUNTIF($B$1:$B$200,DATA!$A$1:$A$200)/1%%+ROW($A$1:$A$200),ROW(A49)))&amp;"")</f>
        <v/>
      </c>
      <c r="D49" s="65"/>
      <c r="E49" s="65"/>
      <c r="F49" s="65"/>
      <c r="G49" s="65"/>
      <c r="H49" s="65"/>
      <c r="I49" s="65"/>
      <c r="J49" s="69"/>
    </row>
    <row r="50" s="52" customFormat="1" customHeight="1" spans="1:10">
      <c r="A50" s="54" t="str">
        <f ca="1">IFERROR(HLOOKUP(DATE($G$3,$H$3,$I$3),'API1'!$B$2:$CR$46,ROW($A53),0)&amp;"","")</f>
        <v/>
      </c>
      <c r="B50" s="54" t="str">
        <f>HLOOKUP(DATE($G$3,$H$3,$I$3),DATA!$C:$CS,ROW($B53),0)&amp;""</f>
        <v>柯雨婷</v>
      </c>
      <c r="C50" s="64" t="str">
        <f t="array" ref="C50">IF($C$1="休息日","查询日休息！",INDEX(DATA!$A:$A,SMALL(COUNTIF($B$1:$B$200,DATA!$A$1:$A$200)/1%%+ROW($A$1:$A$200),ROW(A50)))&amp;"")</f>
        <v/>
      </c>
      <c r="D50" s="65"/>
      <c r="E50" s="65"/>
      <c r="F50" s="65"/>
      <c r="G50" s="65"/>
      <c r="H50" s="65"/>
      <c r="I50" s="65"/>
      <c r="J50" s="69"/>
    </row>
    <row r="51" s="52" customFormat="1" customHeight="1" spans="1:10">
      <c r="A51" s="54" t="str">
        <f ca="1">IFERROR(HLOOKUP(DATE($G$3,$H$3,$I$3),'API1'!$B$2:$CR$46,ROW($A54),0)&amp;"","")</f>
        <v/>
      </c>
      <c r="B51" s="54" t="str">
        <f>HLOOKUP(DATE($G$3,$H$3,$I$3),DATA!$C:$CS,ROW($B54),0)&amp;""</f>
        <v>02-04 08:56</v>
      </c>
      <c r="C51" s="64" t="str">
        <f t="array" ref="C51">IF($C$1="休息日","查询日休息！",INDEX(DATA!$A:$A,SMALL(COUNTIF($B$1:$B$200,DATA!$A$1:$A$200)/1%%+ROW($A$1:$A$200),ROW(A51)))&amp;"")</f>
        <v/>
      </c>
      <c r="D51" s="65"/>
      <c r="E51" s="65"/>
      <c r="F51" s="65"/>
      <c r="G51" s="65"/>
      <c r="H51" s="65"/>
      <c r="I51" s="65"/>
      <c r="J51" s="69"/>
    </row>
    <row r="52" s="52" customFormat="1" customHeight="1" spans="1:10">
      <c r="A52" s="54" t="str">
        <f ca="1">IFERROR(HLOOKUP(DATE($G$3,$H$3,$I$3),'API1'!$B$2:$CR$46,ROW($A55),0)&amp;"","")</f>
        <v/>
      </c>
      <c r="B52" s="54" t="str">
        <f>HLOOKUP(DATE($G$3,$H$3,$I$3),DATA!$C:$CS,ROW($B55),0)&amp;""</f>
        <v/>
      </c>
      <c r="C52" s="64" t="str">
        <f t="array" ref="C52">IF($C$1="休息日","查询日休息！",INDEX(DATA!$A:$A,SMALL(COUNTIF($B$1:$B$200,DATA!$A$1:$A$200)/1%%+ROW($A$1:$A$200),ROW(A52)))&amp;"")</f>
        <v/>
      </c>
      <c r="D52" s="65"/>
      <c r="E52" s="65"/>
      <c r="F52" s="65"/>
      <c r="G52" s="65"/>
      <c r="H52" s="65"/>
      <c r="I52" s="65"/>
      <c r="J52" s="69"/>
    </row>
    <row r="53" s="52" customFormat="1" customHeight="1" spans="1:10">
      <c r="A53" s="54" t="str">
        <f ca="1">IFERROR(HLOOKUP(DATE($G$3,$H$3,$I$3),'API1'!$B$2:$CR$46,ROW($A56),0)&amp;"","")</f>
        <v/>
      </c>
      <c r="B53" s="54" t="str">
        <f>HLOOKUP(DATE($G$3,$H$3,$I$3),DATA!$C:$CS,ROW($B56),0)&amp;""</f>
        <v/>
      </c>
      <c r="C53" s="64" t="str">
        <f t="array" ref="C53">IF($C$1="休息日","查询日休息！",INDEX(DATA!$A:$A,SMALL(COUNTIF($B$1:$B$200,DATA!$A$1:$A$200)/1%%+ROW($A$1:$A$200),ROW(A53)))&amp;"")</f>
        <v/>
      </c>
      <c r="D53" s="65"/>
      <c r="E53" s="65"/>
      <c r="F53" s="65"/>
      <c r="G53" s="65"/>
      <c r="H53" s="65"/>
      <c r="I53" s="65"/>
      <c r="J53" s="69"/>
    </row>
    <row r="54" s="52" customFormat="1" customHeight="1" spans="1:10">
      <c r="A54" s="54" t="str">
        <f ca="1">IFERROR(HLOOKUP(DATE($G$3,$H$3,$I$3),'API1'!$B$2:$CR$46,ROW($A57),0)&amp;"","")</f>
        <v/>
      </c>
      <c r="B54" s="54" t="str">
        <f>HLOOKUP(DATE($G$3,$H$3,$I$3),DATA!$C:$CS,ROW($B57),0)&amp;""</f>
        <v>吴自强</v>
      </c>
      <c r="C54" s="64" t="str">
        <f t="array" ref="C54">IF($C$1="休息日","查询日休息！",INDEX(DATA!$A:$A,SMALL(COUNTIF($B$1:$B$200,DATA!$A$1:$A$200)/1%%+ROW($A$1:$A$200),ROW(A54)))&amp;"")</f>
        <v/>
      </c>
      <c r="D54" s="65"/>
      <c r="E54" s="65"/>
      <c r="F54" s="65"/>
      <c r="G54" s="65"/>
      <c r="H54" s="65"/>
      <c r="I54" s="65"/>
      <c r="J54" s="69"/>
    </row>
    <row r="55" s="52" customFormat="1" customHeight="1" spans="1:10">
      <c r="A55" s="54" t="str">
        <f ca="1">IFERROR(HLOOKUP(DATE($G$3,$H$3,$I$3),'API1'!$B$2:$CR$46,ROW($A58),0)&amp;"","")</f>
        <v/>
      </c>
      <c r="B55" s="54" t="str">
        <f>HLOOKUP(DATE($G$3,$H$3,$I$3),DATA!$C:$CS,ROW($B58),0)&amp;""</f>
        <v>02-04 08:54</v>
      </c>
      <c r="C55" s="64" t="str">
        <f t="array" ref="C55">IF($C$1="休息日","查询日休息！",INDEX(DATA!$A:$A,SMALL(COUNTIF($B$1:$B$200,DATA!$A$1:$A$200)/1%%+ROW($A$1:$A$200),ROW(A55)))&amp;"")</f>
        <v/>
      </c>
      <c r="D55" s="65"/>
      <c r="E55" s="65"/>
      <c r="F55" s="65"/>
      <c r="G55" s="65"/>
      <c r="H55" s="65"/>
      <c r="I55" s="65"/>
      <c r="J55" s="69"/>
    </row>
    <row r="56" s="52" customFormat="1" customHeight="1" spans="1:10">
      <c r="A56" s="54" t="str">
        <f ca="1">IFERROR(HLOOKUP(DATE($G$3,$H$3,$I$3),'API1'!$B$2:$CR$46,ROW($A59),0)&amp;"","")</f>
        <v/>
      </c>
      <c r="B56" s="54" t="str">
        <f>HLOOKUP(DATE($G$3,$H$3,$I$3),DATA!$C:$CS,ROW($B59),0)&amp;""</f>
        <v/>
      </c>
      <c r="C56" s="64" t="str">
        <f t="array" ref="C56">IF($C$1="休息日","查询日休息！",INDEX(DATA!$A:$A,SMALL(COUNTIF($B$1:$B$200,DATA!$A$1:$A$200)/1%%+ROW($A$1:$A$200),ROW(A56)))&amp;"")</f>
        <v/>
      </c>
      <c r="D56" s="65"/>
      <c r="E56" s="65"/>
      <c r="F56" s="65"/>
      <c r="G56" s="65"/>
      <c r="H56" s="65"/>
      <c r="I56" s="65"/>
      <c r="J56" s="69"/>
    </row>
    <row r="57" s="52" customFormat="1" customHeight="1" spans="1:10">
      <c r="A57" s="54" t="str">
        <f ca="1">IFERROR(HLOOKUP(DATE($G$3,$H$3,$I$3),'API1'!$B$2:$CR$46,ROW($A60),0)&amp;"","")</f>
        <v/>
      </c>
      <c r="B57" s="54" t="str">
        <f>HLOOKUP(DATE($G$3,$H$3,$I$3),DATA!$C:$CS,ROW($B60),0)&amp;""</f>
        <v>丁江</v>
      </c>
      <c r="C57" s="64" t="str">
        <f t="array" ref="C57">IF($C$1="休息日","查询日休息！",INDEX(DATA!$A:$A,SMALL(COUNTIF($B$1:$B$200,DATA!$A$1:$A$200)/1%%+ROW($A$1:$A$200),ROW(A57)))&amp;"")</f>
        <v/>
      </c>
      <c r="D57" s="65"/>
      <c r="E57" s="65"/>
      <c r="F57" s="65"/>
      <c r="G57" s="65"/>
      <c r="H57" s="65"/>
      <c r="I57" s="65"/>
      <c r="J57" s="69"/>
    </row>
    <row r="58" s="52" customFormat="1" customHeight="1" spans="1:10">
      <c r="A58" s="54" t="str">
        <f ca="1">IFERROR(HLOOKUP(DATE($G$3,$H$3,$I$3),'API1'!$B$2:$CR$46,ROW($A61),0)&amp;"","")</f>
        <v/>
      </c>
      <c r="B58" s="54" t="str">
        <f>HLOOKUP(DATE($G$3,$H$3,$I$3),DATA!$C:$CS,ROW($B61),0)&amp;""</f>
        <v>02-04 08:52</v>
      </c>
      <c r="C58" s="64" t="str">
        <f t="array" ref="C58">IF($C$1="休息日","查询日休息！",INDEX(DATA!$A:$A,SMALL(COUNTIF($B$1:$B$200,DATA!$A$1:$A$200)/1%%+ROW($A$1:$A$200),ROW(A58)))&amp;"")</f>
        <v/>
      </c>
      <c r="D58" s="65"/>
      <c r="E58" s="65"/>
      <c r="F58" s="65"/>
      <c r="G58" s="65"/>
      <c r="H58" s="65"/>
      <c r="I58" s="65"/>
      <c r="J58" s="69"/>
    </row>
    <row r="59" s="52" customFormat="1" customHeight="1" spans="1:10">
      <c r="A59" s="54" t="str">
        <f ca="1">IFERROR(HLOOKUP(DATE($G$3,$H$3,$I$3),'API1'!$B$2:$CR$46,ROW($A62),0)&amp;"","")</f>
        <v/>
      </c>
      <c r="B59" s="54" t="str">
        <f>HLOOKUP(DATE($G$3,$H$3,$I$3),DATA!$C:$CS,ROW($B62),0)&amp;""</f>
        <v/>
      </c>
      <c r="C59" s="64" t="str">
        <f t="array" ref="C59">IF($C$1="休息日","查询日休息！",INDEX(DATA!$A:$A,SMALL(COUNTIF($B$1:$B$200,DATA!$A$1:$A$200)/1%%+ROW($A$1:$A$200),ROW(A59)))&amp;"")</f>
        <v/>
      </c>
      <c r="D59" s="65"/>
      <c r="E59" s="65"/>
      <c r="F59" s="65"/>
      <c r="G59" s="65"/>
      <c r="H59" s="65"/>
      <c r="I59" s="65"/>
      <c r="J59" s="69"/>
    </row>
    <row r="60" s="52" customFormat="1" customHeight="1" spans="1:10">
      <c r="A60" s="54" t="str">
        <f ca="1">IFERROR(HLOOKUP(DATE($G$3,$H$3,$I$3),'API1'!$B$2:$CR$46,ROW($A63),0)&amp;"","")</f>
        <v/>
      </c>
      <c r="B60" s="54" t="str">
        <f>HLOOKUP(DATE($G$3,$H$3,$I$3),DATA!$C:$CS,ROW($B63),0)&amp;""</f>
        <v/>
      </c>
      <c r="C60" s="64" t="str">
        <f t="array" ref="C60">IF($C$1="休息日","查询日休息！",INDEX(DATA!$A:$A,SMALL(COUNTIF($B$1:$B$200,DATA!$A$1:$A$200)/1%%+ROW($A$1:$A$200),ROW(A60)))&amp;"")</f>
        <v/>
      </c>
      <c r="D60" s="65"/>
      <c r="E60" s="65"/>
      <c r="F60" s="65"/>
      <c r="G60" s="65"/>
      <c r="H60" s="65"/>
      <c r="I60" s="65"/>
      <c r="J60" s="69"/>
    </row>
    <row r="61" s="52" customFormat="1" customHeight="1" spans="1:10">
      <c r="A61" s="54" t="str">
        <f ca="1">IFERROR(HLOOKUP(DATE($G$3,$H$3,$I$3),'API1'!$B$2:$CR$46,ROW($A64),0)&amp;"","")</f>
        <v/>
      </c>
      <c r="B61" s="54" t="str">
        <f>HLOOKUP(DATE($G$3,$H$3,$I$3),DATA!$C:$CS,ROW($B64),0)&amp;""</f>
        <v>柯常铝</v>
      </c>
      <c r="C61" s="64" t="str">
        <f t="array" ref="C61">IF($C$1="休息日","查询日休息！",INDEX(DATA!$A:$A,SMALL(COUNTIF($B$1:$B$200,DATA!$A$1:$A$200)/1%%+ROW($A$1:$A$200),ROW(A61)))&amp;"")</f>
        <v/>
      </c>
      <c r="D61" s="65"/>
      <c r="E61" s="65"/>
      <c r="F61" s="65"/>
      <c r="G61" s="65"/>
      <c r="H61" s="65"/>
      <c r="I61" s="65"/>
      <c r="J61" s="69"/>
    </row>
    <row r="62" s="52" customFormat="1" customHeight="1" spans="1:10">
      <c r="A62" s="54" t="str">
        <f ca="1">IFERROR(HLOOKUP(DATE($G$3,$H$3,$I$3),'API1'!$B$2:$CR$46,ROW($A65),0)&amp;"","")</f>
        <v/>
      </c>
      <c r="B62" s="54" t="str">
        <f>HLOOKUP(DATE($G$3,$H$3,$I$3),DATA!$C:$CS,ROW($B65),0)&amp;""</f>
        <v>02-04 08:49</v>
      </c>
      <c r="C62" s="64" t="str">
        <f t="array" ref="C62">IF($C$1="休息日","查询日休息！",INDEX(DATA!$A:$A,SMALL(COUNTIF($B$1:$B$200,DATA!$A$1:$A$200)/1%%+ROW($A$1:$A$200),ROW(A62)))&amp;"")</f>
        <v/>
      </c>
      <c r="D62" s="65"/>
      <c r="E62" s="65"/>
      <c r="F62" s="65"/>
      <c r="G62" s="65"/>
      <c r="H62" s="65"/>
      <c r="I62" s="65"/>
      <c r="J62" s="69"/>
    </row>
    <row r="63" s="52" customFormat="1" customHeight="1" spans="1:10">
      <c r="A63" s="54" t="str">
        <f ca="1">IFERROR(HLOOKUP(DATE($G$3,$H$3,$I$3),'API1'!$B$2:$CR$46,ROW($A66),0)&amp;"","")</f>
        <v/>
      </c>
      <c r="B63" s="54" t="str">
        <f>HLOOKUP(DATE($G$3,$H$3,$I$3),DATA!$C:$CS,ROW($B66),0)&amp;""</f>
        <v/>
      </c>
      <c r="C63" s="64" t="str">
        <f t="array" ref="C63">IF($C$1="休息日","查询日休息！",INDEX(DATA!$A:$A,SMALL(COUNTIF($B$1:$B$200,DATA!$A$1:$A$200)/1%%+ROW($A$1:$A$200),ROW(A63)))&amp;"")</f>
        <v/>
      </c>
      <c r="D63" s="65"/>
      <c r="E63" s="65"/>
      <c r="F63" s="65"/>
      <c r="G63" s="65"/>
      <c r="H63" s="65"/>
      <c r="I63" s="65"/>
      <c r="J63" s="69"/>
    </row>
    <row r="64" s="52" customFormat="1" customHeight="1" spans="1:10">
      <c r="A64" s="54" t="str">
        <f ca="1">IFERROR(HLOOKUP(DATE($G$3,$H$3,$I$3),'API1'!$B$2:$CR$46,ROW($A67),0)&amp;"","")</f>
        <v/>
      </c>
      <c r="B64" s="54" t="str">
        <f>HLOOKUP(DATE($G$3,$H$3,$I$3),DATA!$C:$CS,ROW($B67),0)&amp;""</f>
        <v/>
      </c>
      <c r="C64" s="64" t="str">
        <f t="array" ref="C64">IF($C$1="休息日","查询日休息！",INDEX(DATA!$A:$A,SMALL(COUNTIF($B$1:$B$200,DATA!$A$1:$A$200)/1%%+ROW($A$1:$A$200),ROW(A64)))&amp;"")</f>
        <v/>
      </c>
      <c r="D64" s="65"/>
      <c r="E64" s="65"/>
      <c r="F64" s="65"/>
      <c r="G64" s="65"/>
      <c r="H64" s="65"/>
      <c r="I64" s="65"/>
      <c r="J64" s="69"/>
    </row>
    <row r="65" s="52" customFormat="1" customHeight="1" spans="1:10">
      <c r="A65" s="54" t="str">
        <f ca="1">IFERROR(HLOOKUP(DATE($G$3,$H$3,$I$3),'API1'!$B$2:$CR$46,ROW($A68),0)&amp;"","")</f>
        <v/>
      </c>
      <c r="B65" s="54" t="str">
        <f>HLOOKUP(DATE($G$3,$H$3,$I$3),DATA!$C:$CS,ROW($B68),0)&amp;""</f>
        <v>余良成</v>
      </c>
      <c r="C65" s="64" t="str">
        <f t="array" ref="C65">IF($C$1="休息日","查询日休息！",INDEX(DATA!$A:$A,SMALL(COUNTIF($B$1:$B$200,DATA!$A$1:$A$200)/1%%+ROW($A$1:$A$200),ROW(A65)))&amp;"")</f>
        <v/>
      </c>
      <c r="D65" s="65"/>
      <c r="E65" s="65"/>
      <c r="F65" s="65"/>
      <c r="G65" s="65"/>
      <c r="H65" s="65"/>
      <c r="I65" s="65"/>
      <c r="J65" s="69"/>
    </row>
    <row r="66" s="52" customFormat="1" customHeight="1" spans="1:10">
      <c r="A66" s="54" t="str">
        <f ca="1">IFERROR(HLOOKUP(DATE($G$3,$H$3,$I$3),'API1'!$B$2:$CR$46,ROW($A69),0)&amp;"","")</f>
        <v/>
      </c>
      <c r="B66" s="54" t="str">
        <f>HLOOKUP(DATE($G$3,$H$3,$I$3),DATA!$C:$CS,ROW($B69),0)&amp;""</f>
        <v>02-04 08:48</v>
      </c>
      <c r="C66" s="64" t="str">
        <f t="array" ref="C66">IF($C$1="休息日","查询日休息！",INDEX(DATA!$A:$A,SMALL(COUNTIF($B$1:$B$200,DATA!$A$1:$A$200)/1%%+ROW($A$1:$A$200),ROW(A66)))&amp;"")</f>
        <v/>
      </c>
      <c r="D66" s="65"/>
      <c r="E66" s="65"/>
      <c r="F66" s="65"/>
      <c r="G66" s="65"/>
      <c r="H66" s="65"/>
      <c r="I66" s="65"/>
      <c r="J66" s="69"/>
    </row>
    <row r="67" s="52" customFormat="1" customHeight="1" spans="1:10">
      <c r="A67" s="54" t="str">
        <f ca="1">IFERROR(HLOOKUP(DATE($G$3,$H$3,$I$3),'API1'!$B$2:$CR$46,ROW($A70),0)&amp;"","")</f>
        <v/>
      </c>
      <c r="B67" s="54" t="str">
        <f>HLOOKUP(DATE($G$3,$H$3,$I$3),DATA!$C:$CS,ROW($B70),0)&amp;""</f>
        <v/>
      </c>
      <c r="C67" s="64" t="str">
        <f t="array" ref="C67">IF($C$1="休息日","查询日休息！",INDEX(DATA!$A:$A,SMALL(COUNTIF($B$1:$B$200,DATA!$A$1:$A$200)/1%%+ROW($A$1:$A$200),ROW(A67)))&amp;"")</f>
        <v/>
      </c>
      <c r="D67" s="65"/>
      <c r="E67" s="65"/>
      <c r="F67" s="65"/>
      <c r="G67" s="65"/>
      <c r="H67" s="65"/>
      <c r="I67" s="65"/>
      <c r="J67" s="69"/>
    </row>
    <row r="68" s="52" customFormat="1" customHeight="1" spans="1:10">
      <c r="A68" s="54" t="str">
        <f ca="1">IFERROR(HLOOKUP(DATE($G$3,$H$3,$I$3),'API1'!$B$2:$CR$46,ROW($A71),0)&amp;"","")</f>
        <v/>
      </c>
      <c r="B68" s="54" t="str">
        <f>HLOOKUP(DATE($G$3,$H$3,$I$3),DATA!$C:$CS,ROW($B71),0)&amp;""</f>
        <v>翁凯凯</v>
      </c>
      <c r="C68" s="64" t="str">
        <f t="array" ref="C68">IF($C$1="休息日","查询日休息！",INDEX(DATA!$A:$A,SMALL(COUNTIF($B$1:$B$200,DATA!$A$1:$A$200)/1%%+ROW($A$1:$A$200),ROW(A68)))&amp;"")</f>
        <v/>
      </c>
      <c r="D68" s="65"/>
      <c r="E68" s="65"/>
      <c r="F68" s="65"/>
      <c r="G68" s="65"/>
      <c r="H68" s="65"/>
      <c r="I68" s="65"/>
      <c r="J68" s="69"/>
    </row>
    <row r="69" s="52" customFormat="1" customHeight="1" spans="1:10">
      <c r="A69" s="54" t="str">
        <f ca="1">IFERROR(HLOOKUP(DATE($G$3,$H$3,$I$3),'API1'!$B$2:$CR$46,ROW($A72),0)&amp;"","")</f>
        <v/>
      </c>
      <c r="B69" s="54" t="str">
        <f>HLOOKUP(DATE($G$3,$H$3,$I$3),DATA!$C:$CS,ROW($B72),0)&amp;""</f>
        <v>02-04 08:37</v>
      </c>
      <c r="C69" s="64" t="str">
        <f t="array" ref="C69">IF($C$1="休息日","查询日休息！",INDEX(DATA!$A:$A,SMALL(COUNTIF($B$1:$B$200,DATA!$A$1:$A$200)/1%%+ROW($A$1:$A$200),ROW(A69)))&amp;"")</f>
        <v/>
      </c>
      <c r="D69" s="65"/>
      <c r="E69" s="65"/>
      <c r="F69" s="65"/>
      <c r="G69" s="65"/>
      <c r="H69" s="65"/>
      <c r="I69" s="65"/>
      <c r="J69" s="69"/>
    </row>
    <row r="70" s="52" customFormat="1" customHeight="1" spans="1:10">
      <c r="A70" s="54" t="str">
        <f ca="1">IFERROR(HLOOKUP(DATE($G$3,$H$3,$I$3),'API1'!$B$2:$CR$46,ROW($A73),0)&amp;"","")</f>
        <v/>
      </c>
      <c r="B70" s="54" t="str">
        <f>HLOOKUP(DATE($G$3,$H$3,$I$3),DATA!$C:$CS,ROW($B73),0)&amp;""</f>
        <v/>
      </c>
      <c r="C70" s="64" t="str">
        <f t="array" ref="C70">IF($C$1="休息日","查询日休息！",INDEX(DATA!$A:$A,SMALL(COUNTIF($B$1:$B$200,DATA!$A$1:$A$200)/1%%+ROW($A$1:$A$200),ROW(A70)))&amp;"")</f>
        <v/>
      </c>
      <c r="D70" s="65"/>
      <c r="E70" s="65"/>
      <c r="F70" s="65"/>
      <c r="G70" s="65"/>
      <c r="H70" s="65"/>
      <c r="I70" s="65"/>
      <c r="J70" s="69"/>
    </row>
    <row r="71" s="52" customFormat="1" customHeight="1" spans="1:10">
      <c r="A71" s="54" t="str">
        <f ca="1">IFERROR(HLOOKUP(DATE($G$3,$H$3,$I$3),'API1'!$B$2:$CR$46,ROW($A74),0)&amp;"","")</f>
        <v/>
      </c>
      <c r="B71" s="54" t="str">
        <f>HLOOKUP(DATE($G$3,$H$3,$I$3),DATA!$C:$CS,ROW($B74),0)&amp;""</f>
        <v/>
      </c>
      <c r="C71" s="64" t="str">
        <f t="array" ref="C71">IF($C$1="休息日","查询日休息！",INDEX(DATA!$A:$A,SMALL(COUNTIF($B$1:$B$200,DATA!$A$1:$A$200)/1%%+ROW($A$1:$A$200),ROW(A71)))&amp;"")</f>
        <v/>
      </c>
      <c r="D71" s="65"/>
      <c r="E71" s="65"/>
      <c r="F71" s="65"/>
      <c r="G71" s="65"/>
      <c r="H71" s="65"/>
      <c r="I71" s="65"/>
      <c r="J71" s="69"/>
    </row>
    <row r="72" s="52" customFormat="1" customHeight="1" spans="1:10">
      <c r="A72" s="54" t="str">
        <f ca="1">IFERROR(HLOOKUP(DATE($G$3,$H$3,$I$3),'API1'!$B$2:$CR$46,ROW($A75),0)&amp;"","")</f>
        <v/>
      </c>
      <c r="B72" s="54" t="str">
        <f>HLOOKUP(DATE($G$3,$H$3,$I$3),DATA!$C:$CS,ROW($B75),0)&amp;""</f>
        <v>项康乐</v>
      </c>
      <c r="C72" s="64" t="str">
        <f t="array" ref="C72">IF($C$1="休息日","查询日休息！",INDEX(DATA!$A:$A,SMALL(COUNTIF($B$1:$B$200,DATA!$A$1:$A$200)/1%%+ROW($A$1:$A$200),ROW(A72)))&amp;"")</f>
        <v/>
      </c>
      <c r="D72" s="65"/>
      <c r="E72" s="65"/>
      <c r="F72" s="65"/>
      <c r="G72" s="65"/>
      <c r="H72" s="65"/>
      <c r="I72" s="65"/>
      <c r="J72" s="69"/>
    </row>
    <row r="73" s="52" customFormat="1" customHeight="1" spans="1:10">
      <c r="A73" s="54" t="str">
        <f ca="1">IFERROR(HLOOKUP(DATE($G$3,$H$3,$I$3),'API1'!$B$2:$CR$46,ROW($A76),0)&amp;"","")</f>
        <v/>
      </c>
      <c r="B73" s="54" t="str">
        <f>HLOOKUP(DATE($G$3,$H$3,$I$3),DATA!$C:$CS,ROW($B76),0)&amp;""</f>
        <v>02-04 08:24</v>
      </c>
      <c r="C73" s="64" t="str">
        <f t="array" ref="C73">IF($C$1="休息日","查询日休息！",INDEX(DATA!$A:$A,SMALL(COUNTIF($B$1:$B$200,DATA!$A$1:$A$200)/1%%+ROW($A$1:$A$200),ROW(A73)))&amp;"")</f>
        <v/>
      </c>
      <c r="D73" s="65"/>
      <c r="E73" s="65"/>
      <c r="F73" s="65"/>
      <c r="G73" s="65"/>
      <c r="H73" s="65"/>
      <c r="I73" s="65"/>
      <c r="J73" s="69"/>
    </row>
    <row r="74" s="52" customFormat="1" customHeight="1" spans="1:10">
      <c r="A74" s="54" t="str">
        <f ca="1">IFERROR(HLOOKUP(DATE($G$3,$H$3,$I$3),'API1'!$B$2:$CR$46,ROW($A77),0)&amp;"","")</f>
        <v/>
      </c>
      <c r="B74" s="54" t="str">
        <f>HLOOKUP(DATE($G$3,$H$3,$I$3),DATA!$C:$CS,ROW($B77),0)&amp;""</f>
        <v/>
      </c>
      <c r="C74" s="64" t="str">
        <f t="array" ref="C74">IF($C$1="休息日","查询日休息！",INDEX(DATA!$A:$A,SMALL(COUNTIF($B$1:$B$200,DATA!$A$1:$A$200)/1%%+ROW($A$1:$A$200),ROW(A74)))&amp;"")</f>
        <v/>
      </c>
      <c r="D74" s="65"/>
      <c r="E74" s="65"/>
      <c r="F74" s="65"/>
      <c r="G74" s="65"/>
      <c r="H74" s="65"/>
      <c r="I74" s="65"/>
      <c r="J74" s="69"/>
    </row>
    <row r="75" s="52" customFormat="1" customHeight="1" spans="1:10">
      <c r="A75" s="54" t="str">
        <f ca="1">IFERROR(HLOOKUP(DATE($G$3,$H$3,$I$3),'API1'!$B$2:$CR$46,ROW($A78),0)&amp;"","")</f>
        <v/>
      </c>
      <c r="B75" s="54" t="str">
        <f>HLOOKUP(DATE($G$3,$H$3,$I$3),DATA!$C:$CS,ROW($B78),0)&amp;""</f>
        <v/>
      </c>
      <c r="C75" s="64" t="str">
        <f t="array" ref="C75">IF($C$1="休息日","查询日休息！",INDEX(DATA!$A:$A,SMALL(COUNTIF($B$1:$B$200,DATA!$A$1:$A$200)/1%%+ROW($A$1:$A$200),ROW(A75)))&amp;"")</f>
        <v/>
      </c>
      <c r="D75" s="65"/>
      <c r="E75" s="65"/>
      <c r="F75" s="65"/>
      <c r="G75" s="65"/>
      <c r="H75" s="65"/>
      <c r="I75" s="65"/>
      <c r="J75" s="69"/>
    </row>
    <row r="76" s="52" customFormat="1" customHeight="1" spans="1:10">
      <c r="A76" s="54" t="str">
        <f ca="1">IFERROR(HLOOKUP(DATE($G$3,$H$3,$I$3),'API1'!$B$2:$CR$46,ROW($A79),0)&amp;"","")</f>
        <v/>
      </c>
      <c r="B76" s="54" t="str">
        <f>HLOOKUP(DATE($G$3,$H$3,$I$3),DATA!$C:$CS,ROW($B79),0)&amp;""</f>
        <v>柯宇豪</v>
      </c>
      <c r="C76" s="64" t="str">
        <f t="array" ref="C76">IF($C$1="休息日","查询日休息！",INDEX(DATA!$A:$A,SMALL(COUNTIF($B$1:$B$200,DATA!$A$1:$A$200)/1%%+ROW($A$1:$A$200),ROW(A76)))&amp;"")</f>
        <v/>
      </c>
      <c r="D76" s="65"/>
      <c r="E76" s="65"/>
      <c r="F76" s="65"/>
      <c r="G76" s="65"/>
      <c r="H76" s="65"/>
      <c r="I76" s="65"/>
      <c r="J76" s="69"/>
    </row>
    <row r="77" s="52" customFormat="1" customHeight="1" spans="1:10">
      <c r="A77" s="54" t="str">
        <f ca="1">IFERROR(HLOOKUP(DATE($G$3,$H$3,$I$3),'API1'!$B$2:$CR$46,ROW($A80),0)&amp;"","")</f>
        <v/>
      </c>
      <c r="B77" s="54" t="str">
        <f>HLOOKUP(DATE($G$3,$H$3,$I$3),DATA!$C:$CS,ROW($B80),0)&amp;""</f>
        <v>02-04 08:10</v>
      </c>
      <c r="C77" s="64" t="str">
        <f t="array" ref="C77">IF($C$1="休息日","查询日休息！",INDEX(DATA!$A:$A,SMALL(COUNTIF($B$1:$B$200,DATA!$A$1:$A$200)/1%%+ROW($A$1:$A$200),ROW(A77)))&amp;"")</f>
        <v/>
      </c>
      <c r="D77" s="65"/>
      <c r="E77" s="65"/>
      <c r="F77" s="65"/>
      <c r="G77" s="65"/>
      <c r="H77" s="65"/>
      <c r="I77" s="65"/>
      <c r="J77" s="69"/>
    </row>
    <row r="78" s="52" customFormat="1" customHeight="1" spans="1:10">
      <c r="A78" s="54" t="str">
        <f ca="1">IFERROR(HLOOKUP(DATE($G$3,$H$3,$I$3),'API1'!$B$2:$CR$46,ROW($A81),0)&amp;"","")</f>
        <v/>
      </c>
      <c r="B78" s="54" t="str">
        <f>HLOOKUP(DATE($G$3,$H$3,$I$3),DATA!$C:$CS,ROW($B81),0)&amp;""</f>
        <v/>
      </c>
      <c r="C78" s="64" t="str">
        <f t="array" ref="C78">IF($C$1="休息日","查询日休息！",INDEX(DATA!$A:$A,SMALL(COUNTIF($B$1:$B$200,DATA!$A$1:$A$200)/1%%+ROW($A$1:$A$200),ROW(A78)))&amp;"")</f>
        <v/>
      </c>
      <c r="D78" s="65"/>
      <c r="E78" s="65"/>
      <c r="F78" s="65"/>
      <c r="G78" s="65"/>
      <c r="H78" s="65"/>
      <c r="I78" s="65"/>
      <c r="J78" s="69"/>
    </row>
    <row r="79" s="52" customFormat="1" customHeight="1" spans="1:10">
      <c r="A79" s="54" t="str">
        <f ca="1">IFERROR(HLOOKUP(DATE($G$3,$H$3,$I$3),'API1'!$B$2:$CR$46,ROW($A82),0)&amp;"","")</f>
        <v/>
      </c>
      <c r="B79" s="54" t="str">
        <f>HLOOKUP(DATE($G$3,$H$3,$I$3),DATA!$C:$CS,ROW($B82),0)&amp;""</f>
        <v>周浩</v>
      </c>
      <c r="C79" s="64" t="str">
        <f t="array" ref="C79">IF($C$1="休息日","查询日休息！",INDEX(DATA!$A:$A,SMALL(COUNTIF($B$1:$B$200,DATA!$A$1:$A$200)/1%%+ROW($A$1:$A$200),ROW(A79)))&amp;"")</f>
        <v/>
      </c>
      <c r="D79" s="65"/>
      <c r="E79" s="65"/>
      <c r="F79" s="65"/>
      <c r="G79" s="65"/>
      <c r="H79" s="65"/>
      <c r="I79" s="65"/>
      <c r="J79" s="69"/>
    </row>
    <row r="80" s="52" customFormat="1" customHeight="1" spans="1:10">
      <c r="A80" s="54" t="str">
        <f ca="1">IFERROR(HLOOKUP(DATE($G$3,$H$3,$I$3),'API1'!$B$2:$CR$46,ROW($A83),0)&amp;"","")</f>
        <v/>
      </c>
      <c r="B80" s="54" t="str">
        <f>HLOOKUP(DATE($G$3,$H$3,$I$3),DATA!$C:$CS,ROW($B83),0)&amp;""</f>
        <v>02-04 08:09</v>
      </c>
      <c r="C80" s="64" t="str">
        <f t="array" ref="C80">IF($C$1="休息日","查询日休息！",INDEX(DATA!$A:$A,SMALL(COUNTIF($B$1:$B$200,DATA!$A$1:$A$200)/1%%+ROW($A$1:$A$200),ROW(A80)))&amp;"")</f>
        <v/>
      </c>
      <c r="D80" s="65"/>
      <c r="E80" s="65"/>
      <c r="F80" s="65"/>
      <c r="G80" s="65"/>
      <c r="H80" s="65"/>
      <c r="I80" s="65"/>
      <c r="J80" s="69"/>
    </row>
    <row r="81" s="52" customFormat="1" customHeight="1" spans="1:10">
      <c r="A81" s="54" t="str">
        <f ca="1">IFERROR(HLOOKUP(DATE($G$3,$H$3,$I$3),'API1'!$B$2:$CR$46,ROW($A84),0)&amp;"","")</f>
        <v/>
      </c>
      <c r="B81" s="54" t="str">
        <f>HLOOKUP(DATE($G$3,$H$3,$I$3),DATA!$C:$CS,ROW($B84),0)&amp;""</f>
        <v/>
      </c>
      <c r="C81" s="64" t="str">
        <f t="array" ref="C81">IF($C$1="休息日","查询日休息！",INDEX(DATA!$A:$A,SMALL(COUNTIF($B$1:$B$200,DATA!$A$1:$A$200)/1%%+ROW($A$1:$A$200),ROW(A81)))&amp;"")</f>
        <v/>
      </c>
      <c r="D81" s="65"/>
      <c r="E81" s="65"/>
      <c r="F81" s="65"/>
      <c r="G81" s="65"/>
      <c r="H81" s="65"/>
      <c r="I81" s="65"/>
      <c r="J81" s="69"/>
    </row>
    <row r="82" s="52" customFormat="1" customHeight="1" spans="1:10">
      <c r="A82" s="54" t="str">
        <f ca="1">IFERROR(HLOOKUP(DATE($G$3,$H$3,$I$3),'API1'!$B$2:$CR$46,ROW($A85),0)&amp;"","")</f>
        <v/>
      </c>
      <c r="B82" s="54" t="str">
        <f>HLOOKUP(DATE($G$3,$H$3,$I$3),DATA!$C:$CS,ROW($B85),0)&amp;""</f>
        <v/>
      </c>
      <c r="C82" s="64" t="str">
        <f t="array" ref="C82">IF($C$1="休息日","查询日休息！",INDEX(DATA!$A:$A,SMALL(COUNTIF($B$1:$B$200,DATA!$A$1:$A$200)/1%%+ROW($A$1:$A$200),ROW(A82)))&amp;"")</f>
        <v/>
      </c>
      <c r="D82" s="65"/>
      <c r="E82" s="65"/>
      <c r="F82" s="65"/>
      <c r="G82" s="65"/>
      <c r="H82" s="65"/>
      <c r="I82" s="65"/>
      <c r="J82" s="69"/>
    </row>
    <row r="83" s="52" customFormat="1" customHeight="1" spans="1:10">
      <c r="A83" s="54" t="str">
        <f ca="1">IFERROR(HLOOKUP(DATE($G$3,$H$3,$I$3),'API1'!$B$2:$CR$46,ROW($A86),0)&amp;"","")</f>
        <v/>
      </c>
      <c r="B83" s="54" t="str">
        <f>HLOOKUP(DATE($G$3,$H$3,$I$3),DATA!$C:$CS,ROW($B86),0)&amp;""</f>
        <v>胡栋杰</v>
      </c>
      <c r="C83" s="64" t="str">
        <f t="array" ref="C83">IF($C$1="休息日","查询日休息！",INDEX(DATA!$A:$A,SMALL(COUNTIF($B$1:$B$200,DATA!$A$1:$A$200)/1%%+ROW($A$1:$A$200),ROW(A83)))&amp;"")</f>
        <v/>
      </c>
      <c r="D83" s="65"/>
      <c r="E83" s="65"/>
      <c r="F83" s="65"/>
      <c r="G83" s="65"/>
      <c r="H83" s="65"/>
      <c r="I83" s="65"/>
      <c r="J83" s="69"/>
    </row>
    <row r="84" s="52" customFormat="1" customHeight="1" spans="1:10">
      <c r="A84" s="54" t="str">
        <f ca="1">IFERROR(HLOOKUP(DATE($G$3,$H$3,$I$3),'API1'!$B$2:$CR$46,ROW($A87),0)&amp;"","")</f>
        <v/>
      </c>
      <c r="B84" s="54" t="str">
        <f>HLOOKUP(DATE($G$3,$H$3,$I$3),DATA!$C:$CS,ROW($B87),0)&amp;""</f>
        <v>02-04 08:05</v>
      </c>
      <c r="C84" s="64" t="str">
        <f t="array" ref="C84">IF($C$1="休息日","查询日休息！",INDEX(DATA!$A:$A,SMALL(COUNTIF($B$1:$B$200,DATA!$A$1:$A$200)/1%%+ROW($A$1:$A$200),ROW(A84)))&amp;"")</f>
        <v/>
      </c>
      <c r="D84" s="65"/>
      <c r="E84" s="65"/>
      <c r="F84" s="65"/>
      <c r="G84" s="65"/>
      <c r="H84" s="65"/>
      <c r="I84" s="65"/>
      <c r="J84" s="69"/>
    </row>
    <row r="85" s="52" customFormat="1" customHeight="1" spans="1:10">
      <c r="A85" s="54" t="str">
        <f ca="1">IFERROR(HLOOKUP(DATE($G$3,$H$3,$I$3),'API1'!$B$2:$CR$46,ROW($A88),0)&amp;"","")</f>
        <v/>
      </c>
      <c r="B85" s="54" t="str">
        <f>HLOOKUP(DATE($G$3,$H$3,$I$3),DATA!$C:$CS,ROW($B88),0)&amp;""</f>
        <v/>
      </c>
      <c r="C85" s="64" t="str">
        <f t="array" ref="C85">IF($C$1="休息日","查询日休息！",INDEX(DATA!$A:$A,SMALL(COUNTIF($B$1:$B$200,DATA!$A$1:$A$200)/1%%+ROW($A$1:$A$200),ROW(A85)))&amp;"")</f>
        <v/>
      </c>
      <c r="D85" s="65"/>
      <c r="E85" s="65"/>
      <c r="F85" s="65"/>
      <c r="G85" s="65"/>
      <c r="H85" s="65"/>
      <c r="I85" s="65"/>
      <c r="J85" s="69"/>
    </row>
    <row r="86" s="52" customFormat="1" customHeight="1" spans="1:10">
      <c r="A86" s="54" t="str">
        <f ca="1">IFERROR(HLOOKUP(DATE($G$3,$H$3,$I$3),'API1'!$B$2:$CR$46,ROW($A89),0)&amp;"","")</f>
        <v/>
      </c>
      <c r="B86" s="54" t="str">
        <f>HLOOKUP(DATE($G$3,$H$3,$I$3),DATA!$C:$CS,ROW($B89),0)&amp;""</f>
        <v/>
      </c>
      <c r="C86" s="64" t="str">
        <f t="array" ref="C86">IF($C$1="休息日","查询日休息！",INDEX(DATA!$A:$A,SMALL(COUNTIF($B$1:$B$200,DATA!$A$1:$A$200)/1%%+ROW($A$1:$A$200),ROW(A86)))&amp;"")</f>
        <v/>
      </c>
      <c r="D86" s="65"/>
      <c r="E86" s="65"/>
      <c r="F86" s="65"/>
      <c r="G86" s="65"/>
      <c r="H86" s="65"/>
      <c r="I86" s="65"/>
      <c r="J86" s="69"/>
    </row>
    <row r="87" s="52" customFormat="1" customHeight="1" spans="1:10">
      <c r="A87" s="54" t="str">
        <f ca="1">IFERROR(HLOOKUP(DATE($G$3,$H$3,$I$3),'API1'!$B$2:$CR$46,ROW($A90),0)&amp;"","")</f>
        <v/>
      </c>
      <c r="B87" s="54" t="str">
        <f>HLOOKUP(DATE($G$3,$H$3,$I$3),DATA!$C:$CS,ROW($B90),0)&amp;""</f>
        <v>费伟</v>
      </c>
      <c r="C87" s="64" t="str">
        <f t="array" ref="C87">IF($C$1="休息日","查询日休息！",INDEX(DATA!$A:$A,SMALL(COUNTIF($B$1:$B$200,DATA!$A$1:$A$200)/1%%+ROW($A$1:$A$200),ROW(A87)))&amp;"")</f>
        <v/>
      </c>
      <c r="D87" s="65"/>
      <c r="E87" s="65"/>
      <c r="F87" s="65"/>
      <c r="G87" s="65"/>
      <c r="H87" s="65"/>
      <c r="I87" s="65"/>
      <c r="J87" s="69"/>
    </row>
    <row r="88" s="52" customFormat="1" customHeight="1" spans="1:10">
      <c r="A88" s="54" t="str">
        <f ca="1">IFERROR(HLOOKUP(DATE($G$3,$H$3,$I$3),'API1'!$B$2:$CR$46,ROW($A91),0)&amp;"","")</f>
        <v/>
      </c>
      <c r="B88" s="54" t="str">
        <f>HLOOKUP(DATE($G$3,$H$3,$I$3),DATA!$C:$CS,ROW($B91),0)&amp;""</f>
        <v>02-04 08:04</v>
      </c>
      <c r="C88" s="64" t="str">
        <f t="array" ref="C88">IF($C$1="休息日","查询日休息！",INDEX(DATA!$A:$A,SMALL(COUNTIF($B$1:$B$200,DATA!$A$1:$A$200)/1%%+ROW($A$1:$A$200),ROW(A88)))&amp;"")</f>
        <v/>
      </c>
      <c r="D88" s="65"/>
      <c r="E88" s="65"/>
      <c r="F88" s="65"/>
      <c r="G88" s="65"/>
      <c r="H88" s="65"/>
      <c r="I88" s="65"/>
      <c r="J88" s="69"/>
    </row>
    <row r="89" s="52" customFormat="1" customHeight="1" spans="1:10">
      <c r="A89" s="54" t="str">
        <f ca="1">IFERROR(HLOOKUP(DATE($G$3,$H$3,$I$3),'API1'!$B$2:$CR$46,ROW($A92),0)&amp;"","")</f>
        <v/>
      </c>
      <c r="B89" s="54" t="str">
        <f>HLOOKUP(DATE($G$3,$H$3,$I$3),DATA!$C:$CS,ROW($B92),0)&amp;""</f>
        <v/>
      </c>
      <c r="C89" s="64" t="str">
        <f t="array" ref="C89">IF($C$1="休息日","查询日休息！",INDEX(DATA!$A:$A,SMALL(COUNTIF($B$1:$B$200,DATA!$A$1:$A$200)/1%%+ROW($A$1:$A$200),ROW(A89)))&amp;"")</f>
        <v/>
      </c>
      <c r="D89" s="65"/>
      <c r="E89" s="65"/>
      <c r="F89" s="65"/>
      <c r="G89" s="65"/>
      <c r="H89" s="65"/>
      <c r="I89" s="65"/>
      <c r="J89" s="69"/>
    </row>
    <row r="90" s="52" customFormat="1" customHeight="1" spans="1:10">
      <c r="A90" s="54" t="str">
        <f ca="1">IFERROR(HLOOKUP(DATE($G$3,$H$3,$I$3),'API1'!$B$2:$CR$46,ROW($A93),0)&amp;"","")</f>
        <v/>
      </c>
      <c r="B90" s="54" t="str">
        <f>HLOOKUP(DATE($G$3,$H$3,$I$3),DATA!$C:$CS,ROW($B93),0)&amp;""</f>
        <v>黄璟亮</v>
      </c>
      <c r="C90" s="64" t="str">
        <f t="array" ref="C90">IF($C$1="休息日","查询日休息！",INDEX(DATA!$A:$A,SMALL(COUNTIF($B$1:$B$200,DATA!$A$1:$A$200)/1%%+ROW($A$1:$A$200),ROW(A90)))&amp;"")</f>
        <v/>
      </c>
      <c r="D90" s="65"/>
      <c r="E90" s="65"/>
      <c r="F90" s="65"/>
      <c r="G90" s="65"/>
      <c r="H90" s="65"/>
      <c r="I90" s="65"/>
      <c r="J90" s="69"/>
    </row>
    <row r="91" s="52" customFormat="1" customHeight="1" spans="1:10">
      <c r="A91" s="54" t="str">
        <f ca="1">IFERROR(HLOOKUP(DATE($G$3,$H$3,$I$3),'API1'!$B$2:$CR$46,ROW($A94),0)&amp;"","")</f>
        <v/>
      </c>
      <c r="B91" s="54" t="str">
        <f>HLOOKUP(DATE($G$3,$H$3,$I$3),DATA!$C:$CS,ROW($B94),0)&amp;""</f>
        <v>02-04 07:56</v>
      </c>
      <c r="C91" s="64" t="str">
        <f t="array" ref="C91">IF($C$1="休息日","查询日休息！",INDEX(DATA!$A:$A,SMALL(COUNTIF($B$1:$B$200,DATA!$A$1:$A$200)/1%%+ROW($A$1:$A$200),ROW(A91)))&amp;"")</f>
        <v/>
      </c>
      <c r="D91" s="65"/>
      <c r="E91" s="65"/>
      <c r="F91" s="65"/>
      <c r="G91" s="65"/>
      <c r="H91" s="65"/>
      <c r="I91" s="65"/>
      <c r="J91" s="69"/>
    </row>
    <row r="92" s="52" customFormat="1" customHeight="1" spans="1:10">
      <c r="A92" s="54" t="str">
        <f ca="1">IFERROR(HLOOKUP(DATE($G$3,$H$3,$I$3),'API1'!$B$2:$CR$46,ROW($A95),0)&amp;"","")</f>
        <v/>
      </c>
      <c r="B92" s="54" t="str">
        <f>HLOOKUP(DATE($G$3,$H$3,$I$3),DATA!$C:$CS,ROW($B95),0)&amp;""</f>
        <v/>
      </c>
      <c r="C92" s="64" t="str">
        <f t="array" ref="C92">IF($C$1="休息日","查询日休息！",INDEX(DATA!$A:$A,SMALL(COUNTIF($B$1:$B$200,DATA!$A$1:$A$200)/1%%+ROW($A$1:$A$200),ROW(A92)))&amp;"")</f>
        <v/>
      </c>
      <c r="D92" s="65"/>
      <c r="E92" s="65"/>
      <c r="F92" s="65"/>
      <c r="G92" s="65"/>
      <c r="H92" s="65"/>
      <c r="I92" s="65"/>
      <c r="J92" s="69"/>
    </row>
    <row r="93" s="52" customFormat="1" customHeight="1" spans="1:10">
      <c r="A93" s="54" t="str">
        <f ca="1">IFERROR(HLOOKUP(DATE($G$3,$H$3,$I$3),'API1'!$B$2:$CR$46,ROW($A96),0)&amp;"","")</f>
        <v/>
      </c>
      <c r="B93" s="54" t="str">
        <f>HLOOKUP(DATE($G$3,$H$3,$I$3),DATA!$C:$CS,ROW($B96),0)&amp;""</f>
        <v/>
      </c>
      <c r="C93" s="64" t="str">
        <f t="array" ref="C93">IF($C$1="休息日","查询日休息！",INDEX(DATA!$A:$A,SMALL(COUNTIF($B$1:$B$200,DATA!$A$1:$A$200)/1%%+ROW($A$1:$A$200),ROW(A93)))&amp;"")</f>
        <v/>
      </c>
      <c r="D93" s="65"/>
      <c r="E93" s="65"/>
      <c r="F93" s="65"/>
      <c r="G93" s="65"/>
      <c r="H93" s="65"/>
      <c r="I93" s="65"/>
      <c r="J93" s="69"/>
    </row>
    <row r="94" s="52" customFormat="1" customHeight="1" spans="1:10">
      <c r="A94" s="54" t="str">
        <f ca="1">IFERROR(HLOOKUP(DATE($G$3,$H$3,$I$3),'API1'!$B$2:$CR$46,ROW($A97),0)&amp;"","")</f>
        <v/>
      </c>
      <c r="B94" s="54" t="str">
        <f>HLOOKUP(DATE($G$3,$H$3,$I$3),DATA!$C:$CS,ROW($B97),0)&amp;""</f>
        <v>赵卓然</v>
      </c>
      <c r="C94" s="64" t="str">
        <f t="array" ref="C94">IF($C$1="休息日","查询日休息！",INDEX(DATA!$A:$A,SMALL(COUNTIF($B$1:$B$200,DATA!$A$1:$A$200)/1%%+ROW($A$1:$A$200),ROW(A94)))&amp;"")</f>
        <v/>
      </c>
      <c r="D94" s="65"/>
      <c r="E94" s="65"/>
      <c r="F94" s="65"/>
      <c r="G94" s="65"/>
      <c r="H94" s="65"/>
      <c r="I94" s="65"/>
      <c r="J94" s="69"/>
    </row>
    <row r="95" s="52" customFormat="1" customHeight="1" spans="1:10">
      <c r="A95" s="54" t="str">
        <f ca="1">IFERROR(HLOOKUP(DATE($G$3,$H$3,$I$3),'API1'!$B$2:$CR$46,ROW($A98),0)&amp;"","")</f>
        <v/>
      </c>
      <c r="B95" s="54" t="str">
        <f>HLOOKUP(DATE($G$3,$H$3,$I$3),DATA!$C:$CS,ROW($B98),0)&amp;""</f>
        <v>02-04 07:50</v>
      </c>
      <c r="C95" s="64" t="str">
        <f t="array" ref="C95">IF($C$1="休息日","查询日休息！",INDEX(DATA!$A:$A,SMALL(COUNTIF($B$1:$B$200,DATA!$A$1:$A$200)/1%%+ROW($A$1:$A$200),ROW(A95)))&amp;"")</f>
        <v/>
      </c>
      <c r="D95" s="65"/>
      <c r="E95" s="65"/>
      <c r="F95" s="65"/>
      <c r="G95" s="65"/>
      <c r="H95" s="65"/>
      <c r="I95" s="65"/>
      <c r="J95" s="69"/>
    </row>
    <row r="96" s="52" customFormat="1" customHeight="1" spans="1:10">
      <c r="A96" s="54" t="str">
        <f ca="1">IFERROR(HLOOKUP(DATE($G$3,$H$3,$I$3),'API1'!$B$2:$CR$46,ROW($A99),0)&amp;"","")</f>
        <v/>
      </c>
      <c r="B96" s="54" t="str">
        <f>HLOOKUP(DATE($G$3,$H$3,$I$3),DATA!$C:$CS,ROW($B99),0)&amp;""</f>
        <v/>
      </c>
      <c r="C96" s="64" t="str">
        <f t="array" ref="C96">IF($C$1="休息日","查询日休息！",INDEX(DATA!$A:$A,SMALL(COUNTIF($B$1:$B$200,DATA!$A$1:$A$200)/1%%+ROW($A$1:$A$200),ROW(A96)))&amp;"")</f>
        <v/>
      </c>
      <c r="D96" s="65"/>
      <c r="E96" s="65"/>
      <c r="F96" s="65"/>
      <c r="G96" s="65"/>
      <c r="H96" s="65"/>
      <c r="I96" s="65"/>
      <c r="J96" s="69"/>
    </row>
    <row r="97" s="52" customFormat="1" customHeight="1" spans="1:10">
      <c r="A97" s="54" t="str">
        <f ca="1">IFERROR(HLOOKUP(DATE($G$3,$H$3,$I$3),'API1'!$B$2:$CR$46,ROW($A100),0)&amp;"","")</f>
        <v/>
      </c>
      <c r="B97" s="54" t="str">
        <f>HLOOKUP(DATE($G$3,$H$3,$I$3),DATA!$C:$CS,ROW($B100),0)&amp;""</f>
        <v/>
      </c>
      <c r="C97" s="64" t="str">
        <f t="array" ref="C97">IF($C$1="休息日","查询日休息！",INDEX(DATA!$A:$A,SMALL(COUNTIF($B$1:$B$200,DATA!$A$1:$A$200)/1%%+ROW($A$1:$A$200),ROW(A97)))&amp;"")</f>
        <v/>
      </c>
      <c r="D97" s="65"/>
      <c r="E97" s="65"/>
      <c r="F97" s="65"/>
      <c r="G97" s="65"/>
      <c r="H97" s="65"/>
      <c r="I97" s="65"/>
      <c r="J97" s="69"/>
    </row>
    <row r="98" s="52" customFormat="1" customHeight="1" spans="1:10">
      <c r="A98" s="54" t="str">
        <f ca="1">IFERROR(HLOOKUP(DATE($G$3,$H$3,$I$3),'API1'!$B$2:$CR$46,ROW($A101),0)&amp;"","")</f>
        <v/>
      </c>
      <c r="B98" s="54" t="str">
        <f>HLOOKUP(DATE($G$3,$H$3,$I$3),DATA!$C:$CS,ROW($B101),0)&amp;""</f>
        <v>陈相</v>
      </c>
      <c r="C98" s="64" t="str">
        <f t="array" ref="C98">IF($C$1="休息日","查询日休息！",INDEX(DATA!$A:$A,SMALL(COUNTIF($B$1:$B$200,DATA!$A$1:$A$200)/1%%+ROW($A$1:$A$200),ROW(A98)))&amp;"")</f>
        <v/>
      </c>
      <c r="D98" s="65"/>
      <c r="E98" s="65"/>
      <c r="F98" s="65"/>
      <c r="G98" s="65"/>
      <c r="H98" s="65"/>
      <c r="I98" s="65"/>
      <c r="J98" s="69"/>
    </row>
    <row r="99" s="52" customFormat="1" customHeight="1" spans="1:10">
      <c r="A99" s="54" t="str">
        <f ca="1">IFERROR(HLOOKUP(DATE($G$3,$H$3,$I$3),'API1'!$B$2:$CR$46,ROW($A102),0)&amp;"","")</f>
        <v/>
      </c>
      <c r="B99" s="54" t="str">
        <f>HLOOKUP(DATE($G$3,$H$3,$I$3),DATA!$C:$CS,ROW($B102),0)&amp;""</f>
        <v>02-04 07:49</v>
      </c>
      <c r="C99" s="64" t="str">
        <f t="array" ref="C99">IF($C$1="休息日","查询日休息！",INDEX(DATA!$A:$A,SMALL(COUNTIF($B$1:$B$200,DATA!$A$1:$A$200)/1%%+ROW($A$1:$A$200),ROW(A99)))&amp;"")</f>
        <v/>
      </c>
      <c r="D99" s="65"/>
      <c r="E99" s="65"/>
      <c r="F99" s="65"/>
      <c r="G99" s="65"/>
      <c r="H99" s="65"/>
      <c r="I99" s="65"/>
      <c r="J99" s="69"/>
    </row>
    <row r="100" s="52" customFormat="1" customHeight="1" spans="1:10">
      <c r="A100" s="54" t="str">
        <f ca="1">IFERROR(HLOOKUP(DATE($G$3,$H$3,$I$3),'API1'!$B$2:$CR$46,ROW($A103),0)&amp;"","")</f>
        <v/>
      </c>
      <c r="B100" s="54" t="str">
        <f>HLOOKUP(DATE($G$3,$H$3,$I$3),DATA!$C:$CS,ROW($B103),0)&amp;""</f>
        <v/>
      </c>
      <c r="C100" s="64" t="str">
        <f t="array" ref="C100">IF($C$1="休息日","查询日休息！",INDEX(DATA!$A:$A,SMALL(COUNTIF($B$1:$B$200,DATA!$A$1:$A$200)/1%%+ROW($A$1:$A$200),ROW(A100)))&amp;"")</f>
        <v/>
      </c>
      <c r="D100" s="65"/>
      <c r="E100" s="65"/>
      <c r="F100" s="65"/>
      <c r="G100" s="65"/>
      <c r="H100" s="65"/>
      <c r="I100" s="65"/>
      <c r="J100" s="69"/>
    </row>
    <row r="101" s="52" customFormat="1" customHeight="1" spans="1:10">
      <c r="A101" s="54" t="str">
        <f ca="1">IFERROR(HLOOKUP(DATE($G$3,$H$3,$I$3),'API1'!$B$2:$CR$46,ROW($A104),0)&amp;"","")</f>
        <v/>
      </c>
      <c r="B101" s="54" t="str">
        <f>HLOOKUP(DATE($G$3,$H$3,$I$3),DATA!$C:$CS,ROW($B104),0)&amp;""</f>
        <v>黄文辉</v>
      </c>
      <c r="C101" s="64" t="str">
        <f t="array" ref="C101">IF($C$1="休息日","查询日休息！",INDEX(DATA!$A:$A,SMALL(COUNTIF($B$1:$B$200,DATA!$A$1:$A$200)/1%%+ROW($A$1:$A$200),ROW(A101)))&amp;"")</f>
        <v/>
      </c>
      <c r="D101" s="65"/>
      <c r="E101" s="65"/>
      <c r="F101" s="65"/>
      <c r="G101" s="65"/>
      <c r="H101" s="65"/>
      <c r="I101" s="65"/>
      <c r="J101" s="69"/>
    </row>
    <row r="102" s="52" customFormat="1" customHeight="1" spans="1:10">
      <c r="A102" s="54" t="str">
        <f ca="1">IFERROR(HLOOKUP(DATE($G$3,$H$3,$I$3),'API1'!$B$2:$CR$46,ROW($A105),0)&amp;"","")</f>
        <v/>
      </c>
      <c r="B102" s="54" t="str">
        <f>HLOOKUP(DATE($G$3,$H$3,$I$3),DATA!$C:$CS,ROW($B105),0)&amp;""</f>
        <v>02-04 07:46</v>
      </c>
      <c r="C102" s="64" t="str">
        <f t="array" ref="C102">IF($C$1="休息日","查询日休息！",INDEX(DATA!$A:$A,SMALL(COUNTIF($B$1:$B$200,DATA!$A$1:$A$200)/1%%+ROW($A$1:$A$200),ROW(A102)))&amp;"")</f>
        <v/>
      </c>
      <c r="D102" s="65"/>
      <c r="E102" s="65"/>
      <c r="F102" s="65"/>
      <c r="G102" s="65"/>
      <c r="H102" s="65"/>
      <c r="I102" s="65"/>
      <c r="J102" s="69"/>
    </row>
    <row r="103" s="52" customFormat="1" customHeight="1" spans="1:10">
      <c r="A103" s="54" t="str">
        <f ca="1">IFERROR(HLOOKUP(DATE($G$3,$H$3,$I$3),'API1'!$B$2:$CR$46,ROW($A106),0)&amp;"","")</f>
        <v/>
      </c>
      <c r="B103" s="54" t="str">
        <f>HLOOKUP(DATE($G$3,$H$3,$I$3),DATA!$C:$CS,ROW($B106),0)&amp;""</f>
        <v/>
      </c>
      <c r="C103" s="64" t="str">
        <f t="array" ref="C103">IF($C$1="休息日","查询日休息！",INDEX(DATA!$A:$A,SMALL(COUNTIF($B$1:$B$200,DATA!$A$1:$A$200)/1%%+ROW($A$1:$A$200),ROW(A103)))&amp;"")</f>
        <v/>
      </c>
      <c r="D103" s="65"/>
      <c r="E103" s="65"/>
      <c r="F103" s="65"/>
      <c r="G103" s="65"/>
      <c r="H103" s="65"/>
      <c r="I103" s="65"/>
      <c r="J103" s="69"/>
    </row>
    <row r="104" s="52" customFormat="1" customHeight="1" spans="1:10">
      <c r="A104" s="54" t="str">
        <f ca="1">IFERROR(HLOOKUP(DATE($G$3,$H$3,$I$3),'API1'!$B$2:$CR$46,ROW($A107),0)&amp;"","")</f>
        <v/>
      </c>
      <c r="B104" s="54" t="str">
        <f>HLOOKUP(DATE($G$3,$H$3,$I$3),DATA!$C:$CS,ROW($B107),0)&amp;""</f>
        <v/>
      </c>
      <c r="C104" s="64" t="str">
        <f t="array" ref="C104">IF($C$1="休息日","查询日休息！",INDEX(DATA!$A:$A,SMALL(COUNTIF($B$1:$B$200,DATA!$A$1:$A$200)/1%%+ROW($A$1:$A$200),ROW(A104)))&amp;"")</f>
        <v/>
      </c>
      <c r="D104" s="65"/>
      <c r="E104" s="65"/>
      <c r="F104" s="65"/>
      <c r="G104" s="65"/>
      <c r="H104" s="65"/>
      <c r="I104" s="65"/>
      <c r="J104" s="69"/>
    </row>
    <row r="105" s="52" customFormat="1" customHeight="1" spans="1:10">
      <c r="A105" s="54" t="str">
        <f ca="1">IFERROR(HLOOKUP(DATE($G$3,$H$3,$I$3),'API1'!$B$2:$CR$46,ROW($A108),0)&amp;"","")</f>
        <v/>
      </c>
      <c r="B105" s="54" t="str">
        <f>HLOOKUP(DATE($G$3,$H$3,$I$3),DATA!$C:$CS,ROW($B108),0)&amp;""</f>
        <v>冯俊</v>
      </c>
      <c r="C105" s="64" t="str">
        <f t="array" ref="C105">IF($C$1="休息日","查询日休息！",INDEX(DATA!$A:$A,SMALL(COUNTIF($B$1:$B$200,DATA!$A$1:$A$200)/1%%+ROW($A$1:$A$200),ROW(A105)))&amp;"")</f>
        <v/>
      </c>
      <c r="D105" s="65"/>
      <c r="E105" s="65"/>
      <c r="F105" s="65"/>
      <c r="G105" s="65"/>
      <c r="H105" s="65"/>
      <c r="I105" s="65"/>
      <c r="J105" s="69"/>
    </row>
    <row r="106" s="52" customFormat="1" customHeight="1" spans="1:10">
      <c r="A106" s="54" t="str">
        <f ca="1">IFERROR(HLOOKUP(DATE($G$3,$H$3,$I$3),'API1'!$B$2:$CR$46,ROW($A109),0)&amp;"","")</f>
        <v/>
      </c>
      <c r="B106" s="54" t="str">
        <f>HLOOKUP(DATE($G$3,$H$3,$I$3),DATA!$C:$CS,ROW($B109),0)&amp;""</f>
        <v>02-04 07:30</v>
      </c>
      <c r="C106" s="64" t="str">
        <f t="array" ref="C106">IF($C$1="休息日","查询日休息！",INDEX(DATA!$A:$A,SMALL(COUNTIF($B$1:$B$200,DATA!$A$1:$A$200)/1%%+ROW($A$1:$A$200),ROW(A106)))&amp;"")</f>
        <v/>
      </c>
      <c r="D106" s="65"/>
      <c r="E106" s="65"/>
      <c r="F106" s="65"/>
      <c r="G106" s="65"/>
      <c r="H106" s="65"/>
      <c r="I106" s="65"/>
      <c r="J106" s="69"/>
    </row>
    <row r="107" s="52" customFormat="1" customHeight="1" spans="1:10">
      <c r="A107" s="54" t="str">
        <f ca="1">IFERROR(HLOOKUP(DATE($G$3,$H$3,$I$3),'API1'!$B$2:$CR$46,ROW($A110),0)&amp;"","")</f>
        <v/>
      </c>
      <c r="B107" s="54" t="str">
        <f>HLOOKUP(DATE($G$3,$H$3,$I$3),DATA!$C:$CS,ROW($B110),0)&amp;""</f>
        <v/>
      </c>
      <c r="C107" s="64" t="str">
        <f t="array" ref="C107">IF($C$1="休息日","查询日休息！",INDEX(DATA!$A:$A,SMALL(COUNTIF($B$1:$B$200,DATA!$A$1:$A$200)/1%%+ROW($A$1:$A$200),ROW(A107)))&amp;"")</f>
        <v/>
      </c>
      <c r="D107" s="65"/>
      <c r="E107" s="65"/>
      <c r="F107" s="65"/>
      <c r="G107" s="65"/>
      <c r="H107" s="65"/>
      <c r="I107" s="65"/>
      <c r="J107" s="69"/>
    </row>
    <row r="108" s="52" customFormat="1" customHeight="1" spans="1:10">
      <c r="A108" s="54" t="str">
        <f ca="1">IFERROR(HLOOKUP(DATE($G$3,$H$3,$I$3),'API1'!$B$2:$CR$46,ROW($A111),0)&amp;"","")</f>
        <v/>
      </c>
      <c r="B108" s="54" t="str">
        <f>HLOOKUP(DATE($G$3,$H$3,$I$3),DATA!$C:$CS,ROW($B111),0)&amp;""</f>
        <v/>
      </c>
      <c r="C108" s="64" t="str">
        <f t="array" ref="C108">IF($C$1="休息日","查询日休息！",INDEX(DATA!$A:$A,SMALL(COUNTIF($B$1:$B$200,DATA!$A$1:$A$200)/1%%+ROW($A$1:$A$200),ROW(A108)))&amp;"")</f>
        <v/>
      </c>
      <c r="D108" s="65"/>
      <c r="E108" s="65"/>
      <c r="F108" s="65"/>
      <c r="G108" s="65"/>
      <c r="H108" s="65"/>
      <c r="I108" s="65"/>
      <c r="J108" s="69"/>
    </row>
    <row r="109" s="52" customFormat="1" customHeight="1" spans="1:10">
      <c r="A109" s="54" t="str">
        <f ca="1">IFERROR(HLOOKUP(DATE($G$3,$H$3,$I$3),'API1'!$B$2:$CR$46,ROW($A112),0)&amp;"","")</f>
        <v/>
      </c>
      <c r="B109" s="54" t="str">
        <f>HLOOKUP(DATE($G$3,$H$3,$I$3),DATA!$C:$CS,ROW($B112),0)&amp;""</f>
        <v>徐文锃</v>
      </c>
      <c r="C109" s="64" t="str">
        <f t="array" ref="C109">IF($C$1="休息日","查询日休息！",INDEX(DATA!$A:$A,SMALL(COUNTIF($B$1:$B$200,DATA!$A$1:$A$200)/1%%+ROW($A$1:$A$200),ROW(A109)))&amp;"")</f>
        <v/>
      </c>
      <c r="D109" s="65"/>
      <c r="E109" s="65"/>
      <c r="F109" s="65"/>
      <c r="G109" s="65"/>
      <c r="H109" s="65"/>
      <c r="I109" s="65"/>
      <c r="J109" s="69"/>
    </row>
    <row r="110" s="52" customFormat="1" customHeight="1" spans="1:10">
      <c r="A110" s="54" t="str">
        <f ca="1">IFERROR(HLOOKUP(DATE($G$3,$H$3,$I$3),'API1'!$B$2:$CR$46,ROW($A113),0)&amp;"","")</f>
        <v/>
      </c>
      <c r="B110" s="54" t="str">
        <f>HLOOKUP(DATE($G$3,$H$3,$I$3),DATA!$C:$CS,ROW($B113),0)&amp;""</f>
        <v>02-04 07:29</v>
      </c>
      <c r="C110" s="64" t="str">
        <f t="array" ref="C110">IF($C$1="休息日","查询日休息！",INDEX(DATA!$A:$A,SMALL(COUNTIF($B$1:$B$200,DATA!$A$1:$A$200)/1%%+ROW($A$1:$A$200),ROW(A110)))&amp;"")</f>
        <v/>
      </c>
      <c r="D110" s="65"/>
      <c r="E110" s="65"/>
      <c r="F110" s="65"/>
      <c r="G110" s="65"/>
      <c r="H110" s="65"/>
      <c r="I110" s="65"/>
      <c r="J110" s="69"/>
    </row>
    <row r="111" s="52" customFormat="1" customHeight="1" spans="1:10">
      <c r="A111" s="54" t="str">
        <f ca="1">IFERROR(HLOOKUP(DATE($G$3,$H$3,$I$3),'API1'!$B$2:$CR$46,ROW($A114),0)&amp;"","")</f>
        <v/>
      </c>
      <c r="B111" s="54" t="str">
        <f>HLOOKUP(DATE($G$3,$H$3,$I$3),DATA!$C:$CS,ROW($B114),0)&amp;""</f>
        <v/>
      </c>
      <c r="C111" s="64" t="str">
        <f t="array" ref="C111">IF($C$1="休息日","查询日休息！",INDEX(DATA!$A:$A,SMALL(COUNTIF($B$1:$B$200,DATA!$A$1:$A$200)/1%%+ROW($A$1:$A$200),ROW(A111)))&amp;"")</f>
        <v/>
      </c>
      <c r="D111" s="65"/>
      <c r="E111" s="65"/>
      <c r="F111" s="65"/>
      <c r="G111" s="65"/>
      <c r="H111" s="65"/>
      <c r="I111" s="65"/>
      <c r="J111" s="69"/>
    </row>
    <row r="112" s="52" customFormat="1" customHeight="1" spans="1:10">
      <c r="A112" s="54" t="str">
        <f ca="1">IFERROR(HLOOKUP(DATE($G$3,$H$3,$I$3),'API1'!$B$2:$CR$46,ROW($A115),0)&amp;"","")</f>
        <v/>
      </c>
      <c r="B112" s="54" t="str">
        <f>HLOOKUP(DATE($G$3,$H$3,$I$3),DATA!$C:$CS,ROW($B115),0)&amp;""</f>
        <v>郭衍钢</v>
      </c>
      <c r="C112" s="64" t="str">
        <f t="array" ref="C112">IF($C$1="休息日","查询日休息！",INDEX(DATA!$A:$A,SMALL(COUNTIF($B$1:$B$200,DATA!$A$1:$A$200)/1%%+ROW($A$1:$A$200),ROW(A112)))&amp;"")</f>
        <v/>
      </c>
      <c r="D112" s="65"/>
      <c r="E112" s="65"/>
      <c r="F112" s="65"/>
      <c r="G112" s="65"/>
      <c r="H112" s="65"/>
      <c r="I112" s="65"/>
      <c r="J112" s="69"/>
    </row>
    <row r="113" s="52" customFormat="1" customHeight="1" spans="1:10">
      <c r="A113" s="54" t="str">
        <f ca="1">IFERROR(HLOOKUP(DATE($G$3,$H$3,$I$3),'API1'!$B$2:$CR$46,ROW($A116),0)&amp;"","")</f>
        <v/>
      </c>
      <c r="B113" s="54" t="str">
        <f>HLOOKUP(DATE($G$3,$H$3,$I$3),DATA!$C:$CS,ROW($B116),0)&amp;""</f>
        <v>02-04 07:28</v>
      </c>
      <c r="C113" s="64" t="str">
        <f t="array" ref="C113">IF($C$1="休息日","查询日休息！",INDEX(DATA!$A:$A,SMALL(COUNTIF($B$1:$B$200,DATA!$A$1:$A$200)/1%%+ROW($A$1:$A$200),ROW(A113)))&amp;"")</f>
        <v/>
      </c>
      <c r="D113" s="65"/>
      <c r="E113" s="65"/>
      <c r="F113" s="65"/>
      <c r="G113" s="65"/>
      <c r="H113" s="65"/>
      <c r="I113" s="65"/>
      <c r="J113" s="69"/>
    </row>
    <row r="114" s="52" customFormat="1" customHeight="1" spans="1:10">
      <c r="A114" s="54" t="str">
        <f ca="1">IFERROR(HLOOKUP(DATE($G$3,$H$3,$I$3),'API1'!$B$2:$CR$46,ROW($A117),0)&amp;"","")</f>
        <v/>
      </c>
      <c r="B114" s="54" t="str">
        <f>HLOOKUP(DATE($G$3,$H$3,$I$3),DATA!$C:$CS,ROW($B117),0)&amp;""</f>
        <v/>
      </c>
      <c r="C114" s="64" t="str">
        <f t="array" ref="C114">IF($C$1="休息日","查询日休息！",INDEX(DATA!$A:$A,SMALL(COUNTIF($B$1:$B$200,DATA!$A$1:$A$200)/1%%+ROW($A$1:$A$200),ROW(A114)))&amp;"")</f>
        <v/>
      </c>
      <c r="D114" s="65"/>
      <c r="E114" s="65"/>
      <c r="F114" s="65"/>
      <c r="G114" s="65"/>
      <c r="H114" s="65"/>
      <c r="I114" s="65"/>
      <c r="J114" s="69"/>
    </row>
    <row r="115" s="52" customFormat="1" customHeight="1" spans="1:10">
      <c r="A115" s="54" t="str">
        <f ca="1">IFERROR(HLOOKUP(DATE($G$3,$H$3,$I$3),'API1'!$B$2:$CR$46,ROW($A118),0)&amp;"","")</f>
        <v/>
      </c>
      <c r="B115" s="54" t="str">
        <f>HLOOKUP(DATE($G$3,$H$3,$I$3),DATA!$C:$CS,ROW($B118),0)&amp;""</f>
        <v/>
      </c>
      <c r="C115" s="64" t="str">
        <f t="array" ref="C115">IF($C$1="休息日","查询日休息！",INDEX(DATA!$A:$A,SMALL(COUNTIF($B$1:$B$200,DATA!$A$1:$A$200)/1%%+ROW($A$1:$A$200),ROW(A115)))&amp;"")</f>
        <v/>
      </c>
      <c r="D115" s="65"/>
      <c r="E115" s="65"/>
      <c r="F115" s="65"/>
      <c r="G115" s="65"/>
      <c r="H115" s="65"/>
      <c r="I115" s="65"/>
      <c r="J115" s="69"/>
    </row>
    <row r="116" s="52" customFormat="1" customHeight="1" spans="1:10">
      <c r="A116" s="54" t="str">
        <f ca="1">IFERROR(HLOOKUP(DATE($G$3,$H$3,$I$3),'API1'!$B$2:$CR$46,ROW($A119),0)&amp;"","")</f>
        <v/>
      </c>
      <c r="B116" s="54" t="str">
        <f>HLOOKUP(DATE($G$3,$H$3,$I$3),DATA!$C:$CS,ROW($B119),0)&amp;""</f>
        <v>柯金梁</v>
      </c>
      <c r="C116" s="64" t="str">
        <f t="array" ref="C116">IF($C$1="休息日","查询日休息！",INDEX(DATA!$A:$A,SMALL(COUNTIF($B$1:$B$200,DATA!$A$1:$A$200)/1%%+ROW($A$1:$A$200),ROW(A116)))&amp;"")</f>
        <v/>
      </c>
      <c r="D116" s="65"/>
      <c r="E116" s="65"/>
      <c r="F116" s="65"/>
      <c r="G116" s="65"/>
      <c r="H116" s="65"/>
      <c r="I116" s="65"/>
      <c r="J116" s="69"/>
    </row>
    <row r="117" s="52" customFormat="1" customHeight="1" spans="1:10">
      <c r="A117" s="54" t="str">
        <f ca="1">IFERROR(HLOOKUP(DATE($G$3,$H$3,$I$3),'API1'!$B$2:$CR$46,ROW($A120),0)&amp;"","")</f>
        <v/>
      </c>
      <c r="B117" s="54" t="str">
        <f>HLOOKUP(DATE($G$3,$H$3,$I$3),DATA!$C:$CS,ROW($B120),0)&amp;""</f>
        <v>02-04 07:27</v>
      </c>
      <c r="C117" s="64" t="str">
        <f t="array" ref="C117">IF($C$1="休息日","查询日休息！",INDEX(DATA!$A:$A,SMALL(COUNTIF($B$1:$B$200,DATA!$A$1:$A$200)/1%%+ROW($A$1:$A$200),ROW(A117)))&amp;"")</f>
        <v/>
      </c>
      <c r="D117" s="65"/>
      <c r="E117" s="65"/>
      <c r="F117" s="65"/>
      <c r="G117" s="65"/>
      <c r="H117" s="65"/>
      <c r="I117" s="65"/>
      <c r="J117" s="69"/>
    </row>
    <row r="118" s="52" customFormat="1" customHeight="1" spans="1:10">
      <c r="A118" s="54" t="str">
        <f ca="1">IFERROR(HLOOKUP(DATE($G$3,$H$3,$I$3),'API1'!$B$2:$CR$46,ROW($A121),0)&amp;"","")</f>
        <v/>
      </c>
      <c r="B118" s="54" t="str">
        <f>HLOOKUP(DATE($G$3,$H$3,$I$3),DATA!$C:$CS,ROW($B121),0)&amp;""</f>
        <v/>
      </c>
      <c r="C118" s="64" t="str">
        <f t="array" ref="C118">IF($C$1="休息日","查询日休息！",INDEX(DATA!$A:$A,SMALL(COUNTIF($B$1:$B$200,DATA!$A$1:$A$200)/1%%+ROW($A$1:$A$200),ROW(A118)))&amp;"")</f>
        <v/>
      </c>
      <c r="D118" s="65"/>
      <c r="E118" s="65"/>
      <c r="F118" s="65"/>
      <c r="G118" s="65"/>
      <c r="H118" s="65"/>
      <c r="I118" s="65"/>
      <c r="J118" s="69"/>
    </row>
    <row r="119" s="52" customFormat="1" customHeight="1" spans="1:10">
      <c r="A119" s="54" t="str">
        <f ca="1">IFERROR(HLOOKUP(DATE($G$3,$H$3,$I$3),'API1'!$B$2:$CR$46,ROW($A122),0)&amp;"","")</f>
        <v/>
      </c>
      <c r="B119" s="54" t="str">
        <f>HLOOKUP(DATE($G$3,$H$3,$I$3),DATA!$C:$CS,ROW($B122),0)&amp;""</f>
        <v/>
      </c>
      <c r="C119" s="64" t="str">
        <f t="array" ref="C119">IF($C$1="休息日","查询日休息！",INDEX(DATA!$A:$A,SMALL(COUNTIF($B$1:$B$200,DATA!$A$1:$A$200)/1%%+ROW($A$1:$A$200),ROW(A119)))&amp;"")</f>
        <v/>
      </c>
      <c r="D119" s="65"/>
      <c r="E119" s="65"/>
      <c r="F119" s="65"/>
      <c r="G119" s="65"/>
      <c r="H119" s="65"/>
      <c r="I119" s="65"/>
      <c r="J119" s="69"/>
    </row>
    <row r="120" s="52" customFormat="1" customHeight="1" spans="1:10">
      <c r="A120" s="54" t="str">
        <f ca="1">IFERROR(HLOOKUP(DATE($G$3,$H$3,$I$3),'API1'!$B$2:$CR$46,ROW($A123),0)&amp;"","")</f>
        <v/>
      </c>
      <c r="B120" s="54" t="str">
        <f>HLOOKUP(DATE($G$3,$H$3,$I$3),DATA!$C:$CS,ROW($B123),0)&amp;""</f>
        <v>马坚强</v>
      </c>
      <c r="C120" s="64" t="str">
        <f t="array" ref="C120">IF($C$1="休息日","查询日休息！",INDEX(DATA!$A:$A,SMALL(COUNTIF($B$1:$B$200,DATA!$A$1:$A$200)/1%%+ROW($A$1:$A$200),ROW(A120)))&amp;"")</f>
        <v/>
      </c>
      <c r="D120" s="65"/>
      <c r="E120" s="65"/>
      <c r="F120" s="65"/>
      <c r="G120" s="65"/>
      <c r="H120" s="65"/>
      <c r="I120" s="65"/>
      <c r="J120" s="69"/>
    </row>
    <row r="121" s="52" customFormat="1" customHeight="1" spans="1:10">
      <c r="A121" s="54" t="str">
        <f ca="1">IFERROR(HLOOKUP(DATE($G$3,$H$3,$I$3),'API1'!$B$2:$CR$46,ROW($A124),0)&amp;"","")</f>
        <v/>
      </c>
      <c r="B121" s="54" t="str">
        <f>HLOOKUP(DATE($G$3,$H$3,$I$3),DATA!$C:$CS,ROW($B124),0)&amp;""</f>
        <v>02-04 07:27</v>
      </c>
      <c r="C121" s="64" t="str">
        <f t="array" ref="C121">IF($C$1="休息日","查询日休息！",INDEX(DATA!$A:$A,SMALL(COUNTIF($B$1:$B$200,DATA!$A$1:$A$200)/1%%+ROW($A$1:$A$200),ROW(A121)))&amp;"")</f>
        <v/>
      </c>
      <c r="D121" s="65"/>
      <c r="E121" s="65"/>
      <c r="F121" s="65"/>
      <c r="G121" s="65"/>
      <c r="H121" s="65"/>
      <c r="I121" s="65"/>
      <c r="J121" s="69"/>
    </row>
    <row r="122" s="52" customFormat="1" customHeight="1" spans="1:10">
      <c r="A122" s="54" t="str">
        <f ca="1">IFERROR(HLOOKUP(DATE($G$3,$H$3,$I$3),'API1'!$B$2:$CR$46,ROW($A125),0)&amp;"","")</f>
        <v/>
      </c>
      <c r="B122" s="54" t="str">
        <f>HLOOKUP(DATE($G$3,$H$3,$I$3),DATA!$C:$CS,ROW($B125),0)&amp;""</f>
        <v/>
      </c>
      <c r="C122" s="64" t="str">
        <f t="array" ref="C122">IF($C$1="休息日","查询日休息！",INDEX(DATA!$A:$A,SMALL(COUNTIF($B$1:$B$200,DATA!$A$1:$A$200)/1%%+ROW($A$1:$A$200),ROW(A122)))&amp;"")</f>
        <v/>
      </c>
      <c r="D122" s="65"/>
      <c r="E122" s="65"/>
      <c r="F122" s="65"/>
      <c r="G122" s="65"/>
      <c r="H122" s="65"/>
      <c r="I122" s="65"/>
      <c r="J122" s="69"/>
    </row>
    <row r="123" s="52" customFormat="1" customHeight="1" spans="1:10">
      <c r="A123" s="54" t="str">
        <f ca="1">IFERROR(HLOOKUP(DATE($G$3,$H$3,$I$3),'API1'!$B$2:$CR$46,ROW($A126),0)&amp;"","")</f>
        <v/>
      </c>
      <c r="B123" s="54" t="str">
        <f>HLOOKUP(DATE($G$3,$H$3,$I$3),DATA!$C:$CS,ROW($B126),0)&amp;""</f>
        <v>刘腾</v>
      </c>
      <c r="C123" s="64" t="str">
        <f t="array" ref="C123">IF($C$1="休息日","查询日休息！",INDEX(DATA!$A:$A,SMALL(COUNTIF($B$1:$B$200,DATA!$A$1:$A$200)/1%%+ROW($A$1:$A$200),ROW(A123)))&amp;"")</f>
        <v/>
      </c>
      <c r="D123" s="65"/>
      <c r="E123" s="65"/>
      <c r="F123" s="65"/>
      <c r="G123" s="65"/>
      <c r="H123" s="65"/>
      <c r="I123" s="65"/>
      <c r="J123" s="69"/>
    </row>
    <row r="124" s="52" customFormat="1" customHeight="1" spans="1:10">
      <c r="A124" s="54" t="str">
        <f ca="1">IFERROR(HLOOKUP(DATE($G$3,$H$3,$I$3),'API1'!$B$2:$CR$46,ROW($A127),0)&amp;"","")</f>
        <v/>
      </c>
      <c r="B124" s="54" t="str">
        <f>HLOOKUP(DATE($G$3,$H$3,$I$3),DATA!$C:$CS,ROW($B127),0)&amp;""</f>
        <v>02-04 07:10</v>
      </c>
      <c r="C124" s="64" t="str">
        <f t="array" ref="C124">IF($C$1="休息日","查询日休息！",INDEX(DATA!$A:$A,SMALL(COUNTIF($B$1:$B$200,DATA!$A$1:$A$200)/1%%+ROW($A$1:$A$200),ROW(A124)))&amp;"")</f>
        <v/>
      </c>
      <c r="D124" s="65"/>
      <c r="E124" s="65"/>
      <c r="F124" s="65"/>
      <c r="G124" s="65"/>
      <c r="H124" s="65"/>
      <c r="I124" s="65"/>
      <c r="J124" s="69"/>
    </row>
    <row r="125" s="52" customFormat="1" customHeight="1" spans="1:10">
      <c r="A125" s="54" t="str">
        <f ca="1">IFERROR(HLOOKUP(DATE($G$3,$H$3,$I$3),'API1'!$B$2:$CR$46,ROW($A128),0)&amp;"","")</f>
        <v/>
      </c>
      <c r="B125" s="54" t="str">
        <f>HLOOKUP(DATE($G$3,$H$3,$I$3),DATA!$C:$CS,ROW($B128),0)&amp;""</f>
        <v/>
      </c>
      <c r="C125" s="64" t="str">
        <f t="array" ref="C125">IF($C$1="休息日","查询日休息！",INDEX(DATA!$A:$A,SMALL(COUNTIF($B$1:$B$200,DATA!$A$1:$A$200)/1%%+ROW($A$1:$A$200),ROW(A125)))&amp;"")</f>
        <v/>
      </c>
      <c r="D125" s="65"/>
      <c r="E125" s="65"/>
      <c r="F125" s="65"/>
      <c r="G125" s="65"/>
      <c r="H125" s="65"/>
      <c r="I125" s="65"/>
      <c r="J125" s="69"/>
    </row>
    <row r="126" s="52" customFormat="1" customHeight="1" spans="1:10">
      <c r="A126" s="54" t="str">
        <f ca="1">IFERROR(HLOOKUP(DATE($G$3,$H$3,$I$3),'API1'!$B$2:$CR$46,ROW($A129),0)&amp;"","")</f>
        <v/>
      </c>
      <c r="B126" s="54" t="str">
        <f>HLOOKUP(DATE($G$3,$H$3,$I$3),DATA!$C:$CS,ROW($B129),0)&amp;""</f>
        <v/>
      </c>
      <c r="C126" s="64" t="str">
        <f t="array" ref="C126">IF($C$1="休息日","查询日休息！",INDEX(DATA!$A:$A,SMALL(COUNTIF($B$1:$B$200,DATA!$A$1:$A$200)/1%%+ROW($A$1:$A$200),ROW(A126)))&amp;"")</f>
        <v/>
      </c>
      <c r="D126" s="65"/>
      <c r="E126" s="65"/>
      <c r="F126" s="65"/>
      <c r="G126" s="65"/>
      <c r="H126" s="65"/>
      <c r="I126" s="65"/>
      <c r="J126" s="69"/>
    </row>
    <row r="127" s="52" customFormat="1" customHeight="1" spans="1:10">
      <c r="A127" s="54" t="str">
        <f ca="1">IFERROR(HLOOKUP(DATE($G$3,$H$3,$I$3),'API1'!$B$2:$CR$46,ROW($A130),0)&amp;"","")</f>
        <v/>
      </c>
      <c r="B127" s="54" t="str">
        <f>HLOOKUP(DATE($G$3,$H$3,$I$3),DATA!$C:$CS,ROW($B130),0)&amp;""</f>
        <v>阮光强</v>
      </c>
      <c r="C127" s="64" t="str">
        <f t="array" ref="C127">IF($C$1="休息日","查询日休息！",INDEX(DATA!$A:$A,SMALL(COUNTIF($B$1:$B$200,DATA!$A$1:$A$200)/1%%+ROW($A$1:$A$200),ROW(A127)))&amp;"")</f>
        <v/>
      </c>
      <c r="D127" s="65"/>
      <c r="E127" s="65"/>
      <c r="F127" s="65"/>
      <c r="G127" s="65"/>
      <c r="H127" s="65"/>
      <c r="I127" s="65"/>
      <c r="J127" s="69"/>
    </row>
    <row r="128" s="52" customFormat="1" customHeight="1" spans="1:10">
      <c r="A128" s="54" t="str">
        <f ca="1">IFERROR(HLOOKUP(DATE($G$3,$H$3,$I$3),'API1'!$B$2:$CR$46,ROW($A131),0)&amp;"","")</f>
        <v/>
      </c>
      <c r="B128" s="54" t="str">
        <f>HLOOKUP(DATE($G$3,$H$3,$I$3),DATA!$C:$CS,ROW($B131),0)&amp;""</f>
        <v>02-04 06:29</v>
      </c>
      <c r="C128" s="64" t="str">
        <f t="array" ref="C128">IF($C$1="休息日","查询日休息！",INDEX(DATA!$A:$A,SMALL(COUNTIF($B$1:$B$200,DATA!$A$1:$A$200)/1%%+ROW($A$1:$A$200),ROW(A128)))&amp;"")</f>
        <v/>
      </c>
      <c r="D128" s="65"/>
      <c r="E128" s="65"/>
      <c r="F128" s="65"/>
      <c r="G128" s="65"/>
      <c r="H128" s="65"/>
      <c r="I128" s="65"/>
      <c r="J128" s="69"/>
    </row>
    <row r="129" s="52" customFormat="1" customHeight="1" spans="1:10">
      <c r="A129" s="54" t="str">
        <f ca="1">IFERROR(HLOOKUP(DATE($G$3,$H$3,$I$3),'API1'!$B$2:$CR$46,ROW($A132),0)&amp;"","")</f>
        <v/>
      </c>
      <c r="B129" s="54" t="str">
        <f>HLOOKUP(DATE($G$3,$H$3,$I$3),DATA!$C:$CS,ROW($B132),0)&amp;""</f>
        <v/>
      </c>
      <c r="C129" s="64" t="str">
        <f t="array" ref="C129">IF($C$1="休息日","查询日休息！",INDEX(DATA!$A:$A,SMALL(COUNTIF($B$1:$B$200,DATA!$A$1:$A$200)/1%%+ROW($A$1:$A$200),ROW(A129)))&amp;"")</f>
        <v/>
      </c>
      <c r="D129" s="65"/>
      <c r="E129" s="65"/>
      <c r="F129" s="65"/>
      <c r="G129" s="65"/>
      <c r="H129" s="65"/>
      <c r="I129" s="65"/>
      <c r="J129" s="69"/>
    </row>
    <row r="130" s="52" customFormat="1" customHeight="1" spans="1:10">
      <c r="A130" s="54" t="str">
        <f ca="1">IFERROR(HLOOKUP(DATE($G$3,$H$3,$I$3),'API1'!$B$2:$CR$46,ROW($A133),0)&amp;"","")</f>
        <v/>
      </c>
      <c r="B130" s="54" t="str">
        <f>HLOOKUP(DATE($G$3,$H$3,$I$3),DATA!$C:$CS,ROW($B133),0)&amp;""</f>
        <v/>
      </c>
      <c r="C130" s="64" t="str">
        <f t="array" ref="C130">IF($C$1="休息日","查询日休息！",INDEX(DATA!$A:$A,SMALL(COUNTIF($B$1:$B$200,DATA!$A$1:$A$200)/1%%+ROW($A$1:$A$200),ROW(A130)))&amp;"")</f>
        <v/>
      </c>
      <c r="D130" s="65"/>
      <c r="E130" s="65"/>
      <c r="F130" s="65"/>
      <c r="G130" s="65"/>
      <c r="H130" s="65"/>
      <c r="I130" s="65"/>
      <c r="J130" s="69"/>
    </row>
    <row r="131" s="52" customFormat="1" customHeight="1" spans="1:10">
      <c r="A131" s="54" t="str">
        <f ca="1">IFERROR(HLOOKUP(DATE($G$3,$H$3,$I$3),'API1'!$B$2:$CR$46,ROW($A134),0)&amp;"","")</f>
        <v/>
      </c>
      <c r="B131" s="54" t="str">
        <f>HLOOKUP(DATE($G$3,$H$3,$I$3),DATA!$C:$CS,ROW($B134),0)&amp;""</f>
        <v>熊立武</v>
      </c>
      <c r="C131" s="64" t="str">
        <f t="array" ref="C131">IF($C$1="休息日","查询日休息！",INDEX(DATA!$A:$A,SMALL(COUNTIF($B$1:$B$200,DATA!$A$1:$A$200)/1%%+ROW($A$1:$A$200),ROW(A131)))&amp;"")</f>
        <v/>
      </c>
      <c r="D131" s="65"/>
      <c r="E131" s="65"/>
      <c r="F131" s="65"/>
      <c r="G131" s="65"/>
      <c r="H131" s="65"/>
      <c r="I131" s="65"/>
      <c r="J131" s="69"/>
    </row>
    <row r="132" s="52" customFormat="1" customHeight="1" spans="1:10">
      <c r="A132" s="54" t="str">
        <f ca="1">IFERROR(HLOOKUP(DATE($G$3,$H$3,$I$3),'API1'!$B$2:$CR$46,ROW($A135),0)&amp;"","")</f>
        <v/>
      </c>
      <c r="B132" s="54" t="str">
        <f>HLOOKUP(DATE($G$3,$H$3,$I$3),DATA!$C:$CS,ROW($B135),0)&amp;""</f>
        <v>02-04 06:06</v>
      </c>
      <c r="C132" s="64" t="str">
        <f t="array" ref="C132">IF($C$1="休息日","查询日休息！",INDEX(DATA!$A:$A,SMALL(COUNTIF($B$1:$B$200,DATA!$A$1:$A$200)/1%%+ROW($A$1:$A$200),ROW(A132)))&amp;"")</f>
        <v/>
      </c>
      <c r="D132" s="65"/>
      <c r="E132" s="65"/>
      <c r="F132" s="65"/>
      <c r="G132" s="65"/>
      <c r="H132" s="65"/>
      <c r="I132" s="65"/>
      <c r="J132" s="69"/>
    </row>
    <row r="133" s="52" customFormat="1" customHeight="1" spans="1:10">
      <c r="A133" s="54" t="str">
        <f ca="1">IFERROR(HLOOKUP(DATE($G$3,$H$3,$I$3),'API1'!$B$2:$CR$46,ROW($A136),0)&amp;"","")</f>
        <v/>
      </c>
      <c r="B133" s="54" t="str">
        <f>HLOOKUP(DATE($G$3,$H$3,$I$3),DATA!$C:$CS,ROW($B136),0)&amp;""</f>
        <v/>
      </c>
      <c r="C133" s="64" t="str">
        <f t="array" ref="C133">IF($C$1="休息日","查询日休息！",INDEX(DATA!$A:$A,SMALL(COUNTIF($B$1:$B$200,DATA!$A$1:$A$200)/1%%+ROW($A$1:$A$200),ROW(A133)))&amp;"")</f>
        <v/>
      </c>
      <c r="D133" s="65"/>
      <c r="E133" s="65"/>
      <c r="F133" s="65"/>
      <c r="G133" s="65"/>
      <c r="H133" s="65"/>
      <c r="I133" s="65"/>
      <c r="J133" s="69"/>
    </row>
    <row r="134" s="52" customFormat="1" customHeight="1" spans="1:10">
      <c r="A134" s="54" t="str">
        <f ca="1">IFERROR(HLOOKUP(DATE($G$3,$H$3,$I$3),'API1'!$B$2:$CR$46,ROW($A137),0)&amp;"","")</f>
        <v/>
      </c>
      <c r="B134" s="54" t="str">
        <f>HLOOKUP(DATE($G$3,$H$3,$I$3),DATA!$C:$CS,ROW($B137),0)&amp;""</f>
        <v>陈创业</v>
      </c>
      <c r="C134" s="64" t="str">
        <f t="array" ref="C134">IF($C$1="休息日","查询日休息！",INDEX(DATA!$A:$A,SMALL(COUNTIF($B$1:$B$200,DATA!$A$1:$A$200)/1%%+ROW($A$1:$A$200),ROW(A134)))&amp;"")</f>
        <v/>
      </c>
      <c r="D134" s="65"/>
      <c r="E134" s="65"/>
      <c r="F134" s="65"/>
      <c r="G134" s="65"/>
      <c r="H134" s="65"/>
      <c r="I134" s="65"/>
      <c r="J134" s="69"/>
    </row>
    <row r="135" s="52" customFormat="1" customHeight="1" spans="1:10">
      <c r="A135" s="54" t="str">
        <f ca="1">IFERROR(HLOOKUP(DATE($G$3,$H$3,$I$3),'API1'!$B$2:$CR$46,ROW($A138),0)&amp;"","")</f>
        <v/>
      </c>
      <c r="B135" s="54" t="str">
        <f>HLOOKUP(DATE($G$3,$H$3,$I$3),DATA!$C:$CS,ROW($B138),0)&amp;""</f>
        <v>02-04 05:46</v>
      </c>
      <c r="C135" s="64" t="str">
        <f t="array" ref="C135">IF($C$1="休息日","查询日休息！",INDEX(DATA!$A:$A,SMALL(COUNTIF($B$1:$B$200,DATA!$A$1:$A$200)/1%%+ROW($A$1:$A$200),ROW(A135)))&amp;"")</f>
        <v/>
      </c>
      <c r="D135" s="65"/>
      <c r="E135" s="65"/>
      <c r="F135" s="65"/>
      <c r="G135" s="65"/>
      <c r="H135" s="65"/>
      <c r="I135" s="65"/>
      <c r="J135" s="69"/>
    </row>
    <row r="136" s="52" customFormat="1" customHeight="1" spans="1:10">
      <c r="A136" s="54" t="str">
        <f ca="1">IFERROR(HLOOKUP(DATE($G$3,$H$3,$I$3),'API1'!$B$2:$CR$46,ROW($A139),0)&amp;"","")</f>
        <v/>
      </c>
      <c r="B136" s="54" t="str">
        <f>HLOOKUP(DATE($G$3,$H$3,$I$3),DATA!$C:$CS,ROW($B139),0)&amp;""</f>
        <v/>
      </c>
      <c r="C136" s="64" t="str">
        <f t="array" ref="C136">IF($C$1="休息日","查询日休息！",INDEX(DATA!$A:$A,SMALL(COUNTIF($B$1:$B$200,DATA!$A$1:$A$200)/1%%+ROW($A$1:$A$200),ROW(A136)))&amp;"")</f>
        <v/>
      </c>
      <c r="D136" s="65"/>
      <c r="E136" s="65"/>
      <c r="F136" s="65"/>
      <c r="G136" s="65"/>
      <c r="H136" s="65"/>
      <c r="I136" s="65"/>
      <c r="J136" s="69"/>
    </row>
    <row r="137" s="52" customFormat="1" customHeight="1" spans="1:10">
      <c r="A137" s="54" t="str">
        <f ca="1">IFERROR(HLOOKUP(DATE($G$3,$H$3,$I$3),'API1'!$B$2:$CR$46,ROW($A140),0)&amp;"","")</f>
        <v/>
      </c>
      <c r="B137" s="54" t="str">
        <f>HLOOKUP(DATE($G$3,$H$3,$I$3),DATA!$C:$CS,ROW($B140),0)&amp;""</f>
        <v/>
      </c>
      <c r="C137" s="64" t="str">
        <f t="array" ref="C137">IF($C$1="休息日","查询日休息！",INDEX(DATA!$A:$A,SMALL(COUNTIF($B$1:$B$200,DATA!$A$1:$A$200)/1%%+ROW($A$1:$A$200),ROW(A137)))&amp;"")</f>
        <v/>
      </c>
      <c r="D137" s="65"/>
      <c r="E137" s="65"/>
      <c r="F137" s="65"/>
      <c r="G137" s="65"/>
      <c r="H137" s="65"/>
      <c r="I137" s="65"/>
      <c r="J137" s="69"/>
    </row>
    <row r="138" s="52" customFormat="1" customHeight="1" spans="1:10">
      <c r="A138" s="54" t="str">
        <f ca="1">IFERROR(HLOOKUP(DATE($G$3,$H$3,$I$3),'API1'!$B$2:$CR$46,ROW($A141),0)&amp;"","")</f>
        <v/>
      </c>
      <c r="B138" s="54" t="str">
        <f>HLOOKUP(DATE($G$3,$H$3,$I$3),DATA!$C:$CS,ROW($B141),0)&amp;""</f>
        <v>占玄辉</v>
      </c>
      <c r="C138" s="64" t="str">
        <f t="array" ref="C138">IF($C$1="休息日","查询日休息！",INDEX(DATA!$A:$A,SMALL(COUNTIF($B$1:$B$200,DATA!$A$1:$A$200)/1%%+ROW($A$1:$A$200),ROW(A138)))&amp;"")</f>
        <v/>
      </c>
      <c r="D138" s="65"/>
      <c r="E138" s="65"/>
      <c r="F138" s="65"/>
      <c r="G138" s="65"/>
      <c r="H138" s="65"/>
      <c r="I138" s="65"/>
      <c r="J138" s="69"/>
    </row>
    <row r="139" s="52" customFormat="1" customHeight="1" spans="1:10">
      <c r="A139" s="54" t="str">
        <f ca="1">IFERROR(HLOOKUP(DATE($G$3,$H$3,$I$3),'API1'!$B$2:$CR$46,ROW($A142),0)&amp;"","")</f>
        <v/>
      </c>
      <c r="B139" s="54" t="str">
        <f>HLOOKUP(DATE($G$3,$H$3,$I$3),DATA!$C:$CS,ROW($B142),0)&amp;""</f>
        <v>02-04 05:37</v>
      </c>
      <c r="C139" s="64" t="str">
        <f t="array" ref="C139">IF($C$1="休息日","查询日休息！",INDEX(DATA!$A:$A,SMALL(COUNTIF($B$1:$B$200,DATA!$A$1:$A$200)/1%%+ROW($A$1:$A$200),ROW(A139)))&amp;"")</f>
        <v/>
      </c>
      <c r="D139" s="65"/>
      <c r="E139" s="65"/>
      <c r="F139" s="65"/>
      <c r="G139" s="65"/>
      <c r="H139" s="65"/>
      <c r="I139" s="65"/>
      <c r="J139" s="69"/>
    </row>
    <row r="140" s="52" customFormat="1" customHeight="1" spans="1:10">
      <c r="A140" s="54" t="str">
        <f ca="1">IFERROR(HLOOKUP(DATE($G$3,$H$3,$I$3),'API1'!$B$2:$CR$46,ROW($A143),0)&amp;"","")</f>
        <v/>
      </c>
      <c r="B140" s="54" t="str">
        <f>HLOOKUP(DATE($G$3,$H$3,$I$3),DATA!$C:$CS,ROW($B143),0)&amp;""</f>
        <v/>
      </c>
      <c r="C140" s="64" t="str">
        <f t="array" ref="C140">IF($C$1="休息日","查询日休息！",INDEX(DATA!$A:$A,SMALL(COUNTIF($B$1:$B$200,DATA!$A$1:$A$200)/1%%+ROW($A$1:$A$200),ROW(A140)))&amp;"")</f>
        <v/>
      </c>
      <c r="D140" s="65"/>
      <c r="E140" s="65"/>
      <c r="F140" s="65"/>
      <c r="G140" s="65"/>
      <c r="H140" s="65"/>
      <c r="I140" s="65"/>
      <c r="J140" s="69"/>
    </row>
    <row r="141" s="52" customFormat="1" customHeight="1" spans="1:10">
      <c r="A141" s="54" t="str">
        <f ca="1">IFERROR(HLOOKUP(DATE($G$3,$H$3,$I$3),'API1'!$B$2:$CR$46,ROW($A144),0)&amp;"","")</f>
        <v/>
      </c>
      <c r="B141" s="54" t="str">
        <f>HLOOKUP(DATE($G$3,$H$3,$I$3),DATA!$C:$CS,ROW($B144),0)&amp;""</f>
        <v/>
      </c>
      <c r="C141" s="64" t="str">
        <f t="array" ref="C141">IF($C$1="休息日","查询日休息！",INDEX(DATA!$A:$A,SMALL(COUNTIF($B$1:$B$200,DATA!$A$1:$A$200)/1%%+ROW($A$1:$A$200),ROW(A141)))&amp;"")</f>
        <v/>
      </c>
      <c r="D141" s="65"/>
      <c r="E141" s="65"/>
      <c r="F141" s="65"/>
      <c r="G141" s="65"/>
      <c r="H141" s="65"/>
      <c r="I141" s="65"/>
      <c r="J141" s="69"/>
    </row>
    <row r="142" s="52" customFormat="1" customHeight="1" spans="1:10">
      <c r="A142" s="54" t="str">
        <f ca="1">IFERROR(HLOOKUP(DATE($G$3,$H$3,$I$3),'API1'!$B$2:$CR$46,ROW($A145),0)&amp;"","")</f>
        <v/>
      </c>
      <c r="B142" s="54" t="str">
        <f>HLOOKUP(DATE($G$3,$H$3,$I$3),DATA!$C:$CS,ROW($B145),0)&amp;""</f>
        <v>张扬</v>
      </c>
      <c r="C142" s="64" t="str">
        <f t="array" ref="C142">IF($C$1="休息日","查询日休息！",INDEX(DATA!$A:$A,SMALL(COUNTIF($B$1:$B$200,DATA!$A$1:$A$200)/1%%+ROW($A$1:$A$200),ROW(A142)))&amp;"")</f>
        <v/>
      </c>
      <c r="D142" s="65"/>
      <c r="E142" s="65"/>
      <c r="F142" s="65"/>
      <c r="G142" s="65"/>
      <c r="H142" s="65"/>
      <c r="I142" s="65"/>
      <c r="J142" s="69"/>
    </row>
    <row r="143" s="52" customFormat="1" customHeight="1" spans="1:10">
      <c r="A143" s="54" t="str">
        <f ca="1">IFERROR(HLOOKUP(DATE($G$3,$H$3,$I$3),'API1'!$B$2:$CR$46,ROW($A146),0)&amp;"","")</f>
        <v/>
      </c>
      <c r="B143" s="54" t="str">
        <f>HLOOKUP(DATE($G$3,$H$3,$I$3),DATA!$C:$CS,ROW($B146),0)&amp;""</f>
        <v>02-04 05:28</v>
      </c>
      <c r="C143" s="64" t="str">
        <f t="array" ref="C143">IF($C$1="休息日","查询日休息！",INDEX(DATA!$A:$A,SMALL(COUNTIF($B$1:$B$200,DATA!$A$1:$A$200)/1%%+ROW($A$1:$A$200),ROW(A143)))&amp;"")</f>
        <v/>
      </c>
      <c r="D143" s="65"/>
      <c r="E143" s="65"/>
      <c r="F143" s="65"/>
      <c r="G143" s="65"/>
      <c r="H143" s="65"/>
      <c r="I143" s="65"/>
      <c r="J143" s="69"/>
    </row>
    <row r="144" s="52" customFormat="1" customHeight="1" spans="1:10">
      <c r="A144" s="54" t="str">
        <f ca="1">IFERROR(HLOOKUP(DATE($G$3,$H$3,$I$3),'API1'!$B$2:$CR$46,ROW($A147),0)&amp;"","")</f>
        <v/>
      </c>
      <c r="B144" s="54" t="str">
        <f>HLOOKUP(DATE($G$3,$H$3,$I$3),DATA!$C:$CS,ROW($B147),0)&amp;""</f>
        <v/>
      </c>
      <c r="C144" s="64" t="str">
        <f t="array" ref="C144">IF($C$1="休息日","查询日休息！",INDEX(DATA!$A:$A,SMALL(COUNTIF($B$1:$B$200,DATA!$A$1:$A$200)/1%%+ROW($A$1:$A$200),ROW(A144)))&amp;"")</f>
        <v/>
      </c>
      <c r="D144" s="65"/>
      <c r="E144" s="65"/>
      <c r="F144" s="65"/>
      <c r="G144" s="65"/>
      <c r="H144" s="65"/>
      <c r="I144" s="65"/>
      <c r="J144" s="69"/>
    </row>
    <row r="145" s="52" customFormat="1" customHeight="1" spans="1:10">
      <c r="A145" s="54" t="str">
        <f ca="1">IFERROR(HLOOKUP(DATE($G$3,$H$3,$I$3),'API1'!$B$2:$CR$46,ROW($A148),0)&amp;"","")</f>
        <v/>
      </c>
      <c r="B145" s="54" t="str">
        <f>HLOOKUP(DATE($G$3,$H$3,$I$3),DATA!$C:$CS,ROW($B148),0)&amp;""</f>
        <v>周美霖</v>
      </c>
      <c r="C145" s="64" t="str">
        <f t="array" ref="C145">IF($C$1="休息日","查询日休息！",INDEX(DATA!$A:$A,SMALL(COUNTIF($B$1:$B$200,DATA!$A$1:$A$200)/1%%+ROW($A$1:$A$200),ROW(A145)))&amp;"")</f>
        <v/>
      </c>
      <c r="D145" s="65"/>
      <c r="E145" s="65"/>
      <c r="F145" s="65"/>
      <c r="G145" s="65"/>
      <c r="H145" s="65"/>
      <c r="I145" s="65"/>
      <c r="J145" s="69"/>
    </row>
    <row r="146" s="52" customFormat="1" customHeight="1" spans="1:10">
      <c r="A146" s="54" t="str">
        <f ca="1">IFERROR(HLOOKUP(DATE($G$3,$H$3,$I$3),'API1'!$B$2:$CR$46,ROW($A149),0)&amp;"","")</f>
        <v/>
      </c>
      <c r="B146" s="54" t="str">
        <f>HLOOKUP(DATE($G$3,$H$3,$I$3),DATA!$C:$CS,ROW($B149),0)&amp;""</f>
        <v>02-04 05:15</v>
      </c>
      <c r="C146" s="64" t="str">
        <f t="array" ref="C146">IF($C$1="休息日","查询日休息！",INDEX(DATA!$A:$A,SMALL(COUNTIF($B$1:$B$200,DATA!$A$1:$A$200)/1%%+ROW($A$1:$A$200),ROW(A146)))&amp;"")</f>
        <v/>
      </c>
      <c r="D146" s="65"/>
      <c r="E146" s="65"/>
      <c r="F146" s="65"/>
      <c r="G146" s="65"/>
      <c r="H146" s="65"/>
      <c r="I146" s="65"/>
      <c r="J146" s="69"/>
    </row>
    <row r="147" s="52" customFormat="1" customHeight="1" spans="1:10">
      <c r="A147" s="54" t="str">
        <f ca="1">IFERROR(HLOOKUP(DATE($G$3,$H$3,$I$3),'API1'!$B$2:$CR$46,ROW($A150),0)&amp;"","")</f>
        <v/>
      </c>
      <c r="B147" s="54" t="str">
        <f>HLOOKUP(DATE($G$3,$H$3,$I$3),DATA!$C:$CS,ROW($B150),0)&amp;""</f>
        <v/>
      </c>
      <c r="C147" s="64" t="str">
        <f t="array" ref="C147">IF($C$1="休息日","查询日休息！",INDEX(DATA!$A:$A,SMALL(COUNTIF($B$1:$B$200,DATA!$A$1:$A$200)/1%%+ROW($A$1:$A$200),ROW(A147)))&amp;"")</f>
        <v/>
      </c>
      <c r="D147" s="65"/>
      <c r="E147" s="65"/>
      <c r="F147" s="65"/>
      <c r="G147" s="65"/>
      <c r="H147" s="65"/>
      <c r="I147" s="65"/>
      <c r="J147" s="69"/>
    </row>
    <row r="148" s="52" customFormat="1" customHeight="1" spans="1:10">
      <c r="A148" s="54" t="str">
        <f ca="1">IFERROR(HLOOKUP(DATE($G$3,$H$3,$I$3),'API1'!$B$2:$CR$46,ROW($A151),0)&amp;"","")</f>
        <v/>
      </c>
      <c r="B148" s="54" t="str">
        <f>HLOOKUP(DATE($G$3,$H$3,$I$3),DATA!$C:$CS,ROW($B151),0)&amp;""</f>
        <v/>
      </c>
      <c r="C148" s="64" t="str">
        <f t="array" ref="C148">IF($C$1="休息日","查询日休息！",INDEX(DATA!$A:$A,SMALL(COUNTIF($B$1:$B$200,DATA!$A$1:$A$200)/1%%+ROW($A$1:$A$200),ROW(A148)))&amp;"")</f>
        <v/>
      </c>
      <c r="D148" s="65"/>
      <c r="E148" s="65"/>
      <c r="F148" s="65"/>
      <c r="G148" s="65"/>
      <c r="H148" s="65"/>
      <c r="I148" s="65"/>
      <c r="J148" s="69"/>
    </row>
    <row r="149" s="52" customFormat="1" customHeight="1" spans="1:10">
      <c r="A149" s="54" t="str">
        <f ca="1">IFERROR(HLOOKUP(DATE($G$3,$H$3,$I$3),'API1'!$B$2:$CR$46,ROW($A152),0)&amp;"","")</f>
        <v/>
      </c>
      <c r="B149" s="54" t="str">
        <f>HLOOKUP(DATE($G$3,$H$3,$I$3),DATA!$C:$CS,ROW($B152),0)&amp;""</f>
        <v/>
      </c>
      <c r="C149" s="64" t="str">
        <f t="array" ref="C149">IF($C$1="休息日","查询日休息！",INDEX(DATA!$A:$A,SMALL(COUNTIF($B$1:$B$200,DATA!$A$1:$A$200)/1%%+ROW($A$1:$A$200),ROW(A149)))&amp;"")</f>
        <v/>
      </c>
      <c r="D149" s="65"/>
      <c r="E149" s="65"/>
      <c r="F149" s="65"/>
      <c r="G149" s="65"/>
      <c r="H149" s="65"/>
      <c r="I149" s="65"/>
      <c r="J149" s="69"/>
    </row>
    <row r="150" s="52" customFormat="1" customHeight="1" spans="1:10">
      <c r="A150" s="54" t="str">
        <f ca="1">IFERROR(HLOOKUP(DATE($G$3,$H$3,$I$3),'API1'!$B$2:$CR$46,ROW($A153),0)&amp;"","")</f>
        <v/>
      </c>
      <c r="B150" s="54" t="str">
        <f>HLOOKUP(DATE($G$3,$H$3,$I$3),DATA!$C:$CS,ROW($B153),0)&amp;""</f>
        <v/>
      </c>
      <c r="C150" s="64" t="str">
        <f t="array" ref="C150">IF($C$1="休息日","查询日休息！",INDEX(DATA!$A:$A,SMALL(COUNTIF($B$1:$B$200,DATA!$A$1:$A$200)/1%%+ROW($A$1:$A$200),ROW(A150)))&amp;"")</f>
        <v/>
      </c>
      <c r="D150" s="65"/>
      <c r="E150" s="65"/>
      <c r="F150" s="65"/>
      <c r="G150" s="65"/>
      <c r="H150" s="65"/>
      <c r="I150" s="65"/>
      <c r="J150" s="69"/>
    </row>
    <row r="151" s="52" customFormat="1" customHeight="1" spans="1:10">
      <c r="A151" s="54" t="str">
        <f ca="1">IFERROR(HLOOKUP(DATE($G$3,$H$3,$I$3),'API1'!$B$2:$CR$46,ROW($A154),0)&amp;"","")</f>
        <v/>
      </c>
      <c r="B151" s="54" t="str">
        <f>HLOOKUP(DATE($G$3,$H$3,$I$3),DATA!$C:$CS,ROW($B154),0)&amp;""</f>
        <v/>
      </c>
      <c r="C151" s="64" t="str">
        <f t="array" ref="C151">IF($C$1="休息日","查询日休息！",INDEX(DATA!$A:$A,SMALL(COUNTIF($B$1:$B$200,DATA!$A$1:$A$200)/1%%+ROW($A$1:$A$200),ROW(A151)))&amp;"")</f>
        <v/>
      </c>
      <c r="D151" s="65"/>
      <c r="E151" s="65"/>
      <c r="F151" s="65"/>
      <c r="G151" s="65"/>
      <c r="H151" s="65"/>
      <c r="I151" s="65"/>
      <c r="J151" s="69"/>
    </row>
    <row r="152" s="52" customFormat="1" customHeight="1" spans="1:10">
      <c r="A152" s="54" t="str">
        <f ca="1">IFERROR(HLOOKUP(DATE($G$3,$H$3,$I$3),'API1'!$B$2:$CR$46,ROW($A155),0)&amp;"","")</f>
        <v/>
      </c>
      <c r="B152" s="54" t="str">
        <f>HLOOKUP(DATE($G$3,$H$3,$I$3),DATA!$C:$CS,ROW($B155),0)&amp;""</f>
        <v/>
      </c>
      <c r="C152" s="64" t="str">
        <f t="array" ref="C152">IF($C$1="休息日","查询日休息！",INDEX(DATA!$A:$A,SMALL(COUNTIF($B$1:$B$200,DATA!$A$1:$A$200)/1%%+ROW($A$1:$A$200),ROW(A152)))&amp;"")</f>
        <v/>
      </c>
      <c r="D152" s="65"/>
      <c r="E152" s="65"/>
      <c r="F152" s="65"/>
      <c r="G152" s="65"/>
      <c r="H152" s="65"/>
      <c r="I152" s="65"/>
      <c r="J152" s="69"/>
    </row>
    <row r="153" s="52" customFormat="1" customHeight="1" spans="1:10">
      <c r="A153" s="54" t="str">
        <f ca="1">IFERROR(HLOOKUP(DATE($G$3,$H$3,$I$3),'API1'!$B$2:$CR$46,ROW($A156),0)&amp;"","")</f>
        <v/>
      </c>
      <c r="B153" s="54" t="str">
        <f>HLOOKUP(DATE($G$3,$H$3,$I$3),DATA!$C:$CS,ROW($B156),0)&amp;""</f>
        <v/>
      </c>
      <c r="C153" s="64" t="str">
        <f t="array" ref="C153">IF($C$1="休息日","查询日休息！",INDEX(DATA!$A:$A,SMALL(COUNTIF($B$1:$B$200,DATA!$A$1:$A$200)/1%%+ROW($A$1:$A$200),ROW(A153)))&amp;"")</f>
        <v/>
      </c>
      <c r="D153" s="65"/>
      <c r="E153" s="65"/>
      <c r="F153" s="65"/>
      <c r="G153" s="65"/>
      <c r="H153" s="65"/>
      <c r="I153" s="65"/>
      <c r="J153" s="69"/>
    </row>
    <row r="154" s="52" customFormat="1" customHeight="1" spans="1:10">
      <c r="A154" s="54" t="str">
        <f ca="1">IFERROR(HLOOKUP(DATE($G$3,$H$3,$I$3),'API1'!$B$2:$CR$46,ROW($A157),0)&amp;"","")</f>
        <v/>
      </c>
      <c r="B154" s="54" t="str">
        <f>HLOOKUP(DATE($G$3,$H$3,$I$3),DATA!$C:$CS,ROW($B157),0)&amp;""</f>
        <v/>
      </c>
      <c r="C154" s="64" t="str">
        <f t="array" ref="C154">IF($C$1="休息日","查询日休息！",INDEX(DATA!$A:$A,SMALL(COUNTIF($B$1:$B$200,DATA!$A$1:$A$200)/1%%+ROW($A$1:$A$200),ROW(A154)))&amp;"")</f>
        <v/>
      </c>
      <c r="D154" s="65"/>
      <c r="E154" s="65"/>
      <c r="F154" s="65"/>
      <c r="G154" s="65"/>
      <c r="H154" s="65"/>
      <c r="I154" s="65"/>
      <c r="J154" s="69"/>
    </row>
    <row r="155" s="52" customFormat="1" customHeight="1" spans="1:10">
      <c r="A155" s="54" t="str">
        <f ca="1">IFERROR(HLOOKUP(DATE($G$3,$H$3,$I$3),'API1'!$B$2:$CR$46,ROW($A158),0)&amp;"","")</f>
        <v/>
      </c>
      <c r="B155" s="54" t="str">
        <f>HLOOKUP(DATE($G$3,$H$3,$I$3),DATA!$C:$CS,ROW($B158),0)&amp;""</f>
        <v/>
      </c>
      <c r="C155" s="64" t="str">
        <f t="array" ref="C155">IF($C$1="休息日","查询日休息！",INDEX(DATA!$A:$A,SMALL(COUNTIF($B$1:$B$200,DATA!$A$1:$A$200)/1%%+ROW($A$1:$A$200),ROW(A155)))&amp;"")</f>
        <v/>
      </c>
      <c r="D155" s="65"/>
      <c r="E155" s="65"/>
      <c r="F155" s="65"/>
      <c r="G155" s="65"/>
      <c r="H155" s="65"/>
      <c r="I155" s="65"/>
      <c r="J155" s="69"/>
    </row>
    <row r="156" s="52" customFormat="1" customHeight="1" spans="1:10">
      <c r="A156" s="54" t="str">
        <f ca="1">IFERROR(HLOOKUP(DATE($G$3,$H$3,$I$3),'API1'!$B$2:$CR$46,ROW($A159),0)&amp;"","")</f>
        <v/>
      </c>
      <c r="B156" s="54" t="str">
        <f>HLOOKUP(DATE($G$3,$H$3,$I$3),DATA!$C:$CS,ROW($B159),0)&amp;""</f>
        <v/>
      </c>
      <c r="C156" s="64" t="str">
        <f t="array" ref="C156">IF($C$1="休息日","查询日休息！",INDEX(DATA!$A:$A,SMALL(COUNTIF($B$1:$B$200,DATA!$A$1:$A$200)/1%%+ROW($A$1:$A$200),ROW(A156)))&amp;"")</f>
        <v/>
      </c>
      <c r="D156" s="65"/>
      <c r="E156" s="65"/>
      <c r="F156" s="65"/>
      <c r="G156" s="65"/>
      <c r="H156" s="65"/>
      <c r="I156" s="65"/>
      <c r="J156" s="69"/>
    </row>
    <row r="157" s="52" customFormat="1" customHeight="1" spans="1:10">
      <c r="A157" s="54" t="str">
        <f ca="1">IFERROR(HLOOKUP(DATE($G$3,$H$3,$I$3),'API1'!$B$2:$CR$46,ROW($A160),0)&amp;"","")</f>
        <v/>
      </c>
      <c r="B157" s="54" t="str">
        <f>HLOOKUP(DATE($G$3,$H$3,$I$3),DATA!$C:$CS,ROW($B160),0)&amp;""</f>
        <v/>
      </c>
      <c r="C157" s="64" t="str">
        <f t="array" ref="C157">IF($C$1="休息日","查询日休息！",INDEX(DATA!$A:$A,SMALL(COUNTIF($B$1:$B$200,DATA!$A$1:$A$200)/1%%+ROW($A$1:$A$200),ROW(A157)))&amp;"")</f>
        <v/>
      </c>
      <c r="D157" s="65"/>
      <c r="E157" s="65"/>
      <c r="F157" s="65"/>
      <c r="G157" s="65"/>
      <c r="H157" s="65"/>
      <c r="I157" s="65"/>
      <c r="J157" s="69"/>
    </row>
    <row r="158" s="52" customFormat="1" customHeight="1" spans="1:10">
      <c r="A158" s="54" t="str">
        <f ca="1">IFERROR(HLOOKUP(DATE($G$3,$H$3,$I$3),'API1'!$B$2:$CR$46,ROW($A161),0)&amp;"","")</f>
        <v/>
      </c>
      <c r="B158" s="54" t="str">
        <f>HLOOKUP(DATE($G$3,$H$3,$I$3),DATA!$C:$CS,ROW($B161),0)&amp;""</f>
        <v/>
      </c>
      <c r="C158" s="64" t="str">
        <f t="array" ref="C158">IF($C$1="休息日","查询日休息！",INDEX(DATA!$A:$A,SMALL(COUNTIF($B$1:$B$200,DATA!$A$1:$A$200)/1%%+ROW($A$1:$A$200),ROW(A158)))&amp;"")</f>
        <v/>
      </c>
      <c r="D158" s="65"/>
      <c r="E158" s="65"/>
      <c r="F158" s="65"/>
      <c r="G158" s="65"/>
      <c r="H158" s="65"/>
      <c r="I158" s="65"/>
      <c r="J158" s="69"/>
    </row>
    <row r="159" s="52" customFormat="1" customHeight="1" spans="1:10">
      <c r="A159" s="54" t="str">
        <f ca="1">IFERROR(HLOOKUP(DATE($G$3,$H$3,$I$3),'API1'!$B$2:$CR$46,ROW($A162),0)&amp;"","")</f>
        <v/>
      </c>
      <c r="B159" s="54" t="str">
        <f>HLOOKUP(DATE($G$3,$H$3,$I$3),DATA!$C:$CS,ROW($B162),0)&amp;""</f>
        <v/>
      </c>
      <c r="C159" s="64" t="str">
        <f t="array" ref="C159">IF($C$1="休息日","查询日休息！",INDEX(DATA!$A:$A,SMALL(COUNTIF($B$1:$B$200,DATA!$A$1:$A$200)/1%%+ROW($A$1:$A$200),ROW(A159)))&amp;"")</f>
        <v/>
      </c>
      <c r="D159" s="65"/>
      <c r="E159" s="65"/>
      <c r="F159" s="65"/>
      <c r="G159" s="65"/>
      <c r="H159" s="65"/>
      <c r="I159" s="65"/>
      <c r="J159" s="69"/>
    </row>
    <row r="160" s="52" customFormat="1" customHeight="1" spans="1:10">
      <c r="A160" s="54" t="str">
        <f ca="1">IFERROR(HLOOKUP(DATE($G$3,$H$3,$I$3),'API1'!$B$2:$CR$46,ROW($A163),0)&amp;"","")</f>
        <v/>
      </c>
      <c r="B160" s="54" t="str">
        <f>HLOOKUP(DATE($G$3,$H$3,$I$3),DATA!$C:$CS,ROW($B163),0)&amp;""</f>
        <v/>
      </c>
      <c r="C160" s="64" t="str">
        <f t="array" ref="C160">IF($C$1="休息日","查询日休息！",INDEX(DATA!$A:$A,SMALL(COUNTIF($B$1:$B$200,DATA!$A$1:$A$200)/1%%+ROW($A$1:$A$200),ROW(A160)))&amp;"")</f>
        <v/>
      </c>
      <c r="D160" s="65"/>
      <c r="E160" s="65"/>
      <c r="F160" s="65"/>
      <c r="G160" s="65"/>
      <c r="H160" s="65"/>
      <c r="I160" s="65"/>
      <c r="J160" s="69"/>
    </row>
    <row r="161" s="52" customFormat="1" customHeight="1" spans="1:10">
      <c r="A161" s="54" t="str">
        <f ca="1">IFERROR(HLOOKUP(DATE($G$3,$H$3,$I$3),'API1'!$B$2:$CR$46,ROW($A164),0)&amp;"","")</f>
        <v/>
      </c>
      <c r="B161" s="54" t="str">
        <f>HLOOKUP(DATE($G$3,$H$3,$I$3),DATA!$C:$CS,ROW($B164),0)&amp;""</f>
        <v/>
      </c>
      <c r="C161" s="64" t="str">
        <f t="array" ref="C161">IF($C$1="休息日","查询日休息！",INDEX(DATA!$A:$A,SMALL(COUNTIF($B$1:$B$200,DATA!$A$1:$A$200)/1%%+ROW($A$1:$A$200),ROW(A161)))&amp;"")</f>
        <v/>
      </c>
      <c r="D161" s="65"/>
      <c r="E161" s="65"/>
      <c r="F161" s="65"/>
      <c r="G161" s="65"/>
      <c r="H161" s="65"/>
      <c r="I161" s="65"/>
      <c r="J161" s="69"/>
    </row>
    <row r="162" s="52" customFormat="1" customHeight="1" spans="1:10">
      <c r="A162" s="54" t="str">
        <f ca="1">IFERROR(HLOOKUP(DATE($G$3,$H$3,$I$3),'API1'!$B$2:$CR$46,ROW($A165),0)&amp;"","")</f>
        <v/>
      </c>
      <c r="B162" s="54" t="str">
        <f>HLOOKUP(DATE($G$3,$H$3,$I$3),DATA!$C:$CS,ROW($B165),0)&amp;""</f>
        <v/>
      </c>
      <c r="C162" s="64" t="str">
        <f t="array" ref="C162">IF($C$1="休息日","查询日休息！",INDEX(DATA!$A:$A,SMALL(COUNTIF($B$1:$B$200,DATA!$A$1:$A$200)/1%%+ROW($A$1:$A$200),ROW(A162)))&amp;"")</f>
        <v/>
      </c>
      <c r="D162" s="65"/>
      <c r="E162" s="65"/>
      <c r="F162" s="65"/>
      <c r="G162" s="65"/>
      <c r="H162" s="65"/>
      <c r="I162" s="65"/>
      <c r="J162" s="69"/>
    </row>
    <row r="163" s="52" customFormat="1" customHeight="1" spans="1:10">
      <c r="A163" s="54" t="str">
        <f ca="1">IFERROR(HLOOKUP(DATE($G$3,$H$3,$I$3),'API1'!$B$2:$CR$46,ROW($A166),0)&amp;"","")</f>
        <v/>
      </c>
      <c r="B163" s="54" t="str">
        <f>HLOOKUP(DATE($G$3,$H$3,$I$3),DATA!$C:$CS,ROW($B166),0)&amp;""</f>
        <v/>
      </c>
      <c r="C163" s="64" t="str">
        <f t="array" ref="C163">IF($C$1="休息日","查询日休息！",INDEX(DATA!$A:$A,SMALL(COUNTIF($B$1:$B$200,DATA!$A$1:$A$200)/1%%+ROW($A$1:$A$200),ROW(A163)))&amp;"")</f>
        <v/>
      </c>
      <c r="D163" s="65"/>
      <c r="E163" s="65"/>
      <c r="F163" s="65"/>
      <c r="G163" s="65"/>
      <c r="H163" s="65"/>
      <c r="I163" s="65"/>
      <c r="J163" s="69"/>
    </row>
    <row r="164" s="52" customFormat="1" customHeight="1" spans="1:10">
      <c r="A164" s="54" t="str">
        <f ca="1">IFERROR(HLOOKUP(DATE($G$3,$H$3,$I$3),'API1'!$B$2:$CR$46,ROW($A167),0)&amp;"","")</f>
        <v/>
      </c>
      <c r="B164" s="54" t="str">
        <f>HLOOKUP(DATE($G$3,$H$3,$I$3),DATA!$C:$CS,ROW($B167),0)&amp;""</f>
        <v/>
      </c>
      <c r="C164" s="64" t="str">
        <f t="array" ref="C164">IF($C$1="休息日","查询日休息！",INDEX(DATA!$A:$A,SMALL(COUNTIF($B$1:$B$200,DATA!$A$1:$A$200)/1%%+ROW($A$1:$A$200),ROW(A164)))&amp;"")</f>
        <v/>
      </c>
      <c r="D164" s="65"/>
      <c r="E164" s="65"/>
      <c r="F164" s="65"/>
      <c r="G164" s="65"/>
      <c r="H164" s="65"/>
      <c r="I164" s="65"/>
      <c r="J164" s="69"/>
    </row>
    <row r="165" s="52" customFormat="1" customHeight="1" spans="1:10">
      <c r="A165" s="54" t="str">
        <f ca="1">IFERROR(HLOOKUP(DATE($G$3,$H$3,$I$3),'API1'!$B$2:$CR$46,ROW($A168),0)&amp;"","")</f>
        <v/>
      </c>
      <c r="B165" s="54" t="str">
        <f>HLOOKUP(DATE($G$3,$H$3,$I$3),DATA!$C:$CS,ROW($B168),0)&amp;""</f>
        <v/>
      </c>
      <c r="C165" s="64" t="str">
        <f t="array" ref="C165">IF($C$1="休息日","查询日休息！",INDEX(DATA!$A:$A,SMALL(COUNTIF($B$1:$B$200,DATA!$A$1:$A$200)/1%%+ROW($A$1:$A$200),ROW(A165)))&amp;"")</f>
        <v/>
      </c>
      <c r="D165" s="65"/>
      <c r="E165" s="65"/>
      <c r="F165" s="65"/>
      <c r="G165" s="65"/>
      <c r="H165" s="65"/>
      <c r="I165" s="65"/>
      <c r="J165" s="69"/>
    </row>
    <row r="166" s="52" customFormat="1" customHeight="1" spans="1:10">
      <c r="A166" s="54" t="str">
        <f ca="1">IFERROR(HLOOKUP(DATE($G$3,$H$3,$I$3),'API1'!$B$2:$CR$46,ROW($A169),0)&amp;"","")</f>
        <v/>
      </c>
      <c r="B166" s="54" t="str">
        <f>HLOOKUP(DATE($G$3,$H$3,$I$3),DATA!$C:$CS,ROW($B169),0)&amp;""</f>
        <v/>
      </c>
      <c r="C166" s="64" t="str">
        <f t="array" ref="C166">IF($C$1="休息日","查询日休息！",INDEX(DATA!$A:$A,SMALL(COUNTIF($B$1:$B$200,DATA!$A$1:$A$200)/1%%+ROW($A$1:$A$200),ROW(A166)))&amp;"")</f>
        <v/>
      </c>
      <c r="D166" s="65"/>
      <c r="E166" s="65"/>
      <c r="F166" s="65"/>
      <c r="G166" s="65"/>
      <c r="H166" s="65"/>
      <c r="I166" s="65"/>
      <c r="J166" s="69"/>
    </row>
    <row r="167" s="52" customFormat="1" customHeight="1" spans="1:10">
      <c r="A167" s="54" t="str">
        <f ca="1">IFERROR(HLOOKUP(DATE($G$3,$H$3,$I$3),'API1'!$B$2:$CR$46,ROW($A170),0)&amp;"","")</f>
        <v/>
      </c>
      <c r="B167" s="54" t="str">
        <f>HLOOKUP(DATE($G$3,$H$3,$I$3),DATA!$C:$CS,ROW($B170),0)&amp;""</f>
        <v/>
      </c>
      <c r="C167" s="64" t="str">
        <f t="array" ref="C167">IF($C$1="休息日","查询日休息！",INDEX(DATA!$A:$A,SMALL(COUNTIF($B$1:$B$200,DATA!$A$1:$A$200)/1%%+ROW($A$1:$A$200),ROW(A167)))&amp;"")</f>
        <v/>
      </c>
      <c r="D167" s="65"/>
      <c r="E167" s="65"/>
      <c r="F167" s="65"/>
      <c r="G167" s="65"/>
      <c r="H167" s="65"/>
      <c r="I167" s="65"/>
      <c r="J167" s="69"/>
    </row>
    <row r="168" s="52" customFormat="1" customHeight="1" spans="1:10">
      <c r="A168" s="54" t="str">
        <f ca="1">IFERROR(HLOOKUP(DATE($G$3,$H$3,$I$3),'API1'!$B$2:$CR$46,ROW($A171),0)&amp;"","")</f>
        <v/>
      </c>
      <c r="B168" s="54" t="str">
        <f>HLOOKUP(DATE($G$3,$H$3,$I$3),DATA!$C:$CS,ROW($B171),0)&amp;""</f>
        <v/>
      </c>
      <c r="C168" s="64" t="str">
        <f t="array" ref="C168">IF($C$1="休息日","查询日休息！",INDEX(DATA!$A:$A,SMALL(COUNTIF($B$1:$B$200,DATA!$A$1:$A$200)/1%%+ROW($A$1:$A$200),ROW(A168)))&amp;"")</f>
        <v/>
      </c>
      <c r="D168" s="65"/>
      <c r="E168" s="65"/>
      <c r="F168" s="65"/>
      <c r="G168" s="65"/>
      <c r="H168" s="65"/>
      <c r="I168" s="65"/>
      <c r="J168" s="69"/>
    </row>
    <row r="169" s="52" customFormat="1" customHeight="1" spans="1:10">
      <c r="A169" s="54" t="str">
        <f ca="1">IFERROR(HLOOKUP(DATE($G$3,$H$3,$I$3),'API1'!$B$2:$CR$46,ROW($A172),0)&amp;"","")</f>
        <v/>
      </c>
      <c r="B169" s="54" t="str">
        <f>HLOOKUP(DATE($G$3,$H$3,$I$3),DATA!$C:$CS,ROW($B172),0)&amp;""</f>
        <v/>
      </c>
      <c r="C169" s="64" t="str">
        <f t="array" ref="C169">IF($C$1="休息日","查询日休息！",INDEX(DATA!$A:$A,SMALL(COUNTIF($B$1:$B$200,DATA!$A$1:$A$200)/1%%+ROW($A$1:$A$200),ROW(A169)))&amp;"")</f>
        <v/>
      </c>
      <c r="D169" s="65"/>
      <c r="E169" s="65"/>
      <c r="F169" s="65"/>
      <c r="G169" s="65"/>
      <c r="H169" s="65"/>
      <c r="I169" s="65"/>
      <c r="J169" s="69"/>
    </row>
    <row r="170" s="52" customFormat="1" customHeight="1" spans="1:10">
      <c r="A170" s="54" t="str">
        <f ca="1">IFERROR(HLOOKUP(DATE($G$3,$H$3,$I$3),'API1'!$B$2:$CR$46,ROW($A173),0)&amp;"","")</f>
        <v/>
      </c>
      <c r="B170" s="54" t="str">
        <f>HLOOKUP(DATE($G$3,$H$3,$I$3),DATA!$C:$CS,ROW($B173),0)&amp;""</f>
        <v/>
      </c>
      <c r="C170" s="64" t="str">
        <f t="array" ref="C170">IF($C$1="休息日","查询日休息！",INDEX(DATA!$A:$A,SMALL(COUNTIF($B$1:$B$200,DATA!$A$1:$A$200)/1%%+ROW($A$1:$A$200),ROW(A170)))&amp;"")</f>
        <v/>
      </c>
      <c r="D170" s="65"/>
      <c r="E170" s="65"/>
      <c r="F170" s="65"/>
      <c r="G170" s="65"/>
      <c r="H170" s="65"/>
      <c r="I170" s="65"/>
      <c r="J170" s="69"/>
    </row>
    <row r="171" s="52" customFormat="1" customHeight="1" spans="1:10">
      <c r="A171" s="54" t="str">
        <f ca="1">IFERROR(HLOOKUP(DATE($G$3,$H$3,$I$3),'API1'!$B$2:$CR$46,ROW($A174),0)&amp;"","")</f>
        <v/>
      </c>
      <c r="B171" s="54" t="str">
        <f>HLOOKUP(DATE($G$3,$H$3,$I$3),DATA!$C:$CS,ROW($B174),0)&amp;""</f>
        <v/>
      </c>
      <c r="C171" s="64" t="str">
        <f t="array" ref="C171">IF($C$1="休息日","查询日休息！",INDEX(DATA!$A:$A,SMALL(COUNTIF($B$1:$B$200,DATA!$A$1:$A$200)/1%%+ROW($A$1:$A$200),ROW(A171)))&amp;"")</f>
        <v/>
      </c>
      <c r="D171" s="65"/>
      <c r="E171" s="65"/>
      <c r="F171" s="65"/>
      <c r="G171" s="65"/>
      <c r="H171" s="65"/>
      <c r="I171" s="65"/>
      <c r="J171" s="69"/>
    </row>
    <row r="172" s="52" customFormat="1" customHeight="1" spans="1:10">
      <c r="A172" s="54" t="str">
        <f ca="1">IFERROR(HLOOKUP(DATE($G$3,$H$3,$I$3),'API1'!$B$2:$CR$46,ROW($A175),0)&amp;"","")</f>
        <v/>
      </c>
      <c r="B172" s="54" t="str">
        <f>HLOOKUP(DATE($G$3,$H$3,$I$3),DATA!$C:$CS,ROW($B175),0)&amp;""</f>
        <v/>
      </c>
      <c r="C172" s="64" t="str">
        <f t="array" ref="C172">IF($C$1="休息日","查询日休息！",INDEX(DATA!$A:$A,SMALL(COUNTIF($B$1:$B$200,DATA!$A$1:$A$200)/1%%+ROW($A$1:$A$200),ROW(A172)))&amp;"")</f>
        <v/>
      </c>
      <c r="D172" s="65"/>
      <c r="E172" s="65"/>
      <c r="F172" s="65"/>
      <c r="G172" s="65"/>
      <c r="H172" s="65"/>
      <c r="I172" s="65"/>
      <c r="J172" s="69"/>
    </row>
    <row r="173" s="52" customFormat="1" customHeight="1" spans="1:10">
      <c r="A173" s="54" t="str">
        <f ca="1">IFERROR(HLOOKUP(DATE($G$3,$H$3,$I$3),'API1'!$B$2:$CR$46,ROW($A176),0)&amp;"","")</f>
        <v/>
      </c>
      <c r="B173" s="54" t="str">
        <f>HLOOKUP(DATE($G$3,$H$3,$I$3),DATA!$C:$CS,ROW($B176),0)&amp;""</f>
        <v/>
      </c>
      <c r="C173" s="64" t="str">
        <f t="array" ref="C173">IF($C$1="休息日","查询日休息！",INDEX(DATA!$A:$A,SMALL(COUNTIF($B$1:$B$200,DATA!$A$1:$A$200)/1%%+ROW($A$1:$A$200),ROW(A173)))&amp;"")</f>
        <v/>
      </c>
      <c r="D173" s="65"/>
      <c r="E173" s="65"/>
      <c r="F173" s="65"/>
      <c r="G173" s="65"/>
      <c r="H173" s="65"/>
      <c r="I173" s="65"/>
      <c r="J173" s="69"/>
    </row>
    <row r="174" s="52" customFormat="1" customHeight="1" spans="1:10">
      <c r="A174" s="54" t="str">
        <f ca="1">IFERROR(HLOOKUP(DATE($G$3,$H$3,$I$3),'API1'!$B$2:$CR$46,ROW($A177),0)&amp;"","")</f>
        <v/>
      </c>
      <c r="B174" s="54" t="str">
        <f>HLOOKUP(DATE($G$3,$H$3,$I$3),DATA!$C:$CS,ROW($B177),0)&amp;""</f>
        <v/>
      </c>
      <c r="C174" s="64" t="str">
        <f t="array" ref="C174">IF($C$1="休息日","查询日休息！",INDEX(DATA!$A:$A,SMALL(COUNTIF($B$1:$B$200,DATA!$A$1:$A$200)/1%%+ROW($A$1:$A$200),ROW(A174)))&amp;"")</f>
        <v/>
      </c>
      <c r="D174" s="65"/>
      <c r="E174" s="65"/>
      <c r="F174" s="65"/>
      <c r="G174" s="65"/>
      <c r="H174" s="65"/>
      <c r="I174" s="65"/>
      <c r="J174" s="69"/>
    </row>
    <row r="175" s="52" customFormat="1" customHeight="1" spans="1:10">
      <c r="A175" s="54" t="str">
        <f ca="1">IFERROR(HLOOKUP(DATE($G$3,$H$3,$I$3),'API1'!$B$2:$CR$46,ROW($A178),0)&amp;"","")</f>
        <v/>
      </c>
      <c r="B175" s="54" t="str">
        <f>HLOOKUP(DATE($G$3,$H$3,$I$3),DATA!$C:$CS,ROW($B178),0)&amp;""</f>
        <v/>
      </c>
      <c r="C175" s="64" t="str">
        <f t="array" ref="C175">IF($C$1="休息日","查询日休息！",INDEX(DATA!$A:$A,SMALL(COUNTIF($B$1:$B$200,DATA!$A$1:$A$200)/1%%+ROW($A$1:$A$200),ROW(A175)))&amp;"")</f>
        <v/>
      </c>
      <c r="D175" s="65"/>
      <c r="E175" s="65"/>
      <c r="F175" s="65"/>
      <c r="G175" s="65"/>
      <c r="H175" s="65"/>
      <c r="I175" s="65"/>
      <c r="J175" s="69"/>
    </row>
    <row r="176" s="52" customFormat="1" customHeight="1" spans="1:10">
      <c r="A176" s="54" t="str">
        <f ca="1">IFERROR(HLOOKUP(DATE($G$3,$H$3,$I$3),'API1'!$B$2:$CR$46,ROW($A179),0)&amp;"","")</f>
        <v/>
      </c>
      <c r="B176" s="54" t="str">
        <f>HLOOKUP(DATE($G$3,$H$3,$I$3),DATA!$C:$CS,ROW($B179),0)&amp;""</f>
        <v/>
      </c>
      <c r="C176" s="64" t="str">
        <f t="array" ref="C176">IF($C$1="休息日","查询日休息！",INDEX(DATA!$A:$A,SMALL(COUNTIF($B$1:$B$200,DATA!$A$1:$A$200)/1%%+ROW($A$1:$A$200),ROW(A176)))&amp;"")</f>
        <v/>
      </c>
      <c r="D176" s="65"/>
      <c r="E176" s="65"/>
      <c r="F176" s="65"/>
      <c r="G176" s="65"/>
      <c r="H176" s="65"/>
      <c r="I176" s="65"/>
      <c r="J176" s="69"/>
    </row>
    <row r="177" s="52" customFormat="1" customHeight="1" spans="1:10">
      <c r="A177" s="54" t="str">
        <f ca="1">IFERROR(HLOOKUP(DATE($G$3,$H$3,$I$3),'API1'!$B$2:$CR$46,ROW($A180),0)&amp;"","")</f>
        <v/>
      </c>
      <c r="B177" s="54" t="str">
        <f>HLOOKUP(DATE($G$3,$H$3,$I$3),DATA!$C:$CS,ROW($B180),0)&amp;""</f>
        <v/>
      </c>
      <c r="C177" s="64" t="str">
        <f t="array" ref="C177">IF($C$1="休息日","查询日休息！",INDEX(DATA!$A:$A,SMALL(COUNTIF($B$1:$B$200,DATA!$A$1:$A$200)/1%%+ROW($A$1:$A$200),ROW(A177)))&amp;"")</f>
        <v/>
      </c>
      <c r="D177" s="65"/>
      <c r="E177" s="65"/>
      <c r="F177" s="65"/>
      <c r="G177" s="65"/>
      <c r="H177" s="65"/>
      <c r="I177" s="65"/>
      <c r="J177" s="69"/>
    </row>
    <row r="178" s="52" customFormat="1" customHeight="1" spans="1:10">
      <c r="A178" s="54" t="str">
        <f ca="1">IFERROR(HLOOKUP(DATE($G$3,$H$3,$I$3),'API1'!$B$2:$CR$46,ROW($A181),0)&amp;"","")</f>
        <v/>
      </c>
      <c r="B178" s="54" t="str">
        <f>HLOOKUP(DATE($G$3,$H$3,$I$3),DATA!$C:$CS,ROW($B181),0)&amp;""</f>
        <v/>
      </c>
      <c r="C178" s="64" t="str">
        <f t="array" ref="C178">IF($C$1="休息日","查询日休息！",INDEX(DATA!$A:$A,SMALL(COUNTIF($B$1:$B$200,DATA!$A$1:$A$200)/1%%+ROW($A$1:$A$200),ROW(A178)))&amp;"")</f>
        <v/>
      </c>
      <c r="D178" s="65"/>
      <c r="E178" s="65"/>
      <c r="F178" s="65"/>
      <c r="G178" s="65"/>
      <c r="H178" s="65"/>
      <c r="I178" s="65"/>
      <c r="J178" s="69"/>
    </row>
    <row r="179" s="52" customFormat="1" customHeight="1" spans="1:10">
      <c r="A179" s="54" t="str">
        <f ca="1">IFERROR(HLOOKUP(DATE($G$3,$H$3,$I$3),'API1'!$B$2:$CR$46,ROW($A182),0)&amp;"","")</f>
        <v/>
      </c>
      <c r="B179" s="54" t="str">
        <f>HLOOKUP(DATE($G$3,$H$3,$I$3),DATA!$C:$CS,ROW($B182),0)&amp;""</f>
        <v/>
      </c>
      <c r="C179" s="64" t="str">
        <f t="array" ref="C179">IF($C$1="休息日","查询日休息！",INDEX(DATA!$A:$A,SMALL(COUNTIF($B$1:$B$200,DATA!$A$1:$A$200)/1%%+ROW($A$1:$A$200),ROW(A179)))&amp;"")</f>
        <v/>
      </c>
      <c r="D179" s="65"/>
      <c r="E179" s="65"/>
      <c r="F179" s="65"/>
      <c r="G179" s="65"/>
      <c r="H179" s="65"/>
      <c r="I179" s="65"/>
      <c r="J179" s="69"/>
    </row>
    <row r="180" s="52" customFormat="1" customHeight="1" spans="1:10">
      <c r="A180" s="54" t="str">
        <f ca="1">IFERROR(HLOOKUP(DATE($G$3,$H$3,$I$3),'API1'!$B$2:$CR$46,ROW($A183),0)&amp;"","")</f>
        <v/>
      </c>
      <c r="B180" s="54" t="str">
        <f>HLOOKUP(DATE($G$3,$H$3,$I$3),DATA!$C:$CS,ROW($B183),0)&amp;""</f>
        <v/>
      </c>
      <c r="C180" s="64" t="str">
        <f t="array" ref="C180">IF($C$1="休息日","查询日休息！",INDEX(DATA!$A:$A,SMALL(COUNTIF($B$1:$B$200,DATA!$A$1:$A$200)/1%%+ROW($A$1:$A$200),ROW(A180)))&amp;"")</f>
        <v/>
      </c>
      <c r="D180" s="65"/>
      <c r="E180" s="65"/>
      <c r="F180" s="65"/>
      <c r="G180" s="65"/>
      <c r="H180" s="65"/>
      <c r="I180" s="65"/>
      <c r="J180" s="69"/>
    </row>
    <row r="181" s="52" customFormat="1" customHeight="1" spans="1:10">
      <c r="A181" s="54" t="str">
        <f ca="1">IFERROR(HLOOKUP(DATE($G$3,$H$3,$I$3),'API1'!$B$2:$CR$46,ROW($A184),0)&amp;"","")</f>
        <v/>
      </c>
      <c r="B181" s="54" t="str">
        <f>HLOOKUP(DATE($G$3,$H$3,$I$3),DATA!$C:$CS,ROW($B184),0)&amp;""</f>
        <v/>
      </c>
      <c r="C181" s="64" t="str">
        <f t="array" ref="C181">IF($C$1="休息日","查询日休息！",INDEX(DATA!$A:$A,SMALL(COUNTIF($B$1:$B$200,DATA!$A$1:$A$200)/1%%+ROW($A$1:$A$200),ROW(A181)))&amp;"")</f>
        <v/>
      </c>
      <c r="D181" s="65"/>
      <c r="E181" s="65"/>
      <c r="F181" s="65"/>
      <c r="G181" s="65"/>
      <c r="H181" s="65"/>
      <c r="I181" s="65"/>
      <c r="J181" s="69"/>
    </row>
    <row r="182" s="52" customFormat="1" customHeight="1" spans="1:10">
      <c r="A182" s="54" t="str">
        <f ca="1">IFERROR(HLOOKUP(DATE($G$3,$H$3,$I$3),'API1'!$B$2:$CR$46,ROW($A185),0)&amp;"","")</f>
        <v/>
      </c>
      <c r="B182" s="54" t="str">
        <f>HLOOKUP(DATE($G$3,$H$3,$I$3),DATA!$C:$CS,ROW($B185),0)&amp;""</f>
        <v/>
      </c>
      <c r="C182" s="64" t="str">
        <f t="array" ref="C182">IF($C$1="休息日","查询日休息！",INDEX(DATA!$A:$A,SMALL(COUNTIF($B$1:$B$200,DATA!$A$1:$A$200)/1%%+ROW($A$1:$A$200),ROW(A182)))&amp;"")</f>
        <v/>
      </c>
      <c r="D182" s="65"/>
      <c r="E182" s="65"/>
      <c r="F182" s="65"/>
      <c r="G182" s="65"/>
      <c r="H182" s="65"/>
      <c r="I182" s="65"/>
      <c r="J182" s="69"/>
    </row>
    <row r="183" s="52" customFormat="1" customHeight="1" spans="1:10">
      <c r="A183" s="54" t="str">
        <f ca="1">IFERROR(HLOOKUP(DATE($G$3,$H$3,$I$3),'API1'!$B$2:$CR$46,ROW($A186),0)&amp;"","")</f>
        <v/>
      </c>
      <c r="B183" s="54" t="str">
        <f>HLOOKUP(DATE($G$3,$H$3,$I$3),DATA!$C:$CS,ROW($B186),0)&amp;""</f>
        <v/>
      </c>
      <c r="C183" s="64" t="str">
        <f t="array" ref="C183">IF($C$1="休息日","查询日休息！",INDEX(DATA!$A:$A,SMALL(COUNTIF($B$1:$B$200,DATA!$A$1:$A$200)/1%%+ROW($A$1:$A$200),ROW(A183)))&amp;"")</f>
        <v/>
      </c>
      <c r="D183" s="65"/>
      <c r="E183" s="65"/>
      <c r="F183" s="65"/>
      <c r="G183" s="65"/>
      <c r="H183" s="65"/>
      <c r="I183" s="65"/>
      <c r="J183" s="69"/>
    </row>
    <row r="184" s="52" customFormat="1" customHeight="1" spans="1:10">
      <c r="A184" s="54" t="str">
        <f ca="1">IFERROR(HLOOKUP(DATE($G$3,$H$3,$I$3),'API1'!$B$2:$CR$46,ROW($A187),0)&amp;"","")</f>
        <v/>
      </c>
      <c r="B184" s="54" t="str">
        <f>HLOOKUP(DATE($G$3,$H$3,$I$3),DATA!$C:$CS,ROW($B187),0)&amp;""</f>
        <v/>
      </c>
      <c r="C184" s="64" t="str">
        <f t="array" ref="C184">IF($C$1="休息日","查询日休息！",INDEX(DATA!$A:$A,SMALL(COUNTIF($B$1:$B$200,DATA!$A$1:$A$200)/1%%+ROW($A$1:$A$200),ROW(A184)))&amp;"")</f>
        <v/>
      </c>
      <c r="D184" s="65"/>
      <c r="E184" s="65"/>
      <c r="F184" s="65"/>
      <c r="G184" s="65"/>
      <c r="H184" s="65"/>
      <c r="I184" s="65"/>
      <c r="J184" s="69"/>
    </row>
    <row r="185" s="52" customFormat="1" customHeight="1" spans="1:10">
      <c r="A185" s="54" t="str">
        <f ca="1">IFERROR(HLOOKUP(DATE($G$3,$H$3,$I$3),'API1'!$B$2:$CR$46,ROW($A188),0)&amp;"","")</f>
        <v/>
      </c>
      <c r="B185" s="54" t="str">
        <f>HLOOKUP(DATE($G$3,$H$3,$I$3),DATA!$C:$CS,ROW($B188),0)&amp;""</f>
        <v/>
      </c>
      <c r="C185" s="64" t="str">
        <f t="array" ref="C185">IF($C$1="休息日","查询日休息！",INDEX(DATA!$A:$A,SMALL(COUNTIF($B$1:$B$200,DATA!$A$1:$A$200)/1%%+ROW($A$1:$A$200),ROW(A185)))&amp;"")</f>
        <v/>
      </c>
      <c r="D185" s="65"/>
      <c r="E185" s="65"/>
      <c r="F185" s="65"/>
      <c r="G185" s="65"/>
      <c r="H185" s="65"/>
      <c r="I185" s="65"/>
      <c r="J185" s="69"/>
    </row>
    <row r="186" s="52" customFormat="1" customHeight="1" spans="1:10">
      <c r="A186" s="54" t="str">
        <f ca="1">IFERROR(HLOOKUP(DATE($G$3,$H$3,$I$3),'API1'!$B$2:$CR$46,ROW($A189),0)&amp;"","")</f>
        <v/>
      </c>
      <c r="B186" s="54" t="str">
        <f>HLOOKUP(DATE($G$3,$H$3,$I$3),DATA!$C:$CS,ROW($B189),0)&amp;""</f>
        <v/>
      </c>
      <c r="C186" s="64" t="str">
        <f t="array" ref="C186">IF($C$1="休息日","查询日休息！",INDEX(DATA!$A:$A,SMALL(COUNTIF($B$1:$B$200,DATA!$A$1:$A$200)/1%%+ROW($A$1:$A$200),ROW(A186)))&amp;"")</f>
        <v/>
      </c>
      <c r="D186" s="65"/>
      <c r="E186" s="65"/>
      <c r="F186" s="65"/>
      <c r="G186" s="65"/>
      <c r="H186" s="65"/>
      <c r="I186" s="65"/>
      <c r="J186" s="69"/>
    </row>
    <row r="187" s="52" customFormat="1" customHeight="1" spans="1:10">
      <c r="A187" s="54" t="str">
        <f ca="1">IFERROR(HLOOKUP(DATE($G$3,$H$3,$I$3),'API1'!$B$2:$CR$46,ROW($A190),0)&amp;"","")</f>
        <v/>
      </c>
      <c r="B187" s="54" t="str">
        <f>HLOOKUP(DATE($G$3,$H$3,$I$3),DATA!$C:$CS,ROW($B190),0)&amp;""</f>
        <v/>
      </c>
      <c r="C187" s="64" t="str">
        <f t="array" ref="C187">IF($C$1="休息日","查询日休息！",INDEX(DATA!$A:$A,SMALL(COUNTIF($B$1:$B$200,DATA!$A$1:$A$200)/1%%+ROW($A$1:$A$200),ROW(A187)))&amp;"")</f>
        <v/>
      </c>
      <c r="D187" s="65"/>
      <c r="E187" s="65"/>
      <c r="F187" s="65"/>
      <c r="G187" s="65"/>
      <c r="H187" s="65"/>
      <c r="I187" s="65"/>
      <c r="J187" s="69"/>
    </row>
    <row r="188" s="52" customFormat="1" customHeight="1" spans="1:10">
      <c r="A188" s="54" t="str">
        <f ca="1">IFERROR(HLOOKUP(DATE($G$3,$H$3,$I$3),'API1'!$B$2:$CR$46,ROW($A191),0)&amp;"","")</f>
        <v/>
      </c>
      <c r="B188" s="54" t="str">
        <f>HLOOKUP(DATE($G$3,$H$3,$I$3),DATA!$C:$CS,ROW($B191),0)&amp;""</f>
        <v/>
      </c>
      <c r="C188" s="64" t="str">
        <f t="array" ref="C188">IF($C$1="休息日","查询日休息！",INDEX(DATA!$A:$A,SMALL(COUNTIF($B$1:$B$200,DATA!$A$1:$A$200)/1%%+ROW($A$1:$A$200),ROW(A188)))&amp;"")</f>
        <v/>
      </c>
      <c r="D188" s="65"/>
      <c r="E188" s="65"/>
      <c r="F188" s="65"/>
      <c r="G188" s="65"/>
      <c r="H188" s="65"/>
      <c r="I188" s="65"/>
      <c r="J188" s="69"/>
    </row>
    <row r="189" s="52" customFormat="1" customHeight="1" spans="1:10">
      <c r="A189" s="54" t="str">
        <f ca="1">IFERROR(HLOOKUP(DATE($G$3,$H$3,$I$3),'API1'!$B$2:$CR$46,ROW($A192),0)&amp;"","")</f>
        <v/>
      </c>
      <c r="B189" s="54" t="str">
        <f>HLOOKUP(DATE($G$3,$H$3,$I$3),DATA!$C:$CS,ROW($B192),0)&amp;""</f>
        <v/>
      </c>
      <c r="C189" s="64" t="str">
        <f t="array" ref="C189">IF($C$1="休息日","查询日休息！",INDEX(DATA!$A:$A,SMALL(COUNTIF($B$1:$B$200,DATA!$A$1:$A$200)/1%%+ROW($A$1:$A$200),ROW(A189)))&amp;"")</f>
        <v/>
      </c>
      <c r="D189" s="65"/>
      <c r="E189" s="65"/>
      <c r="F189" s="65"/>
      <c r="G189" s="65"/>
      <c r="H189" s="65"/>
      <c r="I189" s="65"/>
      <c r="J189" s="69"/>
    </row>
    <row r="190" s="52" customFormat="1" customHeight="1" spans="1:10">
      <c r="A190" s="54" t="str">
        <f ca="1">IFERROR(HLOOKUP(DATE($G$3,$H$3,$I$3),'API1'!$B$2:$CR$46,ROW($A193),0)&amp;"","")</f>
        <v/>
      </c>
      <c r="B190" s="54" t="str">
        <f>HLOOKUP(DATE($G$3,$H$3,$I$3),DATA!$C:$CS,ROW($B193),0)&amp;""</f>
        <v/>
      </c>
      <c r="C190" s="64" t="str">
        <f t="array" ref="C190">IF($C$1="休息日","查询日休息！",INDEX(DATA!$A:$A,SMALL(COUNTIF($B$1:$B$200,DATA!$A$1:$A$200)/1%%+ROW($A$1:$A$200),ROW(A190)))&amp;"")</f>
        <v/>
      </c>
      <c r="D190" s="65"/>
      <c r="E190" s="65"/>
      <c r="F190" s="65"/>
      <c r="G190" s="65"/>
      <c r="H190" s="65"/>
      <c r="I190" s="65"/>
      <c r="J190" s="69"/>
    </row>
    <row r="191" s="52" customFormat="1" customHeight="1" spans="1:10">
      <c r="A191" s="54" t="str">
        <f ca="1">IFERROR(HLOOKUP(DATE($G$3,$H$3,$I$3),'API1'!$B$2:$CR$46,ROW($A194),0)&amp;"","")</f>
        <v/>
      </c>
      <c r="B191" s="54" t="str">
        <f>HLOOKUP(DATE($G$3,$H$3,$I$3),DATA!$C:$CS,ROW($B194),0)&amp;""</f>
        <v/>
      </c>
      <c r="C191" s="64" t="str">
        <f t="array" ref="C191">IF($C$1="休息日","查询日休息！",INDEX(DATA!$A:$A,SMALL(COUNTIF($B$1:$B$200,DATA!$A$1:$A$200)/1%%+ROW($A$1:$A$200),ROW(A191)))&amp;"")</f>
        <v/>
      </c>
      <c r="D191" s="65"/>
      <c r="E191" s="65"/>
      <c r="F191" s="65"/>
      <c r="G191" s="65"/>
      <c r="H191" s="65"/>
      <c r="I191" s="65"/>
      <c r="J191" s="69"/>
    </row>
    <row r="192" s="52" customFormat="1" customHeight="1" spans="1:10">
      <c r="A192" s="54" t="str">
        <f ca="1">IFERROR(HLOOKUP(DATE($G$3,$H$3,$I$3),'API1'!$B$2:$CR$46,ROW($A195),0)&amp;"","")</f>
        <v/>
      </c>
      <c r="B192" s="54" t="str">
        <f>HLOOKUP(DATE($G$3,$H$3,$I$3),DATA!$C:$CS,ROW($B195),0)&amp;""</f>
        <v/>
      </c>
      <c r="C192" s="64" t="str">
        <f t="array" ref="C192">IF($C$1="休息日","查询日休息！",INDEX(DATA!$A:$A,SMALL(COUNTIF($B$1:$B$200,DATA!$A$1:$A$200)/1%%+ROW($A$1:$A$200),ROW(A192)))&amp;"")</f>
        <v/>
      </c>
      <c r="D192" s="65"/>
      <c r="E192" s="65"/>
      <c r="F192" s="65"/>
      <c r="G192" s="65"/>
      <c r="H192" s="65"/>
      <c r="I192" s="65"/>
      <c r="J192" s="69"/>
    </row>
    <row r="193" s="52" customFormat="1" customHeight="1" spans="1:10">
      <c r="A193" s="54" t="str">
        <f ca="1">IFERROR(HLOOKUP(DATE($G$3,$H$3,$I$3),'API1'!$B$2:$CR$46,ROW($A196),0)&amp;"","")</f>
        <v/>
      </c>
      <c r="B193" s="54" t="str">
        <f>HLOOKUP(DATE($G$3,$H$3,$I$3),DATA!$C:$CS,ROW($B196),0)&amp;""</f>
        <v/>
      </c>
      <c r="C193" s="64" t="str">
        <f t="array" ref="C193">IF($C$1="休息日","查询日休息！",INDEX(DATA!$A:$A,SMALL(COUNTIF($B$1:$B$200,DATA!$A$1:$A$200)/1%%+ROW($A$1:$A$200),ROW(A193)))&amp;"")</f>
        <v/>
      </c>
      <c r="D193" s="65"/>
      <c r="E193" s="65"/>
      <c r="F193" s="65"/>
      <c r="G193" s="65"/>
      <c r="H193" s="65"/>
      <c r="I193" s="65"/>
      <c r="J193" s="69"/>
    </row>
    <row r="194" s="52" customFormat="1" customHeight="1" spans="1:10">
      <c r="A194" s="54" t="str">
        <f ca="1">IFERROR(HLOOKUP(DATE($G$3,$H$3,$I$3),'API1'!$B$2:$CR$46,ROW($A197),0)&amp;"","")</f>
        <v/>
      </c>
      <c r="B194" s="54" t="str">
        <f>HLOOKUP(DATE($G$3,$H$3,$I$3),DATA!$C:$CS,ROW($B197),0)&amp;""</f>
        <v/>
      </c>
      <c r="C194" s="64" t="str">
        <f t="array" ref="C194">IF($C$1="休息日","查询日休息！",INDEX(DATA!$A:$A,SMALL(COUNTIF($B$1:$B$200,DATA!$A$1:$A$200)/1%%+ROW($A$1:$A$200),ROW(A194)))&amp;"")</f>
        <v/>
      </c>
      <c r="D194" s="65"/>
      <c r="E194" s="65"/>
      <c r="F194" s="65"/>
      <c r="G194" s="65"/>
      <c r="H194" s="65"/>
      <c r="I194" s="65"/>
      <c r="J194" s="69"/>
    </row>
    <row r="195" s="52" customFormat="1" customHeight="1" spans="1:10">
      <c r="A195" s="54" t="str">
        <f ca="1">IFERROR(HLOOKUP(DATE($G$3,$H$3,$I$3),'API1'!$B$2:$CR$46,ROW($A198),0)&amp;"","")</f>
        <v/>
      </c>
      <c r="B195" s="54" t="str">
        <f>HLOOKUP(DATE($G$3,$H$3,$I$3),DATA!$C:$CS,ROW($B198),0)&amp;""</f>
        <v/>
      </c>
      <c r="C195" s="64" t="str">
        <f t="array" ref="C195">IF($C$1="休息日","查询日休息！",INDEX(DATA!$A:$A,SMALL(COUNTIF($B$1:$B$200,DATA!$A$1:$A$200)/1%%+ROW($A$1:$A$200),ROW(A195)))&amp;"")</f>
        <v/>
      </c>
      <c r="D195" s="65"/>
      <c r="E195" s="65"/>
      <c r="F195" s="65"/>
      <c r="G195" s="65"/>
      <c r="H195" s="65"/>
      <c r="I195" s="65"/>
      <c r="J195" s="69"/>
    </row>
    <row r="196" s="52" customFormat="1" customHeight="1" spans="1:10">
      <c r="A196" s="54" t="str">
        <f ca="1">IFERROR(HLOOKUP(DATE($G$3,$H$3,$I$3),'API1'!$B$2:$CR$46,ROW($A199),0)&amp;"","")</f>
        <v/>
      </c>
      <c r="B196" s="54" t="str">
        <f>HLOOKUP(DATE($G$3,$H$3,$I$3),DATA!$C:$CS,ROW($B199),0)&amp;""</f>
        <v/>
      </c>
      <c r="C196" s="64" t="str">
        <f t="array" ref="C196">IF($C$1="休息日","查询日休息！",INDEX(DATA!$A:$A,SMALL(COUNTIF($B$1:$B$200,DATA!$A$1:$A$200)/1%%+ROW($A$1:$A$200),ROW(A196)))&amp;"")</f>
        <v/>
      </c>
      <c r="D196" s="65"/>
      <c r="E196" s="65"/>
      <c r="F196" s="65"/>
      <c r="G196" s="65"/>
      <c r="H196" s="65"/>
      <c r="I196" s="65"/>
      <c r="J196" s="69"/>
    </row>
    <row r="197" s="52" customFormat="1" customHeight="1" spans="1:10">
      <c r="A197" s="54" t="str">
        <f ca="1">IFERROR(HLOOKUP(DATE($G$3,$H$3,$I$3),'API1'!$B$2:$CR$46,ROW($A200),0)&amp;"","")</f>
        <v/>
      </c>
      <c r="B197" s="54" t="str">
        <f>HLOOKUP(DATE($G$3,$H$3,$I$3),DATA!$C:$CS,ROW($B200),0)&amp;""</f>
        <v/>
      </c>
      <c r="C197" s="64" t="str">
        <f t="array" ref="C197">IF($C$1="休息日","查询日休息！",INDEX(DATA!$A:$A,SMALL(COUNTIF($B$1:$B$200,DATA!$A$1:$A$200)/1%%+ROW($A$1:$A$200),ROW(A197)))&amp;"")</f>
        <v/>
      </c>
      <c r="D197" s="65"/>
      <c r="E197" s="65"/>
      <c r="F197" s="65"/>
      <c r="G197" s="65"/>
      <c r="H197" s="65"/>
      <c r="I197" s="65"/>
      <c r="J197" s="69"/>
    </row>
    <row r="198" s="52" customFormat="1" customHeight="1" spans="1:10">
      <c r="A198" s="54" t="str">
        <f ca="1">IFERROR(HLOOKUP(DATE($G$3,$H$3,$I$3),'API1'!$B$2:$CR$46,ROW($A201),0)&amp;"","")</f>
        <v/>
      </c>
      <c r="B198" s="54" t="str">
        <f>HLOOKUP(DATE($G$3,$H$3,$I$3),DATA!$C:$CS,ROW($B201),0)&amp;""</f>
        <v/>
      </c>
      <c r="C198" s="64" t="str">
        <f t="array" ref="C198">IF($C$1="休息日","查询日休息！",INDEX(DATA!$A:$A,SMALL(COUNTIF($B$1:$B$200,DATA!$A$1:$A$200)/1%%+ROW($A$1:$A$200),ROW(A198)))&amp;"")</f>
        <v/>
      </c>
      <c r="D198" s="65"/>
      <c r="E198" s="65"/>
      <c r="F198" s="65"/>
      <c r="G198" s="65"/>
      <c r="H198" s="65"/>
      <c r="I198" s="65"/>
      <c r="J198" s="69"/>
    </row>
    <row r="199" s="52" customFormat="1" customHeight="1" spans="1:10">
      <c r="A199" s="54" t="str">
        <f ca="1">IFERROR(HLOOKUP(DATE($G$3,$H$3,$I$3),'API1'!$B$2:$CR$46,ROW($A202),0)&amp;"","")</f>
        <v/>
      </c>
      <c r="B199" s="54" t="str">
        <f>HLOOKUP(DATE($G$3,$H$3,$I$3),DATA!$C:$CS,ROW($B202),0)&amp;""</f>
        <v/>
      </c>
      <c r="C199" s="64" t="str">
        <f t="array" ref="C199">IF($C$1="休息日","查询日休息！",INDEX(DATA!$A:$A,SMALL(COUNTIF($B$1:$B$200,DATA!$A$1:$A$200)/1%%+ROW($A$1:$A$200),ROW(A199)))&amp;"")</f>
        <v/>
      </c>
      <c r="D199" s="65"/>
      <c r="E199" s="65"/>
      <c r="F199" s="65"/>
      <c r="G199" s="65"/>
      <c r="H199" s="65"/>
      <c r="I199" s="65"/>
      <c r="J199" s="69"/>
    </row>
    <row r="200" s="52" customFormat="1" customHeight="1" spans="1:10">
      <c r="A200" s="54" t="str">
        <f ca="1">IFERROR(HLOOKUP(DATE($G$3,$H$3,$I$3),'API1'!$B$2:$CR$46,ROW($A203),0)&amp;"","")</f>
        <v/>
      </c>
      <c r="B200" s="54" t="str">
        <f>HLOOKUP(DATE($G$3,$H$3,$I$3),DATA!$C:$CS,ROW($B203),0)&amp;""</f>
        <v/>
      </c>
      <c r="C200" s="64" t="str">
        <f t="array" ref="C200">IF($C$1="休息日","查询日休息！",INDEX(DATA!$A:$A,SMALL(COUNTIF($B$1:$B$200,DATA!$A$1:$A$200)/1%%+ROW($A$1:$A$200),ROW(A200)))&amp;"")</f>
        <v/>
      </c>
      <c r="D200" s="70"/>
      <c r="E200" s="70"/>
      <c r="F200" s="70"/>
      <c r="G200" s="70"/>
      <c r="H200" s="70"/>
      <c r="I200" s="70"/>
      <c r="J200" s="60"/>
    </row>
  </sheetData>
  <sheetProtection password="C724" sheet="1" objects="1"/>
  <mergeCells count="4">
    <mergeCell ref="D1:F1"/>
    <mergeCell ref="G1:J1"/>
    <mergeCell ref="D4:J4"/>
    <mergeCell ref="C2:C3"/>
  </mergeCell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1031" r:id="rId3" name="GetTime">
          <controlPr defaultSize="0" r:id="rId4">
            <anchor moveWithCells="1">
              <from>
                <xdr:col>9</xdr:col>
                <xdr:colOff>9525</xdr:colOff>
                <xdr:row>2</xdr:row>
                <xdr:rowOff>9525</xdr:rowOff>
              </from>
              <to>
                <xdr:col>16383</xdr:col>
                <xdr:colOff>9525</xdr:colOff>
                <xdr:row>3</xdr:row>
                <xdr:rowOff>9525</xdr:rowOff>
              </to>
            </anchor>
          </controlPr>
        </control>
      </mc:Choice>
      <mc:Fallback>
        <control shapeId="1031" r:id="rId3" name="GetTi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4" tint="0.399761955626087"/>
  </sheetPr>
  <dimension ref="A1:H17"/>
  <sheetViews>
    <sheetView zoomScale="85" zoomScaleNormal="85" workbookViewId="0">
      <selection activeCell="A1" sqref="A1:F1"/>
    </sheetView>
  </sheetViews>
  <sheetFormatPr defaultColWidth="0" defaultRowHeight="13.5" zeroHeight="1" outlineLevelCol="7"/>
  <cols>
    <col min="1" max="8" width="10.625" style="28" customWidth="1"/>
    <col min="9" max="9" width="10.625" style="28" hidden="1" customWidth="1"/>
    <col min="10" max="16384" width="10.625" style="28" hidden="1"/>
  </cols>
  <sheetData>
    <row r="1" s="37" customFormat="1" ht="22.5" spans="1:8">
      <c r="A1" s="38" t="s">
        <v>9</v>
      </c>
      <c r="B1" s="39"/>
      <c r="C1" s="39"/>
      <c r="D1" s="39"/>
      <c r="E1" s="39"/>
      <c r="F1" s="40"/>
      <c r="G1" s="38"/>
      <c r="H1" s="40"/>
    </row>
    <row r="2" s="37" customFormat="1" ht="22.5" spans="1:8">
      <c r="A2" s="41" t="s">
        <v>10</v>
      </c>
      <c r="B2" s="41"/>
      <c r="C2" s="41" t="s">
        <v>11</v>
      </c>
      <c r="D2" s="41"/>
      <c r="E2" s="41" t="s">
        <v>12</v>
      </c>
      <c r="F2" s="41"/>
      <c r="G2" s="42" t="s">
        <v>13</v>
      </c>
      <c r="H2" s="42" t="s">
        <v>14</v>
      </c>
    </row>
    <row r="3" s="37" customFormat="1" ht="22.5" spans="1:8">
      <c r="A3" s="41">
        <f>'API2'!$B$4</f>
        <v>4</v>
      </c>
      <c r="B3" s="41"/>
      <c r="C3" s="41">
        <f>'API2'!$C$4</f>
        <v>160</v>
      </c>
      <c r="D3" s="41"/>
      <c r="E3" s="43">
        <f>'API2'!$D$4</f>
        <v>0.975609756097561</v>
      </c>
      <c r="F3" s="43"/>
      <c r="G3" s="44">
        <v>2021</v>
      </c>
      <c r="H3" s="44">
        <v>2</v>
      </c>
    </row>
    <row r="4" s="37" customFormat="1" ht="21.75" spans="1:8">
      <c r="A4" s="45"/>
      <c r="B4" s="46"/>
      <c r="C4" s="46"/>
      <c r="D4" s="46"/>
      <c r="E4" s="46"/>
      <c r="F4" s="46"/>
      <c r="G4" s="47"/>
      <c r="H4" s="48"/>
    </row>
    <row r="5" s="37" customFormat="1" ht="21" spans="1:8">
      <c r="A5" s="45"/>
      <c r="B5" s="46"/>
      <c r="C5" s="46"/>
      <c r="D5" s="46"/>
      <c r="E5" s="46"/>
      <c r="F5" s="46"/>
      <c r="G5" s="47"/>
      <c r="H5" s="48"/>
    </row>
    <row r="6" s="37" customFormat="1" ht="21" spans="1:8">
      <c r="A6" s="45"/>
      <c r="B6" s="46"/>
      <c r="C6" s="46"/>
      <c r="D6" s="46"/>
      <c r="E6" s="46"/>
      <c r="F6" s="46"/>
      <c r="G6" s="47"/>
      <c r="H6" s="48"/>
    </row>
    <row r="7" s="37" customFormat="1" ht="21" spans="1:8">
      <c r="A7" s="45"/>
      <c r="B7" s="46"/>
      <c r="C7" s="46"/>
      <c r="D7" s="46"/>
      <c r="E7" s="46"/>
      <c r="F7" s="46"/>
      <c r="G7" s="47"/>
      <c r="H7" s="48"/>
    </row>
    <row r="8" s="37" customFormat="1" ht="21" spans="1:8">
      <c r="A8" s="45"/>
      <c r="B8" s="46"/>
      <c r="C8" s="46"/>
      <c r="D8" s="46"/>
      <c r="E8" s="46"/>
      <c r="F8" s="46"/>
      <c r="G8" s="47"/>
      <c r="H8" s="48"/>
    </row>
    <row r="9" s="37" customFormat="1" ht="21" spans="1:8">
      <c r="A9" s="45"/>
      <c r="B9" s="46"/>
      <c r="C9" s="46"/>
      <c r="D9" s="46"/>
      <c r="E9" s="46"/>
      <c r="F9" s="46"/>
      <c r="G9" s="47"/>
      <c r="H9" s="48"/>
    </row>
    <row r="10" s="37" customFormat="1" ht="21" spans="1:8">
      <c r="A10" s="45"/>
      <c r="B10" s="46"/>
      <c r="C10" s="46"/>
      <c r="D10" s="46"/>
      <c r="E10" s="46"/>
      <c r="F10" s="46"/>
      <c r="G10" s="47"/>
      <c r="H10" s="48"/>
    </row>
    <row r="11" s="37" customFormat="1" ht="21" spans="1:8">
      <c r="A11" s="45"/>
      <c r="B11" s="46"/>
      <c r="C11" s="46"/>
      <c r="D11" s="46"/>
      <c r="E11" s="46"/>
      <c r="F11" s="46"/>
      <c r="G11" s="47"/>
      <c r="H11" s="48"/>
    </row>
    <row r="12" s="37" customFormat="1" ht="21" spans="1:8">
      <c r="A12" s="45"/>
      <c r="B12" s="46"/>
      <c r="C12" s="46"/>
      <c r="D12" s="46"/>
      <c r="E12" s="46"/>
      <c r="F12" s="46"/>
      <c r="G12" s="47"/>
      <c r="H12" s="48"/>
    </row>
    <row r="13" s="37" customFormat="1" ht="21" spans="1:8">
      <c r="A13" s="45"/>
      <c r="B13" s="46"/>
      <c r="C13" s="46"/>
      <c r="D13" s="46"/>
      <c r="E13" s="46"/>
      <c r="F13" s="46"/>
      <c r="G13" s="47"/>
      <c r="H13" s="48"/>
    </row>
    <row r="14" s="37" customFormat="1" ht="21" spans="1:8">
      <c r="A14" s="45"/>
      <c r="B14" s="46"/>
      <c r="C14" s="46"/>
      <c r="D14" s="46"/>
      <c r="E14" s="46"/>
      <c r="F14" s="46"/>
      <c r="G14" s="47"/>
      <c r="H14" s="48"/>
    </row>
    <row r="15" s="37" customFormat="1" ht="21" spans="1:8">
      <c r="A15" s="45"/>
      <c r="B15" s="46"/>
      <c r="C15" s="46"/>
      <c r="D15" s="46"/>
      <c r="E15" s="46"/>
      <c r="F15" s="46"/>
      <c r="G15" s="47"/>
      <c r="H15" s="48"/>
    </row>
    <row r="16" s="37" customFormat="1" ht="21" spans="1:8">
      <c r="A16" s="45"/>
      <c r="B16" s="46"/>
      <c r="C16" s="46"/>
      <c r="D16" s="46"/>
      <c r="E16" s="46"/>
      <c r="F16" s="46"/>
      <c r="G16" s="47"/>
      <c r="H16" s="48"/>
    </row>
    <row r="17" s="37" customFormat="1" ht="21.75" spans="1:8">
      <c r="A17" s="49"/>
      <c r="B17" s="50"/>
      <c r="C17" s="50"/>
      <c r="D17" s="50"/>
      <c r="E17" s="50"/>
      <c r="F17" s="50"/>
      <c r="G17" s="50"/>
      <c r="H17" s="51"/>
    </row>
  </sheetData>
  <sheetProtection password="C724" sheet="1" objects="1"/>
  <mergeCells count="8">
    <mergeCell ref="A1:F1"/>
    <mergeCell ref="G1:H1"/>
    <mergeCell ref="A2:B2"/>
    <mergeCell ref="C2:D2"/>
    <mergeCell ref="E2:F2"/>
    <mergeCell ref="A3:B3"/>
    <mergeCell ref="C3:D3"/>
    <mergeCell ref="E3:F3"/>
  </mergeCells>
  <pageMargins left="0.75" right="0.75" top="1" bottom="1" header="0.5" footer="0.5"/>
  <pageSetup paperSize="9" orientation="portrait"/>
  <headerFooter/>
  <drawing r:id="rId1"/>
  <legacyDrawing r:id="rId2"/>
  <controls>
    <mc:AlternateContent xmlns:mc="http://schemas.openxmlformats.org/markup-compatibility/2006">
      <mc:Choice Requires="x14">
        <control shapeId="2050" r:id="rId3" name="GetTime">
          <controlPr defaultSize="0" r:id="rId4">
            <anchor moveWithCells="1">
              <from>
                <xdr:col>6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0</xdr:rowOff>
              </to>
            </anchor>
          </controlPr>
        </control>
      </mc:Choice>
      <mc:Fallback>
        <control shapeId="2050" r:id="rId3" name="GetTim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rgb="FFC00000"/>
  </sheetPr>
  <dimension ref="A1:H45"/>
  <sheetViews>
    <sheetView workbookViewId="0">
      <selection activeCell="H2" sqref="$A1:$XFD1048576"/>
    </sheetView>
  </sheetViews>
  <sheetFormatPr defaultColWidth="0" defaultRowHeight="13.5" outlineLevelCol="7"/>
  <cols>
    <col min="1" max="1" width="13.75" style="36" customWidth="1"/>
    <col min="2" max="2" width="6.375" style="36" customWidth="1"/>
    <col min="3" max="3" width="5.375" style="36" customWidth="1"/>
    <col min="4" max="4" width="9.375" style="36" hidden="1" customWidth="1"/>
    <col min="5" max="5" width="5.375" style="36" customWidth="1"/>
    <col min="6" max="6" width="11.5" style="36" customWidth="1"/>
    <col min="7" max="7" width="3.375" style="36" customWidth="1"/>
    <col min="8" max="8" width="5.375" style="36" customWidth="1"/>
    <col min="9" max="9" width="10.625" style="36" hidden="1" customWidth="1"/>
    <col min="10" max="16382" width="10.625" style="36" hidden="1"/>
    <col min="16383" max="16384" width="0" style="36" hidden="1"/>
  </cols>
  <sheetData>
    <row r="1" spans="1:1">
      <c r="A1" s="36">
        <f ca="1">TODAY()</f>
        <v>44231</v>
      </c>
    </row>
    <row r="2" spans="1:6">
      <c r="A2" s="36" t="s">
        <v>15</v>
      </c>
      <c r="B2" s="36" t="s">
        <v>16</v>
      </c>
      <c r="C2" s="36" t="s">
        <v>17</v>
      </c>
      <c r="D2" s="36" t="s">
        <v>18</v>
      </c>
      <c r="E2" s="36" t="s">
        <v>19</v>
      </c>
      <c r="F2" s="36" t="s">
        <v>20</v>
      </c>
    </row>
    <row r="4" spans="1:6">
      <c r="A4" s="36" t="s">
        <v>21</v>
      </c>
      <c r="B4" s="36">
        <f>SUM(B5:B200)</f>
        <v>4</v>
      </c>
      <c r="C4" s="36">
        <f>SUM(C$5:C$200)</f>
        <v>160</v>
      </c>
      <c r="D4" s="36">
        <f>IF($A4="","",C4/(C4+B4))</f>
        <v>0.975609756097561</v>
      </c>
      <c r="F4" s="36" t="str">
        <f>IF($A4="","",TEXT(C4/(C4+B4),"0.000%"))</f>
        <v>97.561%</v>
      </c>
    </row>
    <row r="5" spans="1:6">
      <c r="A5" s="36" t="s">
        <v>22</v>
      </c>
      <c r="B5" s="36">
        <v>0</v>
      </c>
      <c r="C5" s="36">
        <v>4</v>
      </c>
      <c r="D5" s="36">
        <f>IF($A5="","",C5/(C5+B5))</f>
        <v>1</v>
      </c>
      <c r="E5" s="36">
        <f>IF($A5="","",RANK($D5,$D$5:$D$45,0))</f>
        <v>1</v>
      </c>
      <c r="F5" s="36" t="s">
        <v>23</v>
      </c>
    </row>
    <row r="6" spans="1:5">
      <c r="A6" s="36" t="s">
        <v>24</v>
      </c>
      <c r="B6" s="36">
        <v>0</v>
      </c>
      <c r="C6" s="36">
        <v>4</v>
      </c>
      <c r="D6" s="36">
        <f>IF($A6="","",C6/(C6+B6))</f>
        <v>1</v>
      </c>
      <c r="E6" s="36">
        <f t="shared" ref="E6:E45" si="0">IF($A6="","",RANK($D6,$D$5:$D$45,0))</f>
        <v>1</v>
      </c>
    </row>
    <row r="7" spans="1:7">
      <c r="A7" s="36" t="s">
        <v>25</v>
      </c>
      <c r="B7" s="36">
        <v>0</v>
      </c>
      <c r="C7" s="36">
        <v>4</v>
      </c>
      <c r="D7" s="36">
        <f t="shared" ref="D7:D45" si="1">IF($A7="","",C7/(C7+B7))</f>
        <v>1</v>
      </c>
      <c r="E7" s="36">
        <f t="shared" si="0"/>
        <v>1</v>
      </c>
      <c r="F7" s="36" t="s">
        <v>26</v>
      </c>
      <c r="G7" s="36">
        <f>SUM(G8:G12)</f>
        <v>41</v>
      </c>
    </row>
    <row r="8" spans="1:8">
      <c r="A8" s="36" t="s">
        <v>27</v>
      </c>
      <c r="B8" s="36">
        <v>0</v>
      </c>
      <c r="C8" s="36">
        <v>4</v>
      </c>
      <c r="D8" s="36">
        <f t="shared" si="1"/>
        <v>1</v>
      </c>
      <c r="E8" s="36">
        <f t="shared" si="0"/>
        <v>1</v>
      </c>
      <c r="F8" s="36" t="s">
        <v>28</v>
      </c>
      <c r="G8" s="36">
        <f>COUNTIFS($D$5:$D$200,"&gt;=0",$D$5:$D$200,"&lt;0.2")</f>
        <v>1</v>
      </c>
      <c r="H8" s="36" t="str">
        <f>$G8&amp;"人"</f>
        <v>1人</v>
      </c>
    </row>
    <row r="9" spans="1:8">
      <c r="A9" s="36" t="s">
        <v>29</v>
      </c>
      <c r="B9" s="36">
        <v>0</v>
      </c>
      <c r="C9" s="36">
        <v>4</v>
      </c>
      <c r="D9" s="36">
        <f t="shared" si="1"/>
        <v>1</v>
      </c>
      <c r="E9" s="36">
        <f t="shared" si="0"/>
        <v>1</v>
      </c>
      <c r="F9" s="36" t="s">
        <v>30</v>
      </c>
      <c r="G9" s="36">
        <f>COUNTIFS($D$5:$D$200,"&gt;=0.2",$D$5:$D$200,"&lt;0.4")</f>
        <v>0</v>
      </c>
      <c r="H9" s="36" t="str">
        <f>$G9&amp;"人"</f>
        <v>0人</v>
      </c>
    </row>
    <row r="10" spans="1:8">
      <c r="A10" s="36" t="s">
        <v>31</v>
      </c>
      <c r="B10" s="36">
        <v>0</v>
      </c>
      <c r="C10" s="36">
        <v>4</v>
      </c>
      <c r="D10" s="36">
        <f t="shared" si="1"/>
        <v>1</v>
      </c>
      <c r="E10" s="36">
        <f t="shared" si="0"/>
        <v>1</v>
      </c>
      <c r="F10" s="36" t="s">
        <v>32</v>
      </c>
      <c r="G10" s="36">
        <f>COUNTIFS($D$5:$D$200,"&gt;=0.4",$D$5:$D$200,"&lt;0.6")</f>
        <v>0</v>
      </c>
      <c r="H10" s="36" t="str">
        <f>$G10&amp;"人"</f>
        <v>0人</v>
      </c>
    </row>
    <row r="11" spans="1:8">
      <c r="A11" s="36" t="s">
        <v>33</v>
      </c>
      <c r="B11" s="36">
        <v>0</v>
      </c>
      <c r="C11" s="36">
        <v>4</v>
      </c>
      <c r="D11" s="36">
        <f t="shared" si="1"/>
        <v>1</v>
      </c>
      <c r="E11" s="36">
        <f t="shared" si="0"/>
        <v>1</v>
      </c>
      <c r="F11" s="36" t="s">
        <v>34</v>
      </c>
      <c r="G11" s="36">
        <f>COUNTIFS($D$5:$D$200,"&gt;=0.6",$D$5:$D$200,"&lt;0.8")</f>
        <v>0</v>
      </c>
      <c r="H11" s="36" t="str">
        <f>$G11&amp;"人"</f>
        <v>0人</v>
      </c>
    </row>
    <row r="12" spans="1:8">
      <c r="A12" s="36" t="s">
        <v>35</v>
      </c>
      <c r="B12" s="36">
        <v>0</v>
      </c>
      <c r="C12" s="36">
        <v>4</v>
      </c>
      <c r="D12" s="36">
        <f t="shared" si="1"/>
        <v>1</v>
      </c>
      <c r="E12" s="36">
        <f t="shared" si="0"/>
        <v>1</v>
      </c>
      <c r="F12" s="36" t="s">
        <v>36</v>
      </c>
      <c r="G12" s="36">
        <f>COUNTIFS($D$5:$D$200,"&gt;=0.8",$D$5:$D$200,"&lt;=1")</f>
        <v>40</v>
      </c>
      <c r="H12" s="36" t="str">
        <f>$G12&amp;"人"</f>
        <v>40人</v>
      </c>
    </row>
    <row r="13" spans="1:5">
      <c r="A13" s="36" t="s">
        <v>37</v>
      </c>
      <c r="B13" s="36">
        <v>0</v>
      </c>
      <c r="C13" s="36">
        <v>4</v>
      </c>
      <c r="D13" s="36">
        <f t="shared" si="1"/>
        <v>1</v>
      </c>
      <c r="E13" s="36">
        <f t="shared" si="0"/>
        <v>1</v>
      </c>
    </row>
    <row r="14" spans="1:5">
      <c r="A14" s="36" t="s">
        <v>38</v>
      </c>
      <c r="B14" s="36">
        <v>0</v>
      </c>
      <c r="C14" s="36">
        <v>4</v>
      </c>
      <c r="D14" s="36">
        <f t="shared" si="1"/>
        <v>1</v>
      </c>
      <c r="E14" s="36">
        <f t="shared" si="0"/>
        <v>1</v>
      </c>
    </row>
    <row r="15" spans="1:5">
      <c r="A15" s="36" t="s">
        <v>39</v>
      </c>
      <c r="B15" s="36">
        <v>0</v>
      </c>
      <c r="C15" s="36">
        <v>4</v>
      </c>
      <c r="D15" s="36">
        <f t="shared" si="1"/>
        <v>1</v>
      </c>
      <c r="E15" s="36">
        <f t="shared" si="0"/>
        <v>1</v>
      </c>
    </row>
    <row r="16" spans="1:5">
      <c r="A16" s="36" t="s">
        <v>40</v>
      </c>
      <c r="B16" s="36">
        <v>0</v>
      </c>
      <c r="C16" s="36">
        <v>4</v>
      </c>
      <c r="D16" s="36">
        <f t="shared" si="1"/>
        <v>1</v>
      </c>
      <c r="E16" s="36">
        <f t="shared" si="0"/>
        <v>1</v>
      </c>
    </row>
    <row r="17" spans="1:5">
      <c r="A17" s="36" t="s">
        <v>41</v>
      </c>
      <c r="B17" s="36">
        <v>0</v>
      </c>
      <c r="C17" s="36">
        <v>4</v>
      </c>
      <c r="D17" s="36">
        <f t="shared" si="1"/>
        <v>1</v>
      </c>
      <c r="E17" s="36">
        <f t="shared" si="0"/>
        <v>1</v>
      </c>
    </row>
    <row r="18" spans="1:5">
      <c r="A18" s="36" t="s">
        <v>42</v>
      </c>
      <c r="B18" s="36">
        <v>0</v>
      </c>
      <c r="C18" s="36">
        <v>4</v>
      </c>
      <c r="D18" s="36">
        <f t="shared" si="1"/>
        <v>1</v>
      </c>
      <c r="E18" s="36">
        <f t="shared" si="0"/>
        <v>1</v>
      </c>
    </row>
    <row r="19" spans="1:5">
      <c r="A19" s="36" t="s">
        <v>43</v>
      </c>
      <c r="B19" s="36">
        <v>0</v>
      </c>
      <c r="C19" s="36">
        <v>4</v>
      </c>
      <c r="D19" s="36">
        <f t="shared" si="1"/>
        <v>1</v>
      </c>
      <c r="E19" s="36">
        <f t="shared" si="0"/>
        <v>1</v>
      </c>
    </row>
    <row r="20" spans="1:5">
      <c r="A20" s="36" t="s">
        <v>44</v>
      </c>
      <c r="B20" s="36">
        <v>0</v>
      </c>
      <c r="C20" s="36">
        <v>4</v>
      </c>
      <c r="D20" s="36">
        <f t="shared" si="1"/>
        <v>1</v>
      </c>
      <c r="E20" s="36">
        <f t="shared" si="0"/>
        <v>1</v>
      </c>
    </row>
    <row r="21" spans="1:5">
      <c r="A21" s="36" t="s">
        <v>45</v>
      </c>
      <c r="B21" s="36">
        <v>0</v>
      </c>
      <c r="C21" s="36">
        <v>4</v>
      </c>
      <c r="D21" s="36">
        <f t="shared" si="1"/>
        <v>1</v>
      </c>
      <c r="E21" s="36">
        <f t="shared" si="0"/>
        <v>1</v>
      </c>
    </row>
    <row r="22" spans="1:5">
      <c r="A22" s="36" t="s">
        <v>46</v>
      </c>
      <c r="B22" s="36">
        <v>0</v>
      </c>
      <c r="C22" s="36">
        <v>4</v>
      </c>
      <c r="D22" s="36">
        <f t="shared" si="1"/>
        <v>1</v>
      </c>
      <c r="E22" s="36">
        <f t="shared" si="0"/>
        <v>1</v>
      </c>
    </row>
    <row r="23" spans="1:5">
      <c r="A23" s="36" t="s">
        <v>47</v>
      </c>
      <c r="B23" s="36">
        <v>0</v>
      </c>
      <c r="C23" s="36">
        <v>4</v>
      </c>
      <c r="D23" s="36">
        <f t="shared" si="1"/>
        <v>1</v>
      </c>
      <c r="E23" s="36">
        <f t="shared" si="0"/>
        <v>1</v>
      </c>
    </row>
    <row r="24" spans="1:5">
      <c r="A24" s="36" t="s">
        <v>48</v>
      </c>
      <c r="B24" s="36">
        <v>0</v>
      </c>
      <c r="C24" s="36">
        <v>4</v>
      </c>
      <c r="D24" s="36">
        <f t="shared" si="1"/>
        <v>1</v>
      </c>
      <c r="E24" s="36">
        <f t="shared" si="0"/>
        <v>1</v>
      </c>
    </row>
    <row r="25" spans="1:5">
      <c r="A25" s="36" t="s">
        <v>49</v>
      </c>
      <c r="B25" s="36">
        <v>0</v>
      </c>
      <c r="C25" s="36">
        <v>4</v>
      </c>
      <c r="D25" s="36">
        <f t="shared" si="1"/>
        <v>1</v>
      </c>
      <c r="E25" s="36">
        <f t="shared" si="0"/>
        <v>1</v>
      </c>
    </row>
    <row r="26" spans="1:5">
      <c r="A26" s="36" t="s">
        <v>50</v>
      </c>
      <c r="B26" s="36">
        <v>0</v>
      </c>
      <c r="C26" s="36">
        <v>4</v>
      </c>
      <c r="D26" s="36">
        <f t="shared" si="1"/>
        <v>1</v>
      </c>
      <c r="E26" s="36">
        <f t="shared" si="0"/>
        <v>1</v>
      </c>
    </row>
    <row r="27" spans="1:5">
      <c r="A27" s="36" t="s">
        <v>51</v>
      </c>
      <c r="B27" s="36">
        <v>0</v>
      </c>
      <c r="C27" s="36">
        <v>4</v>
      </c>
      <c r="D27" s="36">
        <f t="shared" si="1"/>
        <v>1</v>
      </c>
      <c r="E27" s="36">
        <f t="shared" si="0"/>
        <v>1</v>
      </c>
    </row>
    <row r="28" spans="1:5">
      <c r="A28" s="36" t="s">
        <v>52</v>
      </c>
      <c r="B28" s="36">
        <v>0</v>
      </c>
      <c r="C28" s="36">
        <v>4</v>
      </c>
      <c r="D28" s="36">
        <f t="shared" si="1"/>
        <v>1</v>
      </c>
      <c r="E28" s="36">
        <f t="shared" si="0"/>
        <v>1</v>
      </c>
    </row>
    <row r="29" spans="1:5">
      <c r="A29" s="36" t="s">
        <v>53</v>
      </c>
      <c r="B29" s="36">
        <v>0</v>
      </c>
      <c r="C29" s="36">
        <v>4</v>
      </c>
      <c r="D29" s="36">
        <f t="shared" si="1"/>
        <v>1</v>
      </c>
      <c r="E29" s="36">
        <f t="shared" si="0"/>
        <v>1</v>
      </c>
    </row>
    <row r="30" spans="1:5">
      <c r="A30" s="36" t="s">
        <v>54</v>
      </c>
      <c r="B30" s="36">
        <v>0</v>
      </c>
      <c r="C30" s="36">
        <v>4</v>
      </c>
      <c r="D30" s="36">
        <f t="shared" si="1"/>
        <v>1</v>
      </c>
      <c r="E30" s="36">
        <f t="shared" si="0"/>
        <v>1</v>
      </c>
    </row>
    <row r="31" spans="1:5">
      <c r="A31" s="36" t="s">
        <v>55</v>
      </c>
      <c r="B31" s="36">
        <v>0</v>
      </c>
      <c r="C31" s="36">
        <v>4</v>
      </c>
      <c r="D31" s="36">
        <f t="shared" si="1"/>
        <v>1</v>
      </c>
      <c r="E31" s="36">
        <f t="shared" si="0"/>
        <v>1</v>
      </c>
    </row>
    <row r="32" spans="1:5">
      <c r="A32" s="36" t="s">
        <v>56</v>
      </c>
      <c r="B32" s="36">
        <v>0</v>
      </c>
      <c r="C32" s="36">
        <v>4</v>
      </c>
      <c r="D32" s="36">
        <f t="shared" si="1"/>
        <v>1</v>
      </c>
      <c r="E32" s="36">
        <f t="shared" si="0"/>
        <v>1</v>
      </c>
    </row>
    <row r="33" spans="1:5">
      <c r="A33" s="36" t="s">
        <v>57</v>
      </c>
      <c r="B33" s="36">
        <v>0</v>
      </c>
      <c r="C33" s="36">
        <v>4</v>
      </c>
      <c r="D33" s="36">
        <f t="shared" si="1"/>
        <v>1</v>
      </c>
      <c r="E33" s="36">
        <f t="shared" si="0"/>
        <v>1</v>
      </c>
    </row>
    <row r="34" spans="1:5">
      <c r="A34" s="36" t="s">
        <v>58</v>
      </c>
      <c r="B34" s="36">
        <v>0</v>
      </c>
      <c r="C34" s="36">
        <v>4</v>
      </c>
      <c r="D34" s="36">
        <f t="shared" si="1"/>
        <v>1</v>
      </c>
      <c r="E34" s="36">
        <f t="shared" si="0"/>
        <v>1</v>
      </c>
    </row>
    <row r="35" spans="1:5">
      <c r="A35" s="36" t="s">
        <v>59</v>
      </c>
      <c r="B35" s="36">
        <v>0</v>
      </c>
      <c r="C35" s="36">
        <v>4</v>
      </c>
      <c r="D35" s="36">
        <f t="shared" si="1"/>
        <v>1</v>
      </c>
      <c r="E35" s="36">
        <f t="shared" si="0"/>
        <v>1</v>
      </c>
    </row>
    <row r="36" spans="1:5">
      <c r="A36" s="36" t="s">
        <v>60</v>
      </c>
      <c r="B36" s="36">
        <v>0</v>
      </c>
      <c r="C36" s="36">
        <v>4</v>
      </c>
      <c r="D36" s="36">
        <f t="shared" si="1"/>
        <v>1</v>
      </c>
      <c r="E36" s="36">
        <f t="shared" si="0"/>
        <v>1</v>
      </c>
    </row>
    <row r="37" spans="1:5">
      <c r="A37" s="36" t="s">
        <v>61</v>
      </c>
      <c r="B37" s="36">
        <v>0</v>
      </c>
      <c r="C37" s="36">
        <v>4</v>
      </c>
      <c r="D37" s="36">
        <f t="shared" si="1"/>
        <v>1</v>
      </c>
      <c r="E37" s="36">
        <f t="shared" si="0"/>
        <v>1</v>
      </c>
    </row>
    <row r="38" spans="1:5">
      <c r="A38" s="36" t="s">
        <v>62</v>
      </c>
      <c r="B38" s="36">
        <v>0</v>
      </c>
      <c r="C38" s="36">
        <v>4</v>
      </c>
      <c r="D38" s="36">
        <f t="shared" si="1"/>
        <v>1</v>
      </c>
      <c r="E38" s="36">
        <f t="shared" si="0"/>
        <v>1</v>
      </c>
    </row>
    <row r="39" spans="1:5">
      <c r="A39" s="36" t="s">
        <v>63</v>
      </c>
      <c r="B39" s="36">
        <v>0</v>
      </c>
      <c r="C39" s="36">
        <v>4</v>
      </c>
      <c r="D39" s="36">
        <f t="shared" si="1"/>
        <v>1</v>
      </c>
      <c r="E39" s="36">
        <f t="shared" si="0"/>
        <v>1</v>
      </c>
    </row>
    <row r="40" spans="1:5">
      <c r="A40" s="36" t="s">
        <v>64</v>
      </c>
      <c r="B40" s="36">
        <v>0</v>
      </c>
      <c r="C40" s="36">
        <v>4</v>
      </c>
      <c r="D40" s="36">
        <f t="shared" si="1"/>
        <v>1</v>
      </c>
      <c r="E40" s="36">
        <f t="shared" si="0"/>
        <v>1</v>
      </c>
    </row>
    <row r="41" spans="1:5">
      <c r="A41" s="36" t="s">
        <v>65</v>
      </c>
      <c r="B41" s="36">
        <v>0</v>
      </c>
      <c r="C41" s="36">
        <v>4</v>
      </c>
      <c r="D41" s="36">
        <f t="shared" si="1"/>
        <v>1</v>
      </c>
      <c r="E41" s="36">
        <f t="shared" si="0"/>
        <v>1</v>
      </c>
    </row>
    <row r="42" spans="1:5">
      <c r="A42" s="36" t="s">
        <v>66</v>
      </c>
      <c r="B42" s="36">
        <v>0</v>
      </c>
      <c r="C42" s="36">
        <v>4</v>
      </c>
      <c r="D42" s="36">
        <f t="shared" si="1"/>
        <v>1</v>
      </c>
      <c r="E42" s="36">
        <f t="shared" si="0"/>
        <v>1</v>
      </c>
    </row>
    <row r="43" spans="1:5">
      <c r="A43" s="36" t="s">
        <v>67</v>
      </c>
      <c r="B43" s="36">
        <v>0</v>
      </c>
      <c r="C43" s="36">
        <v>4</v>
      </c>
      <c r="D43" s="36">
        <f t="shared" si="1"/>
        <v>1</v>
      </c>
      <c r="E43" s="36">
        <f t="shared" si="0"/>
        <v>1</v>
      </c>
    </row>
    <row r="44" spans="1:5">
      <c r="A44" s="36" t="s">
        <v>68</v>
      </c>
      <c r="B44" s="36">
        <v>0</v>
      </c>
      <c r="C44" s="36">
        <v>4</v>
      </c>
      <c r="D44" s="36">
        <f t="shared" si="1"/>
        <v>1</v>
      </c>
      <c r="E44" s="36">
        <f t="shared" si="0"/>
        <v>1</v>
      </c>
    </row>
    <row r="45" spans="1:5">
      <c r="A45" s="36" t="s">
        <v>69</v>
      </c>
      <c r="B45" s="36">
        <v>4</v>
      </c>
      <c r="C45" s="36">
        <v>0</v>
      </c>
      <c r="D45" s="36">
        <f t="shared" si="1"/>
        <v>0</v>
      </c>
      <c r="E45" s="36">
        <f t="shared" si="0"/>
        <v>41</v>
      </c>
    </row>
  </sheetData>
  <sheetProtection password="C724" sheet="1"/>
  <pageMargins left="0.75" right="0.75" top="1" bottom="1" header="0.5" footer="0.5"/>
  <pageSetup paperSize="9" orientation="portrait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theme="8" tint="-0.499984740745262"/>
  </sheetPr>
  <dimension ref="A1:CR45"/>
  <sheetViews>
    <sheetView zoomScale="70" zoomScaleNormal="70" workbookViewId="0">
      <selection activeCell="K9" sqref="K9"/>
    </sheetView>
  </sheetViews>
  <sheetFormatPr defaultColWidth="0" defaultRowHeight="13.5" zeroHeight="1"/>
  <cols>
    <col min="1" max="1" width="20.75" style="28" customWidth="1"/>
    <col min="2" max="5" width="10.875" style="28" customWidth="1"/>
    <col min="6" max="14" width="9.375" style="28" customWidth="1"/>
    <col min="15" max="34" width="10.875" style="28" customWidth="1"/>
    <col min="35" max="43" width="9.375" style="28" customWidth="1"/>
    <col min="44" max="65" width="10.875" style="28" customWidth="1"/>
    <col min="66" max="74" width="9.375" style="28" customWidth="1"/>
    <col min="75" max="95" width="10.875" style="28" customWidth="1"/>
    <col min="96" max="96" width="9.375" style="28" customWidth="1"/>
    <col min="97" max="97" width="9" style="28" hidden="1" customWidth="1"/>
    <col min="98" max="16384" width="9" style="28" hidden="1"/>
  </cols>
  <sheetData>
    <row r="1" s="26" customFormat="1" ht="27" customHeight="1" spans="1:96">
      <c r="A1" s="29">
        <f ca="1">NOW()</f>
        <v>44231.8367592593</v>
      </c>
      <c r="B1" s="29"/>
      <c r="C1" s="29"/>
      <c r="D1" s="29"/>
      <c r="E1" s="29"/>
      <c r="F1" s="29"/>
      <c r="G1" s="29"/>
      <c r="H1" s="29"/>
      <c r="I1" s="29"/>
      <c r="J1" s="29"/>
      <c r="K1" s="29"/>
      <c r="L1" s="29"/>
      <c r="M1" s="29"/>
      <c r="N1" s="29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</row>
    <row r="2" s="26" customFormat="1" ht="20.25" customHeight="1" spans="1:96">
      <c r="A2" s="30" t="s">
        <v>70</v>
      </c>
      <c r="B2" s="31">
        <f>DATA!C1</f>
        <v>44224</v>
      </c>
      <c r="C2" s="31">
        <f>DATA!D1</f>
        <v>44225</v>
      </c>
      <c r="D2" s="31">
        <f>DATA!E1</f>
        <v>44226</v>
      </c>
      <c r="E2" s="31">
        <f>DATA!F1</f>
        <v>44227</v>
      </c>
      <c r="F2" s="31">
        <f>DATA!G1</f>
        <v>44228</v>
      </c>
      <c r="G2" s="31">
        <f>DATA!H1</f>
        <v>44229</v>
      </c>
      <c r="H2" s="31">
        <f>DATA!I1</f>
        <v>44230</v>
      </c>
      <c r="I2" s="31">
        <f>DATA!J1</f>
        <v>44231</v>
      </c>
      <c r="J2" s="31">
        <f>DATA!K1</f>
        <v>44232</v>
      </c>
      <c r="K2" s="31">
        <f>DATA!L1</f>
        <v>44233</v>
      </c>
      <c r="L2" s="31">
        <f>DATA!M1</f>
        <v>44234</v>
      </c>
      <c r="M2" s="31">
        <f>DATA!N1</f>
        <v>44235</v>
      </c>
      <c r="N2" s="31">
        <f>DATA!O1</f>
        <v>44236</v>
      </c>
      <c r="O2" s="31">
        <f>DATA!P1</f>
        <v>44237</v>
      </c>
      <c r="P2" s="31">
        <f>DATA!Q1</f>
        <v>44238</v>
      </c>
      <c r="Q2" s="31">
        <f>DATA!R1</f>
        <v>44239</v>
      </c>
      <c r="R2" s="31">
        <f>DATA!S1</f>
        <v>44240</v>
      </c>
      <c r="S2" s="31">
        <f>DATA!T1</f>
        <v>44241</v>
      </c>
      <c r="T2" s="31">
        <f>DATA!U1</f>
        <v>44242</v>
      </c>
      <c r="U2" s="31">
        <f>DATA!V1</f>
        <v>44243</v>
      </c>
      <c r="V2" s="31">
        <f>DATA!W1</f>
        <v>44244</v>
      </c>
      <c r="W2" s="31">
        <f>DATA!X1</f>
        <v>44245</v>
      </c>
      <c r="X2" s="31">
        <f>DATA!Y1</f>
        <v>44246</v>
      </c>
      <c r="Y2" s="31">
        <f>DATA!Z1</f>
        <v>44247</v>
      </c>
      <c r="Z2" s="31">
        <f>DATA!AA1</f>
        <v>44248</v>
      </c>
      <c r="AA2" s="31">
        <f>DATA!AB1</f>
        <v>44249</v>
      </c>
      <c r="AB2" s="31">
        <f>DATA!AC1</f>
        <v>44250</v>
      </c>
      <c r="AC2" s="31">
        <f>DATA!AD1</f>
        <v>44251</v>
      </c>
      <c r="AD2" s="31">
        <f>DATA!AE1</f>
        <v>44252</v>
      </c>
      <c r="AE2" s="31">
        <f>DATA!AF1</f>
        <v>44253</v>
      </c>
      <c r="AF2" s="31">
        <f>DATA!AG1</f>
        <v>44254</v>
      </c>
      <c r="AG2" s="31">
        <f>DATA!AH1</f>
        <v>44255</v>
      </c>
      <c r="AH2" s="31">
        <f>DATA!AI1</f>
        <v>44256</v>
      </c>
      <c r="AI2" s="31">
        <f>DATA!AJ1</f>
        <v>44257</v>
      </c>
      <c r="AJ2" s="31">
        <f>DATA!AK1</f>
        <v>44258</v>
      </c>
      <c r="AK2" s="31">
        <f>DATA!AL1</f>
        <v>44259</v>
      </c>
      <c r="AL2" s="31">
        <f>DATA!AM1</f>
        <v>44260</v>
      </c>
      <c r="AM2" s="31">
        <f>DATA!AN1</f>
        <v>44261</v>
      </c>
      <c r="AN2" s="31">
        <f>DATA!AO1</f>
        <v>44262</v>
      </c>
      <c r="AO2" s="31">
        <f>DATA!AP1</f>
        <v>44263</v>
      </c>
      <c r="AP2" s="31">
        <f>DATA!AQ1</f>
        <v>44264</v>
      </c>
      <c r="AQ2" s="31">
        <f>DATA!AR1</f>
        <v>44265</v>
      </c>
      <c r="AR2" s="31">
        <f>DATA!AS1</f>
        <v>44266</v>
      </c>
      <c r="AS2" s="31">
        <f>DATA!AT1</f>
        <v>44267</v>
      </c>
      <c r="AT2" s="31">
        <f>DATA!AU1</f>
        <v>44268</v>
      </c>
      <c r="AU2" s="31">
        <f>DATA!AV1</f>
        <v>44269</v>
      </c>
      <c r="AV2" s="31">
        <f>DATA!AW1</f>
        <v>44270</v>
      </c>
      <c r="AW2" s="31">
        <f>DATA!AX1</f>
        <v>44271</v>
      </c>
      <c r="AX2" s="31">
        <f>DATA!AY1</f>
        <v>44272</v>
      </c>
      <c r="AY2" s="31">
        <f>DATA!AZ1</f>
        <v>44273</v>
      </c>
      <c r="AZ2" s="31">
        <f>DATA!BA1</f>
        <v>44274</v>
      </c>
      <c r="BA2" s="31">
        <f>DATA!BB1</f>
        <v>44275</v>
      </c>
      <c r="BB2" s="31">
        <f>DATA!BC1</f>
        <v>44276</v>
      </c>
      <c r="BC2" s="31">
        <f>DATA!BD1</f>
        <v>44277</v>
      </c>
      <c r="BD2" s="31">
        <f>DATA!BE1</f>
        <v>44278</v>
      </c>
      <c r="BE2" s="31">
        <f>DATA!BF1</f>
        <v>44279</v>
      </c>
      <c r="BF2" s="31">
        <f>DATA!BG1</f>
        <v>44280</v>
      </c>
      <c r="BG2" s="31">
        <f>DATA!BH1</f>
        <v>44281</v>
      </c>
      <c r="BH2" s="31">
        <f>DATA!BI1</f>
        <v>44282</v>
      </c>
      <c r="BI2" s="31">
        <f>DATA!BJ1</f>
        <v>44283</v>
      </c>
      <c r="BJ2" s="31">
        <f>DATA!BK1</f>
        <v>44284</v>
      </c>
      <c r="BK2" s="31">
        <f>DATA!BL1</f>
        <v>44285</v>
      </c>
      <c r="BL2" s="31">
        <f>DATA!BM1</f>
        <v>44286</v>
      </c>
      <c r="BM2" s="31">
        <f>DATA!BN1</f>
        <v>44287</v>
      </c>
      <c r="BN2" s="31">
        <f>DATA!BO1</f>
        <v>44288</v>
      </c>
      <c r="BO2" s="31">
        <f>DATA!BP1</f>
        <v>44289</v>
      </c>
      <c r="BP2" s="31">
        <f>DATA!BQ1</f>
        <v>44290</v>
      </c>
      <c r="BQ2" s="31">
        <f>DATA!BR1</f>
        <v>44291</v>
      </c>
      <c r="BR2" s="31">
        <f>DATA!BS1</f>
        <v>44292</v>
      </c>
      <c r="BS2" s="31">
        <f>DATA!BT1</f>
        <v>44293</v>
      </c>
      <c r="BT2" s="31">
        <f>DATA!BU1</f>
        <v>44294</v>
      </c>
      <c r="BU2" s="31">
        <f>DATA!BV1</f>
        <v>44295</v>
      </c>
      <c r="BV2" s="31">
        <f>DATA!BW1</f>
        <v>44296</v>
      </c>
      <c r="BW2" s="31">
        <f>DATA!BX1</f>
        <v>44297</v>
      </c>
      <c r="BX2" s="31">
        <f>DATA!BY1</f>
        <v>44298</v>
      </c>
      <c r="BY2" s="31">
        <f>DATA!BZ1</f>
        <v>44299</v>
      </c>
      <c r="BZ2" s="31">
        <f>DATA!CA1</f>
        <v>44300</v>
      </c>
      <c r="CA2" s="31">
        <f>DATA!CB1</f>
        <v>44301</v>
      </c>
      <c r="CB2" s="31">
        <f>DATA!CC1</f>
        <v>44302</v>
      </c>
      <c r="CC2" s="31">
        <f>DATA!CD1</f>
        <v>44303</v>
      </c>
      <c r="CD2" s="31">
        <f>DATA!CE1</f>
        <v>44304</v>
      </c>
      <c r="CE2" s="31">
        <f>DATA!CF1</f>
        <v>44305</v>
      </c>
      <c r="CF2" s="31">
        <f>DATA!CG1</f>
        <v>44306</v>
      </c>
      <c r="CG2" s="31">
        <f>DATA!CH1</f>
        <v>44307</v>
      </c>
      <c r="CH2" s="31">
        <f>DATA!CI1</f>
        <v>44308</v>
      </c>
      <c r="CI2" s="31">
        <f>DATA!CJ1</f>
        <v>44309</v>
      </c>
      <c r="CJ2" s="31">
        <f>DATA!CK1</f>
        <v>44310</v>
      </c>
      <c r="CK2" s="31">
        <f>DATA!CL1</f>
        <v>44311</v>
      </c>
      <c r="CL2" s="31">
        <f>DATA!CM1</f>
        <v>44312</v>
      </c>
      <c r="CM2" s="31">
        <f>DATA!CN1</f>
        <v>44313</v>
      </c>
      <c r="CN2" s="31">
        <f>DATA!CO1</f>
        <v>44314</v>
      </c>
      <c r="CO2" s="31">
        <f>DATA!CP1</f>
        <v>44315</v>
      </c>
      <c r="CP2" s="31">
        <f>DATA!CQ1</f>
        <v>44316</v>
      </c>
      <c r="CQ2" s="31">
        <f>DATA!CR1</f>
        <v>44317</v>
      </c>
      <c r="CR2" s="31">
        <f>DATA!CS1</f>
        <v>44318</v>
      </c>
    </row>
    <row r="3" s="26" customFormat="1" ht="18.75" customHeight="1" spans="1:96">
      <c r="A3" s="30"/>
      <c r="B3" s="32" t="str">
        <f>DATA!C2</f>
        <v>星期四</v>
      </c>
      <c r="C3" s="32" t="str">
        <f>DATA!D2</f>
        <v>星期五</v>
      </c>
      <c r="D3" s="32" t="str">
        <f>DATA!E2</f>
        <v>星期六</v>
      </c>
      <c r="E3" s="32" t="str">
        <f>DATA!F2</f>
        <v>星期日</v>
      </c>
      <c r="F3" s="32" t="str">
        <f>DATA!G2</f>
        <v>星期一</v>
      </c>
      <c r="G3" s="32" t="str">
        <f>DATA!H2</f>
        <v>星期二</v>
      </c>
      <c r="H3" s="32" t="str">
        <f>DATA!I2</f>
        <v>星期三</v>
      </c>
      <c r="I3" s="32" t="str">
        <f>DATA!J2</f>
        <v>星期四</v>
      </c>
      <c r="J3" s="32" t="str">
        <f>DATA!K2</f>
        <v>星期五</v>
      </c>
      <c r="K3" s="32" t="str">
        <f>DATA!L2</f>
        <v>星期六</v>
      </c>
      <c r="L3" s="32" t="str">
        <f>DATA!M2</f>
        <v>星期日</v>
      </c>
      <c r="M3" s="32" t="str">
        <f>DATA!N2</f>
        <v>星期一</v>
      </c>
      <c r="N3" s="32" t="str">
        <f>DATA!O2</f>
        <v>星期二</v>
      </c>
      <c r="O3" s="32" t="str">
        <f>DATA!P2</f>
        <v>星期三</v>
      </c>
      <c r="P3" s="32" t="str">
        <f>DATA!Q2</f>
        <v>星期四</v>
      </c>
      <c r="Q3" s="32" t="str">
        <f>DATA!R2</f>
        <v>星期五</v>
      </c>
      <c r="R3" s="32" t="str">
        <f>DATA!S2</f>
        <v>星期六</v>
      </c>
      <c r="S3" s="32" t="str">
        <f>DATA!T2</f>
        <v>星期日</v>
      </c>
      <c r="T3" s="32" t="str">
        <f>DATA!U2</f>
        <v>星期一</v>
      </c>
      <c r="U3" s="32" t="str">
        <f>DATA!V2</f>
        <v>星期二</v>
      </c>
      <c r="V3" s="32" t="str">
        <f>DATA!W2</f>
        <v>星期三</v>
      </c>
      <c r="W3" s="32" t="str">
        <f>DATA!X2</f>
        <v>星期四</v>
      </c>
      <c r="X3" s="32" t="str">
        <f>DATA!Y2</f>
        <v>星期五</v>
      </c>
      <c r="Y3" s="32" t="str">
        <f>DATA!Z2</f>
        <v>星期六</v>
      </c>
      <c r="Z3" s="32" t="str">
        <f>DATA!AA2</f>
        <v>星期日</v>
      </c>
      <c r="AA3" s="32" t="str">
        <f>DATA!AB2</f>
        <v>星期一</v>
      </c>
      <c r="AB3" s="32" t="str">
        <f>DATA!AC2</f>
        <v>星期二</v>
      </c>
      <c r="AC3" s="32" t="str">
        <f>DATA!AD2</f>
        <v>星期三</v>
      </c>
      <c r="AD3" s="32" t="str">
        <f>DATA!AE2</f>
        <v>星期四</v>
      </c>
      <c r="AE3" s="32" t="str">
        <f>DATA!AF2</f>
        <v>星期五</v>
      </c>
      <c r="AF3" s="32" t="str">
        <f>DATA!AG2</f>
        <v>星期六</v>
      </c>
      <c r="AG3" s="32" t="str">
        <f>DATA!AH2</f>
        <v>星期日</v>
      </c>
      <c r="AH3" s="32" t="str">
        <f>DATA!AI2</f>
        <v>星期一</v>
      </c>
      <c r="AI3" s="32" t="str">
        <f>DATA!AJ2</f>
        <v>星期二</v>
      </c>
      <c r="AJ3" s="32" t="str">
        <f>DATA!AK2</f>
        <v>星期三</v>
      </c>
      <c r="AK3" s="32" t="str">
        <f>DATA!AL2</f>
        <v>星期四</v>
      </c>
      <c r="AL3" s="32" t="str">
        <f>DATA!AM2</f>
        <v>星期五</v>
      </c>
      <c r="AM3" s="32" t="str">
        <f>DATA!AN2</f>
        <v>星期六</v>
      </c>
      <c r="AN3" s="32" t="str">
        <f>DATA!AO2</f>
        <v>星期日</v>
      </c>
      <c r="AO3" s="32" t="str">
        <f>DATA!AP2</f>
        <v>星期一</v>
      </c>
      <c r="AP3" s="32" t="str">
        <f>DATA!AQ2</f>
        <v>星期二</v>
      </c>
      <c r="AQ3" s="32" t="str">
        <f>DATA!AR2</f>
        <v>星期三</v>
      </c>
      <c r="AR3" s="32" t="str">
        <f>DATA!AS2</f>
        <v>星期四</v>
      </c>
      <c r="AS3" s="32" t="str">
        <f>DATA!AT2</f>
        <v>星期五</v>
      </c>
      <c r="AT3" s="32" t="str">
        <f>DATA!AU2</f>
        <v>星期六</v>
      </c>
      <c r="AU3" s="32" t="str">
        <f>DATA!AV2</f>
        <v>星期日</v>
      </c>
      <c r="AV3" s="32" t="str">
        <f>DATA!AW2</f>
        <v>星期一</v>
      </c>
      <c r="AW3" s="32" t="str">
        <f>DATA!AX2</f>
        <v>星期二</v>
      </c>
      <c r="AX3" s="32" t="str">
        <f>DATA!AY2</f>
        <v>星期三</v>
      </c>
      <c r="AY3" s="32" t="str">
        <f>DATA!AZ2</f>
        <v>星期四</v>
      </c>
      <c r="AZ3" s="32" t="str">
        <f>DATA!BA2</f>
        <v>星期五</v>
      </c>
      <c r="BA3" s="32" t="str">
        <f>DATA!BB2</f>
        <v>星期六</v>
      </c>
      <c r="BB3" s="32" t="str">
        <f>DATA!BC2</f>
        <v>星期日</v>
      </c>
      <c r="BC3" s="32" t="str">
        <f>DATA!BD2</f>
        <v>星期一</v>
      </c>
      <c r="BD3" s="32" t="str">
        <f>DATA!BE2</f>
        <v>星期二</v>
      </c>
      <c r="BE3" s="32" t="str">
        <f>DATA!BF2</f>
        <v>星期三</v>
      </c>
      <c r="BF3" s="32" t="str">
        <f>DATA!BG2</f>
        <v>星期四</v>
      </c>
      <c r="BG3" s="32" t="str">
        <f>DATA!BH2</f>
        <v>星期五</v>
      </c>
      <c r="BH3" s="32" t="str">
        <f>DATA!BI2</f>
        <v>星期六</v>
      </c>
      <c r="BI3" s="32" t="str">
        <f>DATA!BJ2</f>
        <v>星期日</v>
      </c>
      <c r="BJ3" s="32" t="str">
        <f>DATA!BK2</f>
        <v>星期一</v>
      </c>
      <c r="BK3" s="32" t="str">
        <f>DATA!BL2</f>
        <v>星期二</v>
      </c>
      <c r="BL3" s="32" t="str">
        <f>DATA!BM2</f>
        <v>星期三</v>
      </c>
      <c r="BM3" s="32" t="str">
        <f>DATA!BN2</f>
        <v>星期四</v>
      </c>
      <c r="BN3" s="32" t="str">
        <f>DATA!BO2</f>
        <v>星期五</v>
      </c>
      <c r="BO3" s="32" t="str">
        <f>DATA!BP2</f>
        <v>星期六</v>
      </c>
      <c r="BP3" s="32" t="str">
        <f>DATA!BQ2</f>
        <v>星期日</v>
      </c>
      <c r="BQ3" s="32" t="str">
        <f>DATA!BR2</f>
        <v>星期一</v>
      </c>
      <c r="BR3" s="32" t="str">
        <f>DATA!BS2</f>
        <v>星期二</v>
      </c>
      <c r="BS3" s="32" t="str">
        <f>DATA!BT2</f>
        <v>星期三</v>
      </c>
      <c r="BT3" s="32" t="str">
        <f>DATA!BU2</f>
        <v>星期四</v>
      </c>
      <c r="BU3" s="32" t="str">
        <f>DATA!BV2</f>
        <v>星期五</v>
      </c>
      <c r="BV3" s="32" t="str">
        <f>DATA!BW2</f>
        <v>星期六</v>
      </c>
      <c r="BW3" s="32" t="str">
        <f>DATA!BX2</f>
        <v>星期日</v>
      </c>
      <c r="BX3" s="32" t="str">
        <f>DATA!BY2</f>
        <v>星期一</v>
      </c>
      <c r="BY3" s="32" t="str">
        <f>DATA!BZ2</f>
        <v>星期二</v>
      </c>
      <c r="BZ3" s="32" t="str">
        <f>DATA!CA2</f>
        <v>星期三</v>
      </c>
      <c r="CA3" s="32" t="str">
        <f>DATA!CB2</f>
        <v>星期四</v>
      </c>
      <c r="CB3" s="32" t="str">
        <f>DATA!CC2</f>
        <v>星期五</v>
      </c>
      <c r="CC3" s="32" t="str">
        <f>DATA!CD2</f>
        <v>星期六</v>
      </c>
      <c r="CD3" s="32" t="str">
        <f>DATA!CE2</f>
        <v>星期日</v>
      </c>
      <c r="CE3" s="32" t="str">
        <f>DATA!CF2</f>
        <v>星期一</v>
      </c>
      <c r="CF3" s="32" t="str">
        <f>DATA!CG2</f>
        <v>星期二</v>
      </c>
      <c r="CG3" s="32" t="str">
        <f>DATA!CH2</f>
        <v>星期三</v>
      </c>
      <c r="CH3" s="32" t="str">
        <f>DATA!CI2</f>
        <v>星期四</v>
      </c>
      <c r="CI3" s="32" t="str">
        <f>DATA!CJ2</f>
        <v>星期五</v>
      </c>
      <c r="CJ3" s="32" t="str">
        <f>DATA!CK2</f>
        <v>星期六</v>
      </c>
      <c r="CK3" s="32" t="str">
        <f>DATA!CL2</f>
        <v>星期日</v>
      </c>
      <c r="CL3" s="32" t="str">
        <f>DATA!CM2</f>
        <v>星期一</v>
      </c>
      <c r="CM3" s="32" t="str">
        <f>DATA!CN2</f>
        <v>星期二</v>
      </c>
      <c r="CN3" s="32" t="str">
        <f>DATA!CO2</f>
        <v>星期三</v>
      </c>
      <c r="CO3" s="32" t="str">
        <f>DATA!CP2</f>
        <v>星期四</v>
      </c>
      <c r="CP3" s="32" t="str">
        <f>DATA!CQ2</f>
        <v>星期五</v>
      </c>
      <c r="CQ3" s="32" t="str">
        <f>DATA!CR2</f>
        <v>星期六</v>
      </c>
      <c r="CR3" s="32" t="str">
        <f>DATA!CS2</f>
        <v>星期日</v>
      </c>
    </row>
    <row r="4" s="27" customFormat="1" ht="18.75" customHeight="1" spans="1:96">
      <c r="A4" s="33" t="s">
        <v>71</v>
      </c>
      <c r="B4" s="34" t="s">
        <v>72</v>
      </c>
      <c r="C4" s="34" t="s">
        <v>72</v>
      </c>
      <c r="D4" s="34" t="s">
        <v>72</v>
      </c>
      <c r="E4" s="34" t="s">
        <v>72</v>
      </c>
      <c r="F4" s="34" t="s">
        <v>72</v>
      </c>
      <c r="G4" s="34" t="s">
        <v>72</v>
      </c>
      <c r="H4" s="34" t="s">
        <v>72</v>
      </c>
      <c r="I4" s="34" t="s">
        <v>72</v>
      </c>
      <c r="J4" s="34" t="s">
        <v>72</v>
      </c>
      <c r="K4" s="34" t="s">
        <v>72</v>
      </c>
      <c r="L4" s="34" t="s">
        <v>72</v>
      </c>
      <c r="M4" s="34" t="s">
        <v>72</v>
      </c>
      <c r="N4" s="34" t="s">
        <v>72</v>
      </c>
      <c r="O4" s="34" t="s">
        <v>72</v>
      </c>
      <c r="P4" s="34" t="s">
        <v>72</v>
      </c>
      <c r="Q4" s="34" t="s">
        <v>72</v>
      </c>
      <c r="R4" s="34" t="s">
        <v>72</v>
      </c>
      <c r="S4" s="34" t="s">
        <v>72</v>
      </c>
      <c r="T4" s="34" t="s">
        <v>72</v>
      </c>
      <c r="U4" s="34" t="s">
        <v>72</v>
      </c>
      <c r="V4" s="34" t="s">
        <v>72</v>
      </c>
      <c r="W4" s="34" t="s">
        <v>72</v>
      </c>
      <c r="X4" s="34" t="s">
        <v>72</v>
      </c>
      <c r="Y4" s="34" t="s">
        <v>72</v>
      </c>
      <c r="Z4" s="34" t="s">
        <v>72</v>
      </c>
      <c r="AA4" s="34" t="s">
        <v>72</v>
      </c>
      <c r="AB4" s="34" t="s">
        <v>72</v>
      </c>
      <c r="AC4" s="34" t="s">
        <v>72</v>
      </c>
      <c r="AD4" s="34" t="s">
        <v>72</v>
      </c>
      <c r="AE4" s="34" t="s">
        <v>72</v>
      </c>
      <c r="AF4" s="34" t="s">
        <v>72</v>
      </c>
      <c r="AG4" s="34" t="s">
        <v>72</v>
      </c>
      <c r="AH4" s="34" t="s">
        <v>72</v>
      </c>
      <c r="AI4" s="34" t="s">
        <v>72</v>
      </c>
      <c r="AJ4" s="34" t="s">
        <v>72</v>
      </c>
      <c r="AK4" s="34" t="s">
        <v>72</v>
      </c>
      <c r="AL4" s="34" t="s">
        <v>72</v>
      </c>
      <c r="AM4" s="34" t="s">
        <v>72</v>
      </c>
      <c r="AN4" s="34" t="s">
        <v>72</v>
      </c>
      <c r="AO4" s="34" t="s">
        <v>72</v>
      </c>
      <c r="AP4" s="34" t="s">
        <v>72</v>
      </c>
      <c r="AQ4" s="34" t="s">
        <v>72</v>
      </c>
      <c r="AR4" s="34" t="s">
        <v>72</v>
      </c>
      <c r="AS4" s="34" t="s">
        <v>72</v>
      </c>
      <c r="AT4" s="34" t="s">
        <v>72</v>
      </c>
      <c r="AU4" s="34" t="s">
        <v>72</v>
      </c>
      <c r="AV4" s="34" t="s">
        <v>72</v>
      </c>
      <c r="AW4" s="34" t="s">
        <v>72</v>
      </c>
      <c r="AX4" s="34" t="s">
        <v>72</v>
      </c>
      <c r="AY4" s="34" t="s">
        <v>72</v>
      </c>
      <c r="AZ4" s="34" t="s">
        <v>72</v>
      </c>
      <c r="BA4" s="34" t="s">
        <v>72</v>
      </c>
      <c r="BB4" s="34" t="s">
        <v>72</v>
      </c>
      <c r="BC4" s="34" t="s">
        <v>72</v>
      </c>
      <c r="BD4" s="34" t="s">
        <v>72</v>
      </c>
      <c r="BE4" s="34" t="s">
        <v>72</v>
      </c>
      <c r="BF4" s="34" t="s">
        <v>72</v>
      </c>
      <c r="BG4" s="34" t="s">
        <v>72</v>
      </c>
      <c r="BH4" s="34" t="s">
        <v>72</v>
      </c>
      <c r="BI4" s="34" t="s">
        <v>72</v>
      </c>
      <c r="BJ4" s="34" t="s">
        <v>72</v>
      </c>
      <c r="BK4" s="34" t="s">
        <v>72</v>
      </c>
      <c r="BL4" s="34" t="s">
        <v>72</v>
      </c>
      <c r="BM4" s="34" t="s">
        <v>72</v>
      </c>
      <c r="BN4" s="34" t="s">
        <v>72</v>
      </c>
      <c r="BO4" s="34" t="s">
        <v>72</v>
      </c>
      <c r="BP4" s="34" t="s">
        <v>72</v>
      </c>
      <c r="BQ4" s="34" t="s">
        <v>72</v>
      </c>
      <c r="BR4" s="34" t="s">
        <v>72</v>
      </c>
      <c r="BS4" s="34" t="s">
        <v>72</v>
      </c>
      <c r="BT4" s="34" t="s">
        <v>72</v>
      </c>
      <c r="BU4" s="34" t="s">
        <v>72</v>
      </c>
      <c r="BV4" s="34" t="s">
        <v>72</v>
      </c>
      <c r="BW4" s="34" t="s">
        <v>72</v>
      </c>
      <c r="BX4" s="34" t="s">
        <v>72</v>
      </c>
      <c r="BY4" s="34" t="s">
        <v>72</v>
      </c>
      <c r="BZ4" s="34" t="s">
        <v>72</v>
      </c>
      <c r="CA4" s="34" t="s">
        <v>72</v>
      </c>
      <c r="CB4" s="34" t="s">
        <v>72</v>
      </c>
      <c r="CC4" s="34" t="s">
        <v>72</v>
      </c>
      <c r="CD4" s="34" t="s">
        <v>72</v>
      </c>
      <c r="CE4" s="34" t="s">
        <v>72</v>
      </c>
      <c r="CF4" s="34" t="s">
        <v>72</v>
      </c>
      <c r="CG4" s="34" t="s">
        <v>72</v>
      </c>
      <c r="CH4" s="34" t="s">
        <v>72</v>
      </c>
      <c r="CI4" s="34" t="s">
        <v>72</v>
      </c>
      <c r="CJ4" s="34" t="s">
        <v>72</v>
      </c>
      <c r="CK4" s="34" t="s">
        <v>72</v>
      </c>
      <c r="CL4" s="34" t="s">
        <v>72</v>
      </c>
      <c r="CM4" s="34" t="s">
        <v>72</v>
      </c>
      <c r="CN4" s="34" t="s">
        <v>72</v>
      </c>
      <c r="CO4" s="34" t="s">
        <v>72</v>
      </c>
      <c r="CP4" s="34" t="s">
        <v>72</v>
      </c>
      <c r="CQ4" s="34" t="s">
        <v>72</v>
      </c>
      <c r="CR4" s="34" t="s">
        <v>72</v>
      </c>
    </row>
    <row r="5" s="26" customFormat="1" ht="18.75" spans="1:96">
      <c r="A5" s="32" t="str">
        <f>DATA!$A4&amp;""</f>
        <v>蔡振龙</v>
      </c>
      <c r="B5" s="32" t="str">
        <f ca="1">IF($A5="","",IF(IF(B$2&lt;=$A$1,1,0),IF(B$4="休","",IF(COUNTIF(DATA!C:C,$A:$A)=0,"×","√")),""))</f>
        <v>×</v>
      </c>
      <c r="C5" s="32" t="str">
        <f ca="1">IF($A5="","",IF(IF(C$2&lt;=$A$1,1,0),IF(C$4="休","",IF(COUNTIF(DATA!D:D,$A:$A)=0,"×","√")),""))</f>
        <v>√</v>
      </c>
      <c r="D5" s="32" t="str">
        <f ca="1">IF($A5="","",IF(IF(D$2&lt;=$A$1,1,0),IF(D$4="休","",IF(COUNTIF(DATA!E:E,$A:$A)=0,"×","√")),""))</f>
        <v>√</v>
      </c>
      <c r="E5" s="32" t="str">
        <f ca="1">IF($A5="","",IF(IF(E$2&lt;=$A$1,1,0),IF(E$4="休","",IF(COUNTIF(DATA!F:F,$A:$A)=0,"×","√")),""))</f>
        <v>√</v>
      </c>
      <c r="F5" s="32" t="str">
        <f ca="1">IF($A5="","",IF(IF(F$2&lt;=$A$1,1,0),IF(F$4="休","",IF(COUNTIF(DATA!G:G,$A:$A)=0,"×","√")),""))</f>
        <v>√</v>
      </c>
      <c r="G5" s="32" t="str">
        <f ca="1">IF($A5="","",IF(IF(G$2&lt;=$A$1,1,0),IF(G$4="休","",IF(COUNTIF(DATA!H:H,$A:$A)=0,"×","√")),""))</f>
        <v>√</v>
      </c>
      <c r="H5" s="32" t="str">
        <f ca="1">IF($A5="","",IF(IF(H$2&lt;=$A$1,1,0),IF(H$4="休","",IF(COUNTIF(DATA!I:I,$A:$A)=0,"×","√")),""))</f>
        <v>√</v>
      </c>
      <c r="I5" s="32" t="str">
        <f ca="1">IF($A5="","",IF(IF(I$2&lt;=$A$1,1,0),IF(I$4="休","",IF(COUNTIF(DATA!J:J,$A:$A)=0,"×","√")),""))</f>
        <v>√</v>
      </c>
      <c r="J5" s="32" t="str">
        <f ca="1">IF($A5="","",IF(IF(J$2&lt;=$A$1,1,0),IF(J$4="休","",IF(COUNTIF(DATA!K:K,$A:$A)=0,"×","√")),""))</f>
        <v/>
      </c>
      <c r="K5" s="32" t="str">
        <f ca="1">IF($A5="","",IF(IF(K$2&lt;=$A$1,1,0),IF(K$4="休","",IF(COUNTIF(DATA!L:L,$A:$A)=0,"×","√")),""))</f>
        <v/>
      </c>
      <c r="L5" s="32" t="str">
        <f ca="1">IF($A5="","",IF(IF(L$2&lt;=$A$1,1,0),IF(L$4="休","",IF(COUNTIF(DATA!M:M,$A:$A)=0,"×","√")),""))</f>
        <v/>
      </c>
      <c r="M5" s="32" t="str">
        <f ca="1">IF($A5="","",IF(IF(M$2&lt;=$A$1,1,0),IF(M$4="休","",IF(COUNTIF(DATA!N:N,$A:$A)=0,"×","√")),""))</f>
        <v/>
      </c>
      <c r="N5" s="32" t="str">
        <f ca="1">IF($A5="","",IF(IF(N$2&lt;=$A$1,1,0),IF(N$4="休","",IF(COUNTIF(DATA!O:O,$A:$A)=0,"×","√")),""))</f>
        <v/>
      </c>
      <c r="O5" s="32" t="str">
        <f ca="1">IF($A5="","",IF(IF(O$2&lt;=$A$1,1,0),IF(O$4="休","",IF(COUNTIF(DATA!P:P,$A:$A)=0,"×","√")),""))</f>
        <v/>
      </c>
      <c r="P5" s="32" t="str">
        <f ca="1">IF($A5="","",IF(IF(P$2&lt;=$A$1,1,0),IF(P$4="休","",IF(COUNTIF(DATA!Q:Q,$A:$A)=0,"×","√")),""))</f>
        <v/>
      </c>
      <c r="Q5" s="32" t="str">
        <f ca="1">IF($A5="","",IF(IF(Q$2&lt;=$A$1,1,0),IF(Q$4="休","",IF(COUNTIF(DATA!R:R,$A:$A)=0,"×","√")),""))</f>
        <v/>
      </c>
      <c r="R5" s="32" t="str">
        <f ca="1">IF($A5="","",IF(IF(R$2&lt;=$A$1,1,0),IF(R$4="休","",IF(COUNTIF(DATA!S:S,$A:$A)=0,"×","√")),""))</f>
        <v/>
      </c>
      <c r="S5" s="32" t="str">
        <f ca="1">IF($A5="","",IF(IF(S$2&lt;=$A$1,1,0),IF(S$4="休","",IF(COUNTIF(DATA!T:T,$A:$A)=0,"×","√")),""))</f>
        <v/>
      </c>
      <c r="T5" s="32" t="str">
        <f ca="1">IF($A5="","",IF(IF(T$2&lt;=$A$1,1,0),IF(T$4="休","",IF(COUNTIF(DATA!U:U,$A:$A)=0,"×","√")),""))</f>
        <v/>
      </c>
      <c r="U5" s="32" t="str">
        <f ca="1">IF($A5="","",IF(IF(U$2&lt;=$A$1,1,0),IF(U$4="休","",IF(COUNTIF(DATA!V:V,$A:$A)=0,"×","√")),""))</f>
        <v/>
      </c>
      <c r="V5" s="32" t="str">
        <f ca="1">IF($A5="","",IF(IF(V$2&lt;=$A$1,1,0),IF(V$4="休","",IF(COUNTIF(DATA!W:W,$A:$A)=0,"×","√")),""))</f>
        <v/>
      </c>
      <c r="W5" s="32" t="str">
        <f ca="1">IF($A5="","",IF(IF(W$2&lt;=$A$1,1,0),IF(W$4="休","",IF(COUNTIF(DATA!X:X,$A:$A)=0,"×","√")),""))</f>
        <v/>
      </c>
      <c r="X5" s="32" t="str">
        <f ca="1">IF($A5="","",IF(IF(X$2&lt;=$A$1,1,0),IF(X$4="休","",IF(COUNTIF(DATA!Y:Y,$A:$A)=0,"×","√")),""))</f>
        <v/>
      </c>
      <c r="Y5" s="32" t="str">
        <f ca="1">IF($A5="","",IF(IF(Y$2&lt;=$A$1,1,0),IF(Y$4="休","",IF(COUNTIF(DATA!Z:Z,$A:$A)=0,"×","√")),""))</f>
        <v/>
      </c>
      <c r="Z5" s="32" t="str">
        <f ca="1">IF($A5="","",IF(IF(Z$2&lt;=$A$1,1,0),IF(Z$4="休","",IF(COUNTIF(DATA!AA:AA,$A:$A)=0,"×","√")),""))</f>
        <v/>
      </c>
      <c r="AA5" s="32" t="str">
        <f ca="1">IF($A5="","",IF(IF(AA$2&lt;=$A$1,1,0),IF(AA$4="休","",IF(COUNTIF(DATA!AB:AB,$A:$A)=0,"×","√")),""))</f>
        <v/>
      </c>
      <c r="AB5" s="32" t="str">
        <f ca="1">IF($A5="","",IF(IF(AB$2&lt;=$A$1,1,0),IF(AB$4="休","",IF(COUNTIF(DATA!AC:AC,$A:$A)=0,"×","√")),""))</f>
        <v/>
      </c>
      <c r="AC5" s="32" t="str">
        <f ca="1">IF($A5="","",IF(IF(AC$2&lt;=$A$1,1,0),IF(AC$4="休","",IF(COUNTIF(DATA!AD:AD,$A:$A)=0,"×","√")),""))</f>
        <v/>
      </c>
      <c r="AD5" s="32" t="str">
        <f ca="1">IF($A5="","",IF(IF(AD$2&lt;=$A$1,1,0),IF(AD$4="休","",IF(COUNTIF(DATA!AE:AE,$A:$A)=0,"×","√")),""))</f>
        <v/>
      </c>
      <c r="AE5" s="32" t="str">
        <f ca="1">IF($A5="","",IF(IF(AE$2&lt;=$A$1,1,0),IF(AE$4="休","",IF(COUNTIF(DATA!AF:AF,$A:$A)=0,"×","√")),""))</f>
        <v/>
      </c>
      <c r="AF5" s="32" t="str">
        <f ca="1">IF($A5="","",IF(IF(AF$2&lt;=$A$1,1,0),IF(AF$4="休","",IF(COUNTIF(DATA!AG:AG,$A:$A)=0,"×","√")),""))</f>
        <v/>
      </c>
      <c r="AG5" s="32" t="str">
        <f ca="1">IF($A5="","",IF(IF(AG$2&lt;=$A$1,1,0),IF(AG$4="休","",IF(COUNTIF(DATA!AH:AH,$A:$A)=0,"×","√")),""))</f>
        <v/>
      </c>
      <c r="AH5" s="32" t="str">
        <f ca="1">IF($A5="","",IF(IF(AH$2&lt;=$A$1,1,0),IF(AH$4="休","",IF(COUNTIF(DATA!AI:AI,$A:$A)=0,"×","√")),""))</f>
        <v/>
      </c>
      <c r="AI5" s="32" t="str">
        <f ca="1">IF($A5="","",IF(IF(AI$2&lt;=$A$1,1,0),IF(AI$4="休","",IF(COUNTIF(DATA!AJ:AJ,$A:$A)=0,"×","√")),""))</f>
        <v/>
      </c>
      <c r="AJ5" s="32" t="str">
        <f ca="1">IF($A5="","",IF(IF(AJ$2&lt;=$A$1,1,0),IF(AJ$4="休","",IF(COUNTIF(DATA!AK:AK,$A:$A)=0,"×","√")),""))</f>
        <v/>
      </c>
      <c r="AK5" s="32" t="str">
        <f ca="1">IF($A5="","",IF(IF(AK$2&lt;=$A$1,1,0),IF(AK$4="休","",IF(COUNTIF(DATA!AL:AL,$A:$A)=0,"×","√")),""))</f>
        <v/>
      </c>
      <c r="AL5" s="32" t="str">
        <f ca="1">IF($A5="","",IF(IF(AL$2&lt;=$A$1,1,0),IF(AL$4="休","",IF(COUNTIF(DATA!AM:AM,$A:$A)=0,"×","√")),""))</f>
        <v/>
      </c>
      <c r="AM5" s="32" t="str">
        <f ca="1">IF($A5="","",IF(IF(AM$2&lt;=$A$1,1,0),IF(AM$4="休","",IF(COUNTIF(DATA!AN:AN,$A:$A)=0,"×","√")),""))</f>
        <v/>
      </c>
      <c r="AN5" s="32" t="str">
        <f ca="1">IF($A5="","",IF(IF(AN$2&lt;=$A$1,1,0),IF(AN$4="休","",IF(COUNTIF(DATA!AO:AO,$A:$A)=0,"×","√")),""))</f>
        <v/>
      </c>
      <c r="AO5" s="32" t="str">
        <f ca="1">IF($A5="","",IF(IF(AO$2&lt;=$A$1,1,0),IF(AO$4="休","",IF(COUNTIF(DATA!AP:AP,$A:$A)=0,"×","√")),""))</f>
        <v/>
      </c>
      <c r="AP5" s="32" t="str">
        <f ca="1">IF($A5="","",IF(IF(AP$2&lt;=$A$1,1,0),IF(AP$4="休","",IF(COUNTIF(DATA!AQ:AQ,$A:$A)=0,"×","√")),""))</f>
        <v/>
      </c>
      <c r="AQ5" s="32" t="str">
        <f ca="1">IF($A5="","",IF(IF(AQ$2&lt;=$A$1,1,0),IF(AQ$4="休","",IF(COUNTIF(DATA!AR:AR,$A:$A)=0,"×","√")),""))</f>
        <v/>
      </c>
      <c r="AR5" s="32" t="str">
        <f ca="1">IF($A5="","",IF(IF(AR$2&lt;=$A$1,1,0),IF(AR$4="休","",IF(COUNTIF(DATA!AS:AS,$A:$A)=0,"×","√")),""))</f>
        <v/>
      </c>
      <c r="AS5" s="32" t="str">
        <f ca="1">IF($A5="","",IF(IF(AS$2&lt;=$A$1,1,0),IF(AS$4="休","",IF(COUNTIF(DATA!AT:AT,$A:$A)=0,"×","√")),""))</f>
        <v/>
      </c>
      <c r="AT5" s="32" t="str">
        <f ca="1">IF($A5="","",IF(IF(AT$2&lt;=$A$1,1,0),IF(AT$4="休","",IF(COUNTIF(DATA!AU:AU,$A:$A)=0,"×","√")),""))</f>
        <v/>
      </c>
      <c r="AU5" s="32" t="str">
        <f ca="1">IF($A5="","",IF(IF(AU$2&lt;=$A$1,1,0),IF(AU$4="休","",IF(COUNTIF(DATA!AV:AV,$A:$A)=0,"×","√")),""))</f>
        <v/>
      </c>
      <c r="AV5" s="32" t="str">
        <f ca="1">IF($A5="","",IF(IF(AV$2&lt;=$A$1,1,0),IF(AV$4="休","",IF(COUNTIF(DATA!AW:AW,$A:$A)=0,"×","√")),""))</f>
        <v/>
      </c>
      <c r="AW5" s="32" t="str">
        <f ca="1">IF($A5="","",IF(IF(AW$2&lt;=$A$1,1,0),IF(AW$4="休","",IF(COUNTIF(DATA!AX:AX,$A:$A)=0,"×","√")),""))</f>
        <v/>
      </c>
      <c r="AX5" s="32" t="str">
        <f ca="1">IF($A5="","",IF(IF(AX$2&lt;=$A$1,1,0),IF(AX$4="休","",IF(COUNTIF(DATA!AY:AY,$A:$A)=0,"×","√")),""))</f>
        <v/>
      </c>
      <c r="AY5" s="32" t="str">
        <f ca="1">IF($A5="","",IF(IF(AY$2&lt;=$A$1,1,0),IF(AY$4="休","",IF(COUNTIF(DATA!AZ:AZ,$A:$A)=0,"×","√")),""))</f>
        <v/>
      </c>
      <c r="AZ5" s="32" t="str">
        <f ca="1">IF($A5="","",IF(IF(AZ$2&lt;=$A$1,1,0),IF(AZ$4="休","",IF(COUNTIF(DATA!BA:BA,$A:$A)=0,"×","√")),""))</f>
        <v/>
      </c>
      <c r="BA5" s="32" t="str">
        <f ca="1">IF($A5="","",IF(IF(BA$2&lt;=$A$1,1,0),IF(BA$4="休","",IF(COUNTIF(DATA!BB:BB,$A:$A)=0,"×","√")),""))</f>
        <v/>
      </c>
      <c r="BB5" s="32" t="str">
        <f ca="1">IF($A5="","",IF(IF(BB$2&lt;=$A$1,1,0),IF(BB$4="休","",IF(COUNTIF(DATA!BC:BC,$A:$A)=0,"×","√")),""))</f>
        <v/>
      </c>
      <c r="BC5" s="32" t="str">
        <f ca="1">IF($A5="","",IF(IF(BC$2&lt;=$A$1,1,0),IF(BC$4="休","",IF(COUNTIF(DATA!BD:BD,$A:$A)=0,"×","√")),""))</f>
        <v/>
      </c>
      <c r="BD5" s="32" t="str">
        <f ca="1">IF($A5="","",IF(IF(BD$2&lt;=$A$1,1,0),IF(BD$4="休","",IF(COUNTIF(DATA!BE:BE,$A:$A)=0,"×","√")),""))</f>
        <v/>
      </c>
      <c r="BE5" s="32" t="str">
        <f ca="1">IF($A5="","",IF(IF(BE$2&lt;=$A$1,1,0),IF(BE$4="休","",IF(COUNTIF(DATA!BF:BF,$A:$A)=0,"×","√")),""))</f>
        <v/>
      </c>
      <c r="BF5" s="32" t="str">
        <f ca="1">IF($A5="","",IF(IF(BF$2&lt;=$A$1,1,0),IF(BF$4="休","",IF(COUNTIF(DATA!BG:BG,$A:$A)=0,"×","√")),""))</f>
        <v/>
      </c>
      <c r="BG5" s="32" t="str">
        <f ca="1">IF($A5="","",IF(IF(BG$2&lt;=$A$1,1,0),IF(BG$4="休","",IF(COUNTIF(DATA!BH:BH,$A:$A)=0,"×","√")),""))</f>
        <v/>
      </c>
      <c r="BH5" s="32" t="str">
        <f ca="1">IF($A5="","",IF(IF(BH$2&lt;=$A$1,1,0),IF(BH$4="休","",IF(COUNTIF(DATA!BI:BI,$A:$A)=0,"×","√")),""))</f>
        <v/>
      </c>
      <c r="BI5" s="32" t="str">
        <f ca="1">IF($A5="","",IF(IF(BI$2&lt;=$A$1,1,0),IF(BI$4="休","",IF(COUNTIF(DATA!BJ:BJ,$A:$A)=0,"×","√")),""))</f>
        <v/>
      </c>
      <c r="BJ5" s="32" t="str">
        <f ca="1">IF($A5="","",IF(IF(BJ$2&lt;=$A$1,1,0),IF(BJ$4="休","",IF(COUNTIF(DATA!BK:BK,$A:$A)=0,"×","√")),""))</f>
        <v/>
      </c>
      <c r="BK5" s="32" t="str">
        <f ca="1">IF($A5="","",IF(IF(BK$2&lt;=$A$1,1,0),IF(BK$4="休","",IF(COUNTIF(DATA!BL:BL,$A:$A)=0,"×","√")),""))</f>
        <v/>
      </c>
      <c r="BL5" s="32" t="str">
        <f ca="1">IF($A5="","",IF(IF(BL$2&lt;=$A$1,1,0),IF(BL$4="休","",IF(COUNTIF(DATA!BM:BM,$A:$A)=0,"×","√")),""))</f>
        <v/>
      </c>
      <c r="BM5" s="32" t="str">
        <f ca="1">IF($A5="","",IF(IF(BM$2&lt;=$A$1,1,0),IF(BM$4="休","",IF(COUNTIF(DATA!BN:BN,$A:$A)=0,"×","√")),""))</f>
        <v/>
      </c>
      <c r="BN5" s="32" t="str">
        <f ca="1">IF($A5="","",IF(IF(BN$2&lt;=$A$1,1,0),IF(BN$4="休","",IF(COUNTIF(DATA!BO:BO,$A:$A)=0,"×","√")),""))</f>
        <v/>
      </c>
      <c r="BO5" s="32" t="str">
        <f ca="1">IF($A5="","",IF(IF(BO$2&lt;=$A$1,1,0),IF(BO$4="休","",IF(COUNTIF(DATA!BP:BP,$A:$A)=0,"×","√")),""))</f>
        <v/>
      </c>
      <c r="BP5" s="32" t="str">
        <f ca="1">IF($A5="","",IF(IF(BP$2&lt;=$A$1,1,0),IF(BP$4="休","",IF(COUNTIF(DATA!BQ:BQ,$A:$A)=0,"×","√")),""))</f>
        <v/>
      </c>
      <c r="BQ5" s="32" t="str">
        <f ca="1">IF($A5="","",IF(IF(BQ$2&lt;=$A$1,1,0),IF(BQ$4="休","",IF(COUNTIF(DATA!BR:BR,$A:$A)=0,"×","√")),""))</f>
        <v/>
      </c>
      <c r="BR5" s="32" t="str">
        <f ca="1">IF($A5="","",IF(IF(BR$2&lt;=$A$1,1,0),IF(BR$4="休","",IF(COUNTIF(DATA!BS:BS,$A:$A)=0,"×","√")),""))</f>
        <v/>
      </c>
      <c r="BS5" s="32" t="str">
        <f ca="1">IF($A5="","",IF(IF(BS$2&lt;=$A$1,1,0),IF(BS$4="休","",IF(COUNTIF(DATA!BT:BT,$A:$A)=0,"×","√")),""))</f>
        <v/>
      </c>
      <c r="BT5" s="32" t="str">
        <f ca="1">IF($A5="","",IF(IF(BT$2&lt;=$A$1,1,0),IF(BT$4="休","",IF(COUNTIF(DATA!BU:BU,$A:$A)=0,"×","√")),""))</f>
        <v/>
      </c>
      <c r="BU5" s="32" t="str">
        <f ca="1">IF($A5="","",IF(IF(BU$2&lt;=$A$1,1,0),IF(BU$4="休","",IF(COUNTIF(DATA!BV:BV,$A:$A)=0,"×","√")),""))</f>
        <v/>
      </c>
      <c r="BV5" s="32" t="str">
        <f ca="1">IF($A5="","",IF(IF(BV$2&lt;=$A$1,1,0),IF(BV$4="休","",IF(COUNTIF(DATA!BW:BW,$A:$A)=0,"×","√")),""))</f>
        <v/>
      </c>
      <c r="BW5" s="32" t="str">
        <f ca="1">IF($A5="","",IF(IF(BW$2&lt;=$A$1,1,0),IF(BW$4="休","",IF(COUNTIF(DATA!BX:BX,$A:$A)=0,"×","√")),""))</f>
        <v/>
      </c>
      <c r="BX5" s="32" t="str">
        <f ca="1">IF($A5="","",IF(IF(BX$2&lt;=$A$1,1,0),IF(BX$4="休","",IF(COUNTIF(DATA!BY:BY,$A:$A)=0,"×","√")),""))</f>
        <v/>
      </c>
      <c r="BY5" s="32" t="str">
        <f ca="1">IF($A5="","",IF(IF(BY$2&lt;=$A$1,1,0),IF(BY$4="休","",IF(COUNTIF(DATA!BZ:BZ,$A:$A)=0,"×","√")),""))</f>
        <v/>
      </c>
      <c r="BZ5" s="32" t="str">
        <f ca="1">IF($A5="","",IF(IF(BZ$2&lt;=$A$1,1,0),IF(BZ$4="休","",IF(COUNTIF(DATA!CA:CA,$A:$A)=0,"×","√")),""))</f>
        <v/>
      </c>
      <c r="CA5" s="32" t="str">
        <f ca="1">IF($A5="","",IF(IF(CA$2&lt;=$A$1,1,0),IF(CA$4="休","",IF(COUNTIF(DATA!CB:CB,$A:$A)=0,"×","√")),""))</f>
        <v/>
      </c>
      <c r="CB5" s="32" t="str">
        <f ca="1">IF($A5="","",IF(IF(CB$2&lt;=$A$1,1,0),IF(CB$4="休","",IF(COUNTIF(DATA!CC:CC,$A:$A)=0,"×","√")),""))</f>
        <v/>
      </c>
      <c r="CC5" s="32" t="str">
        <f ca="1">IF($A5="","",IF(IF(CC$2&lt;=$A$1,1,0),IF(CC$4="休","",IF(COUNTIF(DATA!CD:CD,$A:$A)=0,"×","√")),""))</f>
        <v/>
      </c>
      <c r="CD5" s="32" t="str">
        <f ca="1">IF($A5="","",IF(IF(CD$2&lt;=$A$1,1,0),IF(CD$4="休","",IF(COUNTIF(DATA!CE:CE,$A:$A)=0,"×","√")),""))</f>
        <v/>
      </c>
      <c r="CE5" s="32" t="str">
        <f ca="1">IF($A5="","",IF(IF(CE$2&lt;=$A$1,1,0),IF(CE$4="休","",IF(COUNTIF(DATA!CF:CF,$A:$A)=0,"×","√")),""))</f>
        <v/>
      </c>
      <c r="CF5" s="32" t="str">
        <f ca="1">IF($A5="","",IF(IF(CF$2&lt;=$A$1,1,0),IF(CF$4="休","",IF(COUNTIF(DATA!CG:CG,$A:$A)=0,"×","√")),""))</f>
        <v/>
      </c>
      <c r="CG5" s="32" t="str">
        <f ca="1">IF($A5="","",IF(IF(CG$2&lt;=$A$1,1,0),IF(CG$4="休","",IF(COUNTIF(DATA!CH:CH,$A:$A)=0,"×","√")),""))</f>
        <v/>
      </c>
      <c r="CH5" s="32" t="str">
        <f ca="1">IF($A5="","",IF(IF(CH$2&lt;=$A$1,1,0),IF(CH$4="休","",IF(COUNTIF(DATA!CI:CI,$A:$A)=0,"×","√")),""))</f>
        <v/>
      </c>
      <c r="CI5" s="32" t="str">
        <f ca="1">IF($A5="","",IF(IF(CI$2&lt;=$A$1,1,0),IF(CI$4="休","",IF(COUNTIF(DATA!CJ:CJ,$A:$A)=0,"×","√")),""))</f>
        <v/>
      </c>
      <c r="CJ5" s="32" t="str">
        <f ca="1">IF($A5="","",IF(IF(CJ$2&lt;=$A$1,1,0),IF(CJ$4="休","",IF(COUNTIF(DATA!CK:CK,$A:$A)=0,"×","√")),""))</f>
        <v/>
      </c>
      <c r="CK5" s="32" t="str">
        <f ca="1">IF($A5="","",IF(IF(CK$2&lt;=$A$1,1,0),IF(CK$4="休","",IF(COUNTIF(DATA!CL:CL,$A:$A)=0,"×","√")),""))</f>
        <v/>
      </c>
      <c r="CL5" s="32" t="str">
        <f ca="1">IF($A5="","",IF(IF(CL$2&lt;=$A$1,1,0),IF(CL$4="休","",IF(COUNTIF(DATA!CM:CM,$A:$A)=0,"×","√")),""))</f>
        <v/>
      </c>
      <c r="CM5" s="32" t="str">
        <f ca="1">IF($A5="","",IF(IF(CM$2&lt;=$A$1,1,0),IF(CM$4="休","",IF(COUNTIF(DATA!CN:CN,$A:$A)=0,"×","√")),""))</f>
        <v/>
      </c>
      <c r="CN5" s="32" t="str">
        <f ca="1">IF($A5="","",IF(IF(CN$2&lt;=$A$1,1,0),IF(CN$4="休","",IF(COUNTIF(DATA!CO:CO,$A:$A)=0,"×","√")),""))</f>
        <v/>
      </c>
      <c r="CO5" s="32" t="str">
        <f ca="1">IF($A5="","",IF(IF(CO$2&lt;=$A$1,1,0),IF(CO$4="休","",IF(COUNTIF(DATA!CP:CP,$A:$A)=0,"×","√")),""))</f>
        <v/>
      </c>
      <c r="CP5" s="32" t="str">
        <f ca="1">IF($A5="","",IF(IF(CP$2&lt;=$A$1,1,0),IF(CP$4="休","",IF(COUNTIF(DATA!CQ:CQ,$A:$A)=0,"×","√")),""))</f>
        <v/>
      </c>
      <c r="CQ5" s="32" t="str">
        <f ca="1">IF($A5="","",IF(IF(CQ$2&lt;=$A$1,1,0),IF(CQ$4="休","",IF(COUNTIF(DATA!CR:CR,$A:$A)=0,"×","√")),""))</f>
        <v/>
      </c>
      <c r="CR5" s="32" t="str">
        <f ca="1">IF($A5="","",IF(IF(CR$2&lt;=$A$1,1,0),IF(CR$4="休","",IF(COUNTIF(DATA!CS:CS,$A:$A)=0,"×","√")),""))</f>
        <v/>
      </c>
    </row>
    <row r="6" s="26" customFormat="1" ht="18.75" spans="1:96">
      <c r="A6" s="32" t="str">
        <f>DATA!$A5&amp;""</f>
        <v>余飞</v>
      </c>
      <c r="B6" s="32" t="str">
        <f ca="1">IF($A6="","",IF(IF(B$2&lt;=$A$1,1,0),IF(B$4="休","",IF(COUNTIF(DATA!C:C,$A:$A)=0,"×","√")),""))</f>
        <v>√</v>
      </c>
      <c r="C6" s="32" t="str">
        <f ca="1">IF($A6="","",IF(IF(C$2&lt;=$A$1,1,0),IF(C$4="休","",IF(COUNTIF(DATA!D:D,$A:$A)=0,"×","√")),""))</f>
        <v>√</v>
      </c>
      <c r="D6" s="32" t="str">
        <f ca="1">IF($A6="","",IF(IF(D$2&lt;=$A$1,1,0),IF(D$4="休","",IF(COUNTIF(DATA!E:E,$A:$A)=0,"×","√")),""))</f>
        <v>√</v>
      </c>
      <c r="E6" s="32" t="str">
        <f ca="1">IF($A6="","",IF(IF(E$2&lt;=$A$1,1,0),IF(E$4="休","",IF(COUNTIF(DATA!F:F,$A:$A)=0,"×","√")),""))</f>
        <v>√</v>
      </c>
      <c r="F6" s="32" t="str">
        <f ca="1">IF($A6="","",IF(IF(F$2&lt;=$A$1,1,0),IF(F$4="休","",IF(COUNTIF(DATA!G:G,$A:$A)=0,"×","√")),""))</f>
        <v>√</v>
      </c>
      <c r="G6" s="32" t="str">
        <f ca="1">IF($A6="","",IF(IF(G$2&lt;=$A$1,1,0),IF(G$4="休","",IF(COUNTIF(DATA!H:H,$A:$A)=0,"×","√")),""))</f>
        <v>√</v>
      </c>
      <c r="H6" s="32" t="str">
        <f ca="1">IF($A6="","",IF(IF(H$2&lt;=$A$1,1,0),IF(H$4="休","",IF(COUNTIF(DATA!I:I,$A:$A)=0,"×","√")),""))</f>
        <v>√</v>
      </c>
      <c r="I6" s="32" t="str">
        <f ca="1">IF($A6="","",IF(IF(I$2&lt;=$A$1,1,0),IF(I$4="休","",IF(COUNTIF(DATA!J:J,$A:$A)=0,"×","√")),""))</f>
        <v>√</v>
      </c>
      <c r="J6" s="32" t="str">
        <f ca="1">IF($A6="","",IF(IF(J$2&lt;=$A$1,1,0),IF(J$4="休","",IF(COUNTIF(DATA!K:K,$A:$A)=0,"×","√")),""))</f>
        <v/>
      </c>
      <c r="K6" s="32" t="str">
        <f ca="1">IF($A6="","",IF(IF(K$2&lt;=$A$1,1,0),IF(K$4="休","",IF(COUNTIF(DATA!L:L,$A:$A)=0,"×","√")),""))</f>
        <v/>
      </c>
      <c r="L6" s="32" t="str">
        <f ca="1">IF($A6="","",IF(IF(L$2&lt;=$A$1,1,0),IF(L$4="休","",IF(COUNTIF(DATA!M:M,$A:$A)=0,"×","√")),""))</f>
        <v/>
      </c>
      <c r="M6" s="32" t="str">
        <f ca="1">IF($A6="","",IF(IF(M$2&lt;=$A$1,1,0),IF(M$4="休","",IF(COUNTIF(DATA!N:N,$A:$A)=0,"×","√")),""))</f>
        <v/>
      </c>
      <c r="N6" s="32" t="str">
        <f ca="1">IF($A6="","",IF(IF(N$2&lt;=$A$1,1,0),IF(N$4="休","",IF(COUNTIF(DATA!O:O,$A:$A)=0,"×","√")),""))</f>
        <v/>
      </c>
      <c r="O6" s="32" t="str">
        <f ca="1">IF($A6="","",IF(IF(O$2&lt;=$A$1,1,0),IF(O$4="休","",IF(COUNTIF(DATA!P:P,$A:$A)=0,"×","√")),""))</f>
        <v/>
      </c>
      <c r="P6" s="32" t="str">
        <f ca="1">IF($A6="","",IF(IF(P$2&lt;=$A$1,1,0),IF(P$4="休","",IF(COUNTIF(DATA!Q:Q,$A:$A)=0,"×","√")),""))</f>
        <v/>
      </c>
      <c r="Q6" s="32" t="str">
        <f ca="1">IF($A6="","",IF(IF(Q$2&lt;=$A$1,1,0),IF(Q$4="休","",IF(COUNTIF(DATA!R:R,$A:$A)=0,"×","√")),""))</f>
        <v/>
      </c>
      <c r="R6" s="32" t="str">
        <f ca="1">IF($A6="","",IF(IF(R$2&lt;=$A$1,1,0),IF(R$4="休","",IF(COUNTIF(DATA!S:S,$A:$A)=0,"×","√")),""))</f>
        <v/>
      </c>
      <c r="S6" s="32" t="str">
        <f ca="1">IF($A6="","",IF(IF(S$2&lt;=$A$1,1,0),IF(S$4="休","",IF(COUNTIF(DATA!T:T,$A:$A)=0,"×","√")),""))</f>
        <v/>
      </c>
      <c r="T6" s="32" t="str">
        <f ca="1">IF($A6="","",IF(IF(T$2&lt;=$A$1,1,0),IF(T$4="休","",IF(COUNTIF(DATA!U:U,$A:$A)=0,"×","√")),""))</f>
        <v/>
      </c>
      <c r="U6" s="32" t="str">
        <f ca="1">IF($A6="","",IF(IF(U$2&lt;=$A$1,1,0),IF(U$4="休","",IF(COUNTIF(DATA!V:V,$A:$A)=0,"×","√")),""))</f>
        <v/>
      </c>
      <c r="V6" s="32" t="str">
        <f ca="1">IF($A6="","",IF(IF(V$2&lt;=$A$1,1,0),IF(V$4="休","",IF(COUNTIF(DATA!W:W,$A:$A)=0,"×","√")),""))</f>
        <v/>
      </c>
      <c r="W6" s="32" t="str">
        <f ca="1">IF($A6="","",IF(IF(W$2&lt;=$A$1,1,0),IF(W$4="休","",IF(COUNTIF(DATA!X:X,$A:$A)=0,"×","√")),""))</f>
        <v/>
      </c>
      <c r="X6" s="32" t="str">
        <f ca="1">IF($A6="","",IF(IF(X$2&lt;=$A$1,1,0),IF(X$4="休","",IF(COUNTIF(DATA!Y:Y,$A:$A)=0,"×","√")),""))</f>
        <v/>
      </c>
      <c r="Y6" s="32" t="str">
        <f ca="1">IF($A6="","",IF(IF(Y$2&lt;=$A$1,1,0),IF(Y$4="休","",IF(COUNTIF(DATA!Z:Z,$A:$A)=0,"×","√")),""))</f>
        <v/>
      </c>
      <c r="Z6" s="32" t="str">
        <f ca="1">IF($A6="","",IF(IF(Z$2&lt;=$A$1,1,0),IF(Z$4="休","",IF(COUNTIF(DATA!AA:AA,$A:$A)=0,"×","√")),""))</f>
        <v/>
      </c>
      <c r="AA6" s="32" t="str">
        <f ca="1">IF($A6="","",IF(IF(AA$2&lt;=$A$1,1,0),IF(AA$4="休","",IF(COUNTIF(DATA!AB:AB,$A:$A)=0,"×","√")),""))</f>
        <v/>
      </c>
      <c r="AB6" s="32" t="str">
        <f ca="1">IF($A6="","",IF(IF(AB$2&lt;=$A$1,1,0),IF(AB$4="休","",IF(COUNTIF(DATA!AC:AC,$A:$A)=0,"×","√")),""))</f>
        <v/>
      </c>
      <c r="AC6" s="32" t="str">
        <f ca="1">IF($A6="","",IF(IF(AC$2&lt;=$A$1,1,0),IF(AC$4="休","",IF(COUNTIF(DATA!AD:AD,$A:$A)=0,"×","√")),""))</f>
        <v/>
      </c>
      <c r="AD6" s="32" t="str">
        <f ca="1">IF($A6="","",IF(IF(AD$2&lt;=$A$1,1,0),IF(AD$4="休","",IF(COUNTIF(DATA!AE:AE,$A:$A)=0,"×","√")),""))</f>
        <v/>
      </c>
      <c r="AE6" s="32" t="str">
        <f ca="1">IF($A6="","",IF(IF(AE$2&lt;=$A$1,1,0),IF(AE$4="休","",IF(COUNTIF(DATA!AF:AF,$A:$A)=0,"×","√")),""))</f>
        <v/>
      </c>
      <c r="AF6" s="32" t="str">
        <f ca="1">IF($A6="","",IF(IF(AF$2&lt;=$A$1,1,0),IF(AF$4="休","",IF(COUNTIF(DATA!AG:AG,$A:$A)=0,"×","√")),""))</f>
        <v/>
      </c>
      <c r="AG6" s="32" t="str">
        <f ca="1">IF($A6="","",IF(IF(AG$2&lt;=$A$1,1,0),IF(AG$4="休","",IF(COUNTIF(DATA!AH:AH,$A:$A)=0,"×","√")),""))</f>
        <v/>
      </c>
      <c r="AH6" s="32" t="str">
        <f ca="1">IF($A6="","",IF(IF(AH$2&lt;=$A$1,1,0),IF(AH$4="休","",IF(COUNTIF(DATA!AI:AI,$A:$A)=0,"×","√")),""))</f>
        <v/>
      </c>
      <c r="AI6" s="32" t="str">
        <f ca="1">IF($A6="","",IF(IF(AI$2&lt;=$A$1,1,0),IF(AI$4="休","",IF(COUNTIF(DATA!AJ:AJ,$A:$A)=0,"×","√")),""))</f>
        <v/>
      </c>
      <c r="AJ6" s="32" t="str">
        <f ca="1">IF($A6="","",IF(IF(AJ$2&lt;=$A$1,1,0),IF(AJ$4="休","",IF(COUNTIF(DATA!AK:AK,$A:$A)=0,"×","√")),""))</f>
        <v/>
      </c>
      <c r="AK6" s="32" t="str">
        <f ca="1">IF($A6="","",IF(IF(AK$2&lt;=$A$1,1,0),IF(AK$4="休","",IF(COUNTIF(DATA!AL:AL,$A:$A)=0,"×","√")),""))</f>
        <v/>
      </c>
      <c r="AL6" s="32" t="str">
        <f ca="1">IF($A6="","",IF(IF(AL$2&lt;=$A$1,1,0),IF(AL$4="休","",IF(COUNTIF(DATA!AM:AM,$A:$A)=0,"×","√")),""))</f>
        <v/>
      </c>
      <c r="AM6" s="32" t="str">
        <f ca="1">IF($A6="","",IF(IF(AM$2&lt;=$A$1,1,0),IF(AM$4="休","",IF(COUNTIF(DATA!AN:AN,$A:$A)=0,"×","√")),""))</f>
        <v/>
      </c>
      <c r="AN6" s="32" t="str">
        <f ca="1">IF($A6="","",IF(IF(AN$2&lt;=$A$1,1,0),IF(AN$4="休","",IF(COUNTIF(DATA!AO:AO,$A:$A)=0,"×","√")),""))</f>
        <v/>
      </c>
      <c r="AO6" s="32" t="str">
        <f ca="1">IF($A6="","",IF(IF(AO$2&lt;=$A$1,1,0),IF(AO$4="休","",IF(COUNTIF(DATA!AP:AP,$A:$A)=0,"×","√")),""))</f>
        <v/>
      </c>
      <c r="AP6" s="32" t="str">
        <f ca="1">IF($A6="","",IF(IF(AP$2&lt;=$A$1,1,0),IF(AP$4="休","",IF(COUNTIF(DATA!AQ:AQ,$A:$A)=0,"×","√")),""))</f>
        <v/>
      </c>
      <c r="AQ6" s="32" t="str">
        <f ca="1">IF($A6="","",IF(IF(AQ$2&lt;=$A$1,1,0),IF(AQ$4="休","",IF(COUNTIF(DATA!AR:AR,$A:$A)=0,"×","√")),""))</f>
        <v/>
      </c>
      <c r="AR6" s="32" t="str">
        <f ca="1">IF($A6="","",IF(IF(AR$2&lt;=$A$1,1,0),IF(AR$4="休","",IF(COUNTIF(DATA!AS:AS,$A:$A)=0,"×","√")),""))</f>
        <v/>
      </c>
      <c r="AS6" s="32" t="str">
        <f ca="1">IF($A6="","",IF(IF(AS$2&lt;=$A$1,1,0),IF(AS$4="休","",IF(COUNTIF(DATA!AT:AT,$A:$A)=0,"×","√")),""))</f>
        <v/>
      </c>
      <c r="AT6" s="32" t="str">
        <f ca="1">IF($A6="","",IF(IF(AT$2&lt;=$A$1,1,0),IF(AT$4="休","",IF(COUNTIF(DATA!AU:AU,$A:$A)=0,"×","√")),""))</f>
        <v/>
      </c>
      <c r="AU6" s="32" t="str">
        <f ca="1">IF($A6="","",IF(IF(AU$2&lt;=$A$1,1,0),IF(AU$4="休","",IF(COUNTIF(DATA!AV:AV,$A:$A)=0,"×","√")),""))</f>
        <v/>
      </c>
      <c r="AV6" s="32" t="str">
        <f ca="1">IF($A6="","",IF(IF(AV$2&lt;=$A$1,1,0),IF(AV$4="休","",IF(COUNTIF(DATA!AW:AW,$A:$A)=0,"×","√")),""))</f>
        <v/>
      </c>
      <c r="AW6" s="32" t="str">
        <f ca="1">IF($A6="","",IF(IF(AW$2&lt;=$A$1,1,0),IF(AW$4="休","",IF(COUNTIF(DATA!AX:AX,$A:$A)=0,"×","√")),""))</f>
        <v/>
      </c>
      <c r="AX6" s="32" t="str">
        <f ca="1">IF($A6="","",IF(IF(AX$2&lt;=$A$1,1,0),IF(AX$4="休","",IF(COUNTIF(DATA!AY:AY,$A:$A)=0,"×","√")),""))</f>
        <v/>
      </c>
      <c r="AY6" s="32" t="str">
        <f ca="1">IF($A6="","",IF(IF(AY$2&lt;=$A$1,1,0),IF(AY$4="休","",IF(COUNTIF(DATA!AZ:AZ,$A:$A)=0,"×","√")),""))</f>
        <v/>
      </c>
      <c r="AZ6" s="32" t="str">
        <f ca="1">IF($A6="","",IF(IF(AZ$2&lt;=$A$1,1,0),IF(AZ$4="休","",IF(COUNTIF(DATA!BA:BA,$A:$A)=0,"×","√")),""))</f>
        <v/>
      </c>
      <c r="BA6" s="32" t="str">
        <f ca="1">IF($A6="","",IF(IF(BA$2&lt;=$A$1,1,0),IF(BA$4="休","",IF(COUNTIF(DATA!BB:BB,$A:$A)=0,"×","√")),""))</f>
        <v/>
      </c>
      <c r="BB6" s="32" t="str">
        <f ca="1">IF($A6="","",IF(IF(BB$2&lt;=$A$1,1,0),IF(BB$4="休","",IF(COUNTIF(DATA!BC:BC,$A:$A)=0,"×","√")),""))</f>
        <v/>
      </c>
      <c r="BC6" s="32" t="str">
        <f ca="1">IF($A6="","",IF(IF(BC$2&lt;=$A$1,1,0),IF(BC$4="休","",IF(COUNTIF(DATA!BD:BD,$A:$A)=0,"×","√")),""))</f>
        <v/>
      </c>
      <c r="BD6" s="32" t="str">
        <f ca="1">IF($A6="","",IF(IF(BD$2&lt;=$A$1,1,0),IF(BD$4="休","",IF(COUNTIF(DATA!BE:BE,$A:$A)=0,"×","√")),""))</f>
        <v/>
      </c>
      <c r="BE6" s="32" t="str">
        <f ca="1">IF($A6="","",IF(IF(BE$2&lt;=$A$1,1,0),IF(BE$4="休","",IF(COUNTIF(DATA!BF:BF,$A:$A)=0,"×","√")),""))</f>
        <v/>
      </c>
      <c r="BF6" s="32" t="str">
        <f ca="1">IF($A6="","",IF(IF(BF$2&lt;=$A$1,1,0),IF(BF$4="休","",IF(COUNTIF(DATA!BG:BG,$A:$A)=0,"×","√")),""))</f>
        <v/>
      </c>
      <c r="BG6" s="32" t="str">
        <f ca="1">IF($A6="","",IF(IF(BG$2&lt;=$A$1,1,0),IF(BG$4="休","",IF(COUNTIF(DATA!BH:BH,$A:$A)=0,"×","√")),""))</f>
        <v/>
      </c>
      <c r="BH6" s="32" t="str">
        <f ca="1">IF($A6="","",IF(IF(BH$2&lt;=$A$1,1,0),IF(BH$4="休","",IF(COUNTIF(DATA!BI:BI,$A:$A)=0,"×","√")),""))</f>
        <v/>
      </c>
      <c r="BI6" s="32" t="str">
        <f ca="1">IF($A6="","",IF(IF(BI$2&lt;=$A$1,1,0),IF(BI$4="休","",IF(COUNTIF(DATA!BJ:BJ,$A:$A)=0,"×","√")),""))</f>
        <v/>
      </c>
      <c r="BJ6" s="32" t="str">
        <f ca="1">IF($A6="","",IF(IF(BJ$2&lt;=$A$1,1,0),IF(BJ$4="休","",IF(COUNTIF(DATA!BK:BK,$A:$A)=0,"×","√")),""))</f>
        <v/>
      </c>
      <c r="BK6" s="32" t="str">
        <f ca="1">IF($A6="","",IF(IF(BK$2&lt;=$A$1,1,0),IF(BK$4="休","",IF(COUNTIF(DATA!BL:BL,$A:$A)=0,"×","√")),""))</f>
        <v/>
      </c>
      <c r="BL6" s="32" t="str">
        <f ca="1">IF($A6="","",IF(IF(BL$2&lt;=$A$1,1,0),IF(BL$4="休","",IF(COUNTIF(DATA!BM:BM,$A:$A)=0,"×","√")),""))</f>
        <v/>
      </c>
      <c r="BM6" s="32" t="str">
        <f ca="1">IF($A6="","",IF(IF(BM$2&lt;=$A$1,1,0),IF(BM$4="休","",IF(COUNTIF(DATA!BN:BN,$A:$A)=0,"×","√")),""))</f>
        <v/>
      </c>
      <c r="BN6" s="32" t="str">
        <f ca="1">IF($A6="","",IF(IF(BN$2&lt;=$A$1,1,0),IF(BN$4="休","",IF(COUNTIF(DATA!BO:BO,$A:$A)=0,"×","√")),""))</f>
        <v/>
      </c>
      <c r="BO6" s="32" t="str">
        <f ca="1">IF($A6="","",IF(IF(BO$2&lt;=$A$1,1,0),IF(BO$4="休","",IF(COUNTIF(DATA!BP:BP,$A:$A)=0,"×","√")),""))</f>
        <v/>
      </c>
      <c r="BP6" s="32" t="str">
        <f ca="1">IF($A6="","",IF(IF(BP$2&lt;=$A$1,1,0),IF(BP$4="休","",IF(COUNTIF(DATA!BQ:BQ,$A:$A)=0,"×","√")),""))</f>
        <v/>
      </c>
      <c r="BQ6" s="32" t="str">
        <f ca="1">IF($A6="","",IF(IF(BQ$2&lt;=$A$1,1,0),IF(BQ$4="休","",IF(COUNTIF(DATA!BR:BR,$A:$A)=0,"×","√")),""))</f>
        <v/>
      </c>
      <c r="BR6" s="32" t="str">
        <f ca="1">IF($A6="","",IF(IF(BR$2&lt;=$A$1,1,0),IF(BR$4="休","",IF(COUNTIF(DATA!BS:BS,$A:$A)=0,"×","√")),""))</f>
        <v/>
      </c>
      <c r="BS6" s="32" t="str">
        <f ca="1">IF($A6="","",IF(IF(BS$2&lt;=$A$1,1,0),IF(BS$4="休","",IF(COUNTIF(DATA!BT:BT,$A:$A)=0,"×","√")),""))</f>
        <v/>
      </c>
      <c r="BT6" s="32" t="str">
        <f ca="1">IF($A6="","",IF(IF(BT$2&lt;=$A$1,1,0),IF(BT$4="休","",IF(COUNTIF(DATA!BU:BU,$A:$A)=0,"×","√")),""))</f>
        <v/>
      </c>
      <c r="BU6" s="32" t="str">
        <f ca="1">IF($A6="","",IF(IF(BU$2&lt;=$A$1,1,0),IF(BU$4="休","",IF(COUNTIF(DATA!BV:BV,$A:$A)=0,"×","√")),""))</f>
        <v/>
      </c>
      <c r="BV6" s="32" t="str">
        <f ca="1">IF($A6="","",IF(IF(BV$2&lt;=$A$1,1,0),IF(BV$4="休","",IF(COUNTIF(DATA!BW:BW,$A:$A)=0,"×","√")),""))</f>
        <v/>
      </c>
      <c r="BW6" s="32" t="str">
        <f ca="1">IF($A6="","",IF(IF(BW$2&lt;=$A$1,1,0),IF(BW$4="休","",IF(COUNTIF(DATA!BX:BX,$A:$A)=0,"×","√")),""))</f>
        <v/>
      </c>
      <c r="BX6" s="32" t="str">
        <f ca="1">IF($A6="","",IF(IF(BX$2&lt;=$A$1,1,0),IF(BX$4="休","",IF(COUNTIF(DATA!BY:BY,$A:$A)=0,"×","√")),""))</f>
        <v/>
      </c>
      <c r="BY6" s="32" t="str">
        <f ca="1">IF($A6="","",IF(IF(BY$2&lt;=$A$1,1,0),IF(BY$4="休","",IF(COUNTIF(DATA!BZ:BZ,$A:$A)=0,"×","√")),""))</f>
        <v/>
      </c>
      <c r="BZ6" s="32" t="str">
        <f ca="1">IF($A6="","",IF(IF(BZ$2&lt;=$A$1,1,0),IF(BZ$4="休","",IF(COUNTIF(DATA!CA:CA,$A:$A)=0,"×","√")),""))</f>
        <v/>
      </c>
      <c r="CA6" s="32" t="str">
        <f ca="1">IF($A6="","",IF(IF(CA$2&lt;=$A$1,1,0),IF(CA$4="休","",IF(COUNTIF(DATA!CB:CB,$A:$A)=0,"×","√")),""))</f>
        <v/>
      </c>
      <c r="CB6" s="32" t="str">
        <f ca="1">IF($A6="","",IF(IF(CB$2&lt;=$A$1,1,0),IF(CB$4="休","",IF(COUNTIF(DATA!CC:CC,$A:$A)=0,"×","√")),""))</f>
        <v/>
      </c>
      <c r="CC6" s="32" t="str">
        <f ca="1">IF($A6="","",IF(IF(CC$2&lt;=$A$1,1,0),IF(CC$4="休","",IF(COUNTIF(DATA!CD:CD,$A:$A)=0,"×","√")),""))</f>
        <v/>
      </c>
      <c r="CD6" s="32" t="str">
        <f ca="1">IF($A6="","",IF(IF(CD$2&lt;=$A$1,1,0),IF(CD$4="休","",IF(COUNTIF(DATA!CE:CE,$A:$A)=0,"×","√")),""))</f>
        <v/>
      </c>
      <c r="CE6" s="32" t="str">
        <f ca="1">IF($A6="","",IF(IF(CE$2&lt;=$A$1,1,0),IF(CE$4="休","",IF(COUNTIF(DATA!CF:CF,$A:$A)=0,"×","√")),""))</f>
        <v/>
      </c>
      <c r="CF6" s="32" t="str">
        <f ca="1">IF($A6="","",IF(IF(CF$2&lt;=$A$1,1,0),IF(CF$4="休","",IF(COUNTIF(DATA!CG:CG,$A:$A)=0,"×","√")),""))</f>
        <v/>
      </c>
      <c r="CG6" s="32" t="str">
        <f ca="1">IF($A6="","",IF(IF(CG$2&lt;=$A$1,1,0),IF(CG$4="休","",IF(COUNTIF(DATA!CH:CH,$A:$A)=0,"×","√")),""))</f>
        <v/>
      </c>
      <c r="CH6" s="32" t="str">
        <f ca="1">IF($A6="","",IF(IF(CH$2&lt;=$A$1,1,0),IF(CH$4="休","",IF(COUNTIF(DATA!CI:CI,$A:$A)=0,"×","√")),""))</f>
        <v/>
      </c>
      <c r="CI6" s="32" t="str">
        <f ca="1">IF($A6="","",IF(IF(CI$2&lt;=$A$1,1,0),IF(CI$4="休","",IF(COUNTIF(DATA!CJ:CJ,$A:$A)=0,"×","√")),""))</f>
        <v/>
      </c>
      <c r="CJ6" s="32" t="str">
        <f ca="1">IF($A6="","",IF(IF(CJ$2&lt;=$A$1,1,0),IF(CJ$4="休","",IF(COUNTIF(DATA!CK:CK,$A:$A)=0,"×","√")),""))</f>
        <v/>
      </c>
      <c r="CK6" s="32" t="str">
        <f ca="1">IF($A6="","",IF(IF(CK$2&lt;=$A$1,1,0),IF(CK$4="休","",IF(COUNTIF(DATA!CL:CL,$A:$A)=0,"×","√")),""))</f>
        <v/>
      </c>
      <c r="CL6" s="32" t="str">
        <f ca="1">IF($A6="","",IF(IF(CL$2&lt;=$A$1,1,0),IF(CL$4="休","",IF(COUNTIF(DATA!CM:CM,$A:$A)=0,"×","√")),""))</f>
        <v/>
      </c>
      <c r="CM6" s="32" t="str">
        <f ca="1">IF($A6="","",IF(IF(CM$2&lt;=$A$1,1,0),IF(CM$4="休","",IF(COUNTIF(DATA!CN:CN,$A:$A)=0,"×","√")),""))</f>
        <v/>
      </c>
      <c r="CN6" s="32" t="str">
        <f ca="1">IF($A6="","",IF(IF(CN$2&lt;=$A$1,1,0),IF(CN$4="休","",IF(COUNTIF(DATA!CO:CO,$A:$A)=0,"×","√")),""))</f>
        <v/>
      </c>
      <c r="CO6" s="32" t="str">
        <f ca="1">IF($A6="","",IF(IF(CO$2&lt;=$A$1,1,0),IF(CO$4="休","",IF(COUNTIF(DATA!CP:CP,$A:$A)=0,"×","√")),""))</f>
        <v/>
      </c>
      <c r="CP6" s="32" t="str">
        <f ca="1">IF($A6="","",IF(IF(CP$2&lt;=$A$1,1,0),IF(CP$4="休","",IF(COUNTIF(DATA!CQ:CQ,$A:$A)=0,"×","√")),""))</f>
        <v/>
      </c>
      <c r="CQ6" s="32" t="str">
        <f ca="1">IF($A6="","",IF(IF(CQ$2&lt;=$A$1,1,0),IF(CQ$4="休","",IF(COUNTIF(DATA!CR:CR,$A:$A)=0,"×","√")),""))</f>
        <v/>
      </c>
      <c r="CR6" s="32" t="str">
        <f ca="1">IF($A6="","",IF(IF(CR$2&lt;=$A$1,1,0),IF(CR$4="休","",IF(COUNTIF(DATA!CS:CS,$A:$A)=0,"×","√")),""))</f>
        <v/>
      </c>
    </row>
    <row r="7" s="26" customFormat="1" ht="18.75" spans="1:96">
      <c r="A7" s="32" t="str">
        <f>DATA!$A6&amp;""</f>
        <v>阮光强</v>
      </c>
      <c r="B7" s="32" t="str">
        <f ca="1">IF($A7="","",IF(IF(B$2&lt;=$A$1,1,0),IF(B$4="休","",IF(COUNTIF(DATA!C:C,$A:$A)=0,"×","√")),""))</f>
        <v>√</v>
      </c>
      <c r="C7" s="32" t="str">
        <f ca="1">IF($A7="","",IF(IF(C$2&lt;=$A$1,1,0),IF(C$4="休","",IF(COUNTIF(DATA!D:D,$A:$A)=0,"×","√")),""))</f>
        <v>√</v>
      </c>
      <c r="D7" s="32" t="str">
        <f ca="1">IF($A7="","",IF(IF(D$2&lt;=$A$1,1,0),IF(D$4="休","",IF(COUNTIF(DATA!E:E,$A:$A)=0,"×","√")),""))</f>
        <v>√</v>
      </c>
      <c r="E7" s="32" t="str">
        <f ca="1">IF($A7="","",IF(IF(E$2&lt;=$A$1,1,0),IF(E$4="休","",IF(COUNTIF(DATA!F:F,$A:$A)=0,"×","√")),""))</f>
        <v>√</v>
      </c>
      <c r="F7" s="32" t="str">
        <f ca="1">IF($A7="","",IF(IF(F$2&lt;=$A$1,1,0),IF(F$4="休","",IF(COUNTIF(DATA!G:G,$A:$A)=0,"×","√")),""))</f>
        <v>√</v>
      </c>
      <c r="G7" s="32" t="str">
        <f ca="1">IF($A7="","",IF(IF(G$2&lt;=$A$1,1,0),IF(G$4="休","",IF(COUNTIF(DATA!H:H,$A:$A)=0,"×","√")),""))</f>
        <v>√</v>
      </c>
      <c r="H7" s="32" t="str">
        <f ca="1">IF($A7="","",IF(IF(H$2&lt;=$A$1,1,0),IF(H$4="休","",IF(COUNTIF(DATA!I:I,$A:$A)=0,"×","√")),""))</f>
        <v>√</v>
      </c>
      <c r="I7" s="32" t="str">
        <f ca="1">IF($A7="","",IF(IF(I$2&lt;=$A$1,1,0),IF(I$4="休","",IF(COUNTIF(DATA!J:J,$A:$A)=0,"×","√")),""))</f>
        <v>√</v>
      </c>
      <c r="J7" s="32" t="str">
        <f ca="1">IF($A7="","",IF(IF(J$2&lt;=$A$1,1,0),IF(J$4="休","",IF(COUNTIF(DATA!K:K,$A:$A)=0,"×","√")),""))</f>
        <v/>
      </c>
      <c r="K7" s="32" t="str">
        <f ca="1">IF($A7="","",IF(IF(K$2&lt;=$A$1,1,0),IF(K$4="休","",IF(COUNTIF(DATA!L:L,$A:$A)=0,"×","√")),""))</f>
        <v/>
      </c>
      <c r="L7" s="32" t="str">
        <f ca="1">IF($A7="","",IF(IF(L$2&lt;=$A$1,1,0),IF(L$4="休","",IF(COUNTIF(DATA!M:M,$A:$A)=0,"×","√")),""))</f>
        <v/>
      </c>
      <c r="M7" s="32" t="str">
        <f ca="1">IF($A7="","",IF(IF(M$2&lt;=$A$1,1,0),IF(M$4="休","",IF(COUNTIF(DATA!N:N,$A:$A)=0,"×","√")),""))</f>
        <v/>
      </c>
      <c r="N7" s="32" t="str">
        <f ca="1">IF($A7="","",IF(IF(N$2&lt;=$A$1,1,0),IF(N$4="休","",IF(COUNTIF(DATA!O:O,$A:$A)=0,"×","√")),""))</f>
        <v/>
      </c>
      <c r="O7" s="32" t="str">
        <f ca="1">IF($A7="","",IF(IF(O$2&lt;=$A$1,1,0),IF(O$4="休","",IF(COUNTIF(DATA!P:P,$A:$A)=0,"×","√")),""))</f>
        <v/>
      </c>
      <c r="P7" s="32" t="str">
        <f ca="1">IF($A7="","",IF(IF(P$2&lt;=$A$1,1,0),IF(P$4="休","",IF(COUNTIF(DATA!Q:Q,$A:$A)=0,"×","√")),""))</f>
        <v/>
      </c>
      <c r="Q7" s="32" t="str">
        <f ca="1">IF($A7="","",IF(IF(Q$2&lt;=$A$1,1,0),IF(Q$4="休","",IF(COUNTIF(DATA!R:R,$A:$A)=0,"×","√")),""))</f>
        <v/>
      </c>
      <c r="R7" s="32" t="str">
        <f ca="1">IF($A7="","",IF(IF(R$2&lt;=$A$1,1,0),IF(R$4="休","",IF(COUNTIF(DATA!S:S,$A:$A)=0,"×","√")),""))</f>
        <v/>
      </c>
      <c r="S7" s="32" t="str">
        <f ca="1">IF($A7="","",IF(IF(S$2&lt;=$A$1,1,0),IF(S$4="休","",IF(COUNTIF(DATA!T:T,$A:$A)=0,"×","√")),""))</f>
        <v/>
      </c>
      <c r="T7" s="32" t="str">
        <f ca="1">IF($A7="","",IF(IF(T$2&lt;=$A$1,1,0),IF(T$4="休","",IF(COUNTIF(DATA!U:U,$A:$A)=0,"×","√")),""))</f>
        <v/>
      </c>
      <c r="U7" s="32" t="str">
        <f ca="1">IF($A7="","",IF(IF(U$2&lt;=$A$1,1,0),IF(U$4="休","",IF(COUNTIF(DATA!V:V,$A:$A)=0,"×","√")),""))</f>
        <v/>
      </c>
      <c r="V7" s="32" t="str">
        <f ca="1">IF($A7="","",IF(IF(V$2&lt;=$A$1,1,0),IF(V$4="休","",IF(COUNTIF(DATA!W:W,$A:$A)=0,"×","√")),""))</f>
        <v/>
      </c>
      <c r="W7" s="32" t="str">
        <f ca="1">IF($A7="","",IF(IF(W$2&lt;=$A$1,1,0),IF(W$4="休","",IF(COUNTIF(DATA!X:X,$A:$A)=0,"×","√")),""))</f>
        <v/>
      </c>
      <c r="X7" s="32" t="str">
        <f ca="1">IF($A7="","",IF(IF(X$2&lt;=$A$1,1,0),IF(X$4="休","",IF(COUNTIF(DATA!Y:Y,$A:$A)=0,"×","√")),""))</f>
        <v/>
      </c>
      <c r="Y7" s="32" t="str">
        <f ca="1">IF($A7="","",IF(IF(Y$2&lt;=$A$1,1,0),IF(Y$4="休","",IF(COUNTIF(DATA!Z:Z,$A:$A)=0,"×","√")),""))</f>
        <v/>
      </c>
      <c r="Z7" s="32" t="str">
        <f ca="1">IF($A7="","",IF(IF(Z$2&lt;=$A$1,1,0),IF(Z$4="休","",IF(COUNTIF(DATA!AA:AA,$A:$A)=0,"×","√")),""))</f>
        <v/>
      </c>
      <c r="AA7" s="32" t="str">
        <f ca="1">IF($A7="","",IF(IF(AA$2&lt;=$A$1,1,0),IF(AA$4="休","",IF(COUNTIF(DATA!AB:AB,$A:$A)=0,"×","√")),""))</f>
        <v/>
      </c>
      <c r="AB7" s="32" t="str">
        <f ca="1">IF($A7="","",IF(IF(AB$2&lt;=$A$1,1,0),IF(AB$4="休","",IF(COUNTIF(DATA!AC:AC,$A:$A)=0,"×","√")),""))</f>
        <v/>
      </c>
      <c r="AC7" s="32" t="str">
        <f ca="1">IF($A7="","",IF(IF(AC$2&lt;=$A$1,1,0),IF(AC$4="休","",IF(COUNTIF(DATA!AD:AD,$A:$A)=0,"×","√")),""))</f>
        <v/>
      </c>
      <c r="AD7" s="32" t="str">
        <f ca="1">IF($A7="","",IF(IF(AD$2&lt;=$A$1,1,0),IF(AD$4="休","",IF(COUNTIF(DATA!AE:AE,$A:$A)=0,"×","√")),""))</f>
        <v/>
      </c>
      <c r="AE7" s="32" t="str">
        <f ca="1">IF($A7="","",IF(IF(AE$2&lt;=$A$1,1,0),IF(AE$4="休","",IF(COUNTIF(DATA!AF:AF,$A:$A)=0,"×","√")),""))</f>
        <v/>
      </c>
      <c r="AF7" s="32" t="str">
        <f ca="1">IF($A7="","",IF(IF(AF$2&lt;=$A$1,1,0),IF(AF$4="休","",IF(COUNTIF(DATA!AG:AG,$A:$A)=0,"×","√")),""))</f>
        <v/>
      </c>
      <c r="AG7" s="32" t="str">
        <f ca="1">IF($A7="","",IF(IF(AG$2&lt;=$A$1,1,0),IF(AG$4="休","",IF(COUNTIF(DATA!AH:AH,$A:$A)=0,"×","√")),""))</f>
        <v/>
      </c>
      <c r="AH7" s="32" t="str">
        <f ca="1">IF($A7="","",IF(IF(AH$2&lt;=$A$1,1,0),IF(AH$4="休","",IF(COUNTIF(DATA!AI:AI,$A:$A)=0,"×","√")),""))</f>
        <v/>
      </c>
      <c r="AI7" s="32" t="str">
        <f ca="1">IF($A7="","",IF(IF(AI$2&lt;=$A$1,1,0),IF(AI$4="休","",IF(COUNTIF(DATA!AJ:AJ,$A:$A)=0,"×","√")),""))</f>
        <v/>
      </c>
      <c r="AJ7" s="32" t="str">
        <f ca="1">IF($A7="","",IF(IF(AJ$2&lt;=$A$1,1,0),IF(AJ$4="休","",IF(COUNTIF(DATA!AK:AK,$A:$A)=0,"×","√")),""))</f>
        <v/>
      </c>
      <c r="AK7" s="32" t="str">
        <f ca="1">IF($A7="","",IF(IF(AK$2&lt;=$A$1,1,0),IF(AK$4="休","",IF(COUNTIF(DATA!AL:AL,$A:$A)=0,"×","√")),""))</f>
        <v/>
      </c>
      <c r="AL7" s="32" t="str">
        <f ca="1">IF($A7="","",IF(IF(AL$2&lt;=$A$1,1,0),IF(AL$4="休","",IF(COUNTIF(DATA!AM:AM,$A:$A)=0,"×","√")),""))</f>
        <v/>
      </c>
      <c r="AM7" s="32" t="str">
        <f ca="1">IF($A7="","",IF(IF(AM$2&lt;=$A$1,1,0),IF(AM$4="休","",IF(COUNTIF(DATA!AN:AN,$A:$A)=0,"×","√")),""))</f>
        <v/>
      </c>
      <c r="AN7" s="32" t="str">
        <f ca="1">IF($A7="","",IF(IF(AN$2&lt;=$A$1,1,0),IF(AN$4="休","",IF(COUNTIF(DATA!AO:AO,$A:$A)=0,"×","√")),""))</f>
        <v/>
      </c>
      <c r="AO7" s="32" t="str">
        <f ca="1">IF($A7="","",IF(IF(AO$2&lt;=$A$1,1,0),IF(AO$4="休","",IF(COUNTIF(DATA!AP:AP,$A:$A)=0,"×","√")),""))</f>
        <v/>
      </c>
      <c r="AP7" s="32" t="str">
        <f ca="1">IF($A7="","",IF(IF(AP$2&lt;=$A$1,1,0),IF(AP$4="休","",IF(COUNTIF(DATA!AQ:AQ,$A:$A)=0,"×","√")),""))</f>
        <v/>
      </c>
      <c r="AQ7" s="32" t="str">
        <f ca="1">IF($A7="","",IF(IF(AQ$2&lt;=$A$1,1,0),IF(AQ$4="休","",IF(COUNTIF(DATA!AR:AR,$A:$A)=0,"×","√")),""))</f>
        <v/>
      </c>
      <c r="AR7" s="32" t="str">
        <f ca="1">IF($A7="","",IF(IF(AR$2&lt;=$A$1,1,0),IF(AR$4="休","",IF(COUNTIF(DATA!AS:AS,$A:$A)=0,"×","√")),""))</f>
        <v/>
      </c>
      <c r="AS7" s="32" t="str">
        <f ca="1">IF($A7="","",IF(IF(AS$2&lt;=$A$1,1,0),IF(AS$4="休","",IF(COUNTIF(DATA!AT:AT,$A:$A)=0,"×","√")),""))</f>
        <v/>
      </c>
      <c r="AT7" s="32" t="str">
        <f ca="1">IF($A7="","",IF(IF(AT$2&lt;=$A$1,1,0),IF(AT$4="休","",IF(COUNTIF(DATA!AU:AU,$A:$A)=0,"×","√")),""))</f>
        <v/>
      </c>
      <c r="AU7" s="32" t="str">
        <f ca="1">IF($A7="","",IF(IF(AU$2&lt;=$A$1,1,0),IF(AU$4="休","",IF(COUNTIF(DATA!AV:AV,$A:$A)=0,"×","√")),""))</f>
        <v/>
      </c>
      <c r="AV7" s="32" t="str">
        <f ca="1">IF($A7="","",IF(IF(AV$2&lt;=$A$1,1,0),IF(AV$4="休","",IF(COUNTIF(DATA!AW:AW,$A:$A)=0,"×","√")),""))</f>
        <v/>
      </c>
      <c r="AW7" s="32" t="str">
        <f ca="1">IF($A7="","",IF(IF(AW$2&lt;=$A$1,1,0),IF(AW$4="休","",IF(COUNTIF(DATA!AX:AX,$A:$A)=0,"×","√")),""))</f>
        <v/>
      </c>
      <c r="AX7" s="32" t="str">
        <f ca="1">IF($A7="","",IF(IF(AX$2&lt;=$A$1,1,0),IF(AX$4="休","",IF(COUNTIF(DATA!AY:AY,$A:$A)=0,"×","√")),""))</f>
        <v/>
      </c>
      <c r="AY7" s="32" t="str">
        <f ca="1">IF($A7="","",IF(IF(AY$2&lt;=$A$1,1,0),IF(AY$4="休","",IF(COUNTIF(DATA!AZ:AZ,$A:$A)=0,"×","√")),""))</f>
        <v/>
      </c>
      <c r="AZ7" s="32" t="str">
        <f ca="1">IF($A7="","",IF(IF(AZ$2&lt;=$A$1,1,0),IF(AZ$4="休","",IF(COUNTIF(DATA!BA:BA,$A:$A)=0,"×","√")),""))</f>
        <v/>
      </c>
      <c r="BA7" s="32" t="str">
        <f ca="1">IF($A7="","",IF(IF(BA$2&lt;=$A$1,1,0),IF(BA$4="休","",IF(COUNTIF(DATA!BB:BB,$A:$A)=0,"×","√")),""))</f>
        <v/>
      </c>
      <c r="BB7" s="32" t="str">
        <f ca="1">IF($A7="","",IF(IF(BB$2&lt;=$A$1,1,0),IF(BB$4="休","",IF(COUNTIF(DATA!BC:BC,$A:$A)=0,"×","√")),""))</f>
        <v/>
      </c>
      <c r="BC7" s="32" t="str">
        <f ca="1">IF($A7="","",IF(IF(BC$2&lt;=$A$1,1,0),IF(BC$4="休","",IF(COUNTIF(DATA!BD:BD,$A:$A)=0,"×","√")),""))</f>
        <v/>
      </c>
      <c r="BD7" s="32" t="str">
        <f ca="1">IF($A7="","",IF(IF(BD$2&lt;=$A$1,1,0),IF(BD$4="休","",IF(COUNTIF(DATA!BE:BE,$A:$A)=0,"×","√")),""))</f>
        <v/>
      </c>
      <c r="BE7" s="32" t="str">
        <f ca="1">IF($A7="","",IF(IF(BE$2&lt;=$A$1,1,0),IF(BE$4="休","",IF(COUNTIF(DATA!BF:BF,$A:$A)=0,"×","√")),""))</f>
        <v/>
      </c>
      <c r="BF7" s="32" t="str">
        <f ca="1">IF($A7="","",IF(IF(BF$2&lt;=$A$1,1,0),IF(BF$4="休","",IF(COUNTIF(DATA!BG:BG,$A:$A)=0,"×","√")),""))</f>
        <v/>
      </c>
      <c r="BG7" s="32" t="str">
        <f ca="1">IF($A7="","",IF(IF(BG$2&lt;=$A$1,1,0),IF(BG$4="休","",IF(COUNTIF(DATA!BH:BH,$A:$A)=0,"×","√")),""))</f>
        <v/>
      </c>
      <c r="BH7" s="32" t="str">
        <f ca="1">IF($A7="","",IF(IF(BH$2&lt;=$A$1,1,0),IF(BH$4="休","",IF(COUNTIF(DATA!BI:BI,$A:$A)=0,"×","√")),""))</f>
        <v/>
      </c>
      <c r="BI7" s="32" t="str">
        <f ca="1">IF($A7="","",IF(IF(BI$2&lt;=$A$1,1,0),IF(BI$4="休","",IF(COUNTIF(DATA!BJ:BJ,$A:$A)=0,"×","√")),""))</f>
        <v/>
      </c>
      <c r="BJ7" s="32" t="str">
        <f ca="1">IF($A7="","",IF(IF(BJ$2&lt;=$A$1,1,0),IF(BJ$4="休","",IF(COUNTIF(DATA!BK:BK,$A:$A)=0,"×","√")),""))</f>
        <v/>
      </c>
      <c r="BK7" s="32" t="str">
        <f ca="1">IF($A7="","",IF(IF(BK$2&lt;=$A$1,1,0),IF(BK$4="休","",IF(COUNTIF(DATA!BL:BL,$A:$A)=0,"×","√")),""))</f>
        <v/>
      </c>
      <c r="BL7" s="32" t="str">
        <f ca="1">IF($A7="","",IF(IF(BL$2&lt;=$A$1,1,0),IF(BL$4="休","",IF(COUNTIF(DATA!BM:BM,$A:$A)=0,"×","√")),""))</f>
        <v/>
      </c>
      <c r="BM7" s="32" t="str">
        <f ca="1">IF($A7="","",IF(IF(BM$2&lt;=$A$1,1,0),IF(BM$4="休","",IF(COUNTIF(DATA!BN:BN,$A:$A)=0,"×","√")),""))</f>
        <v/>
      </c>
      <c r="BN7" s="32" t="str">
        <f ca="1">IF($A7="","",IF(IF(BN$2&lt;=$A$1,1,0),IF(BN$4="休","",IF(COUNTIF(DATA!BO:BO,$A:$A)=0,"×","√")),""))</f>
        <v/>
      </c>
      <c r="BO7" s="32" t="str">
        <f ca="1">IF($A7="","",IF(IF(BO$2&lt;=$A$1,1,0),IF(BO$4="休","",IF(COUNTIF(DATA!BP:BP,$A:$A)=0,"×","√")),""))</f>
        <v/>
      </c>
      <c r="BP7" s="32" t="str">
        <f ca="1">IF($A7="","",IF(IF(BP$2&lt;=$A$1,1,0),IF(BP$4="休","",IF(COUNTIF(DATA!BQ:BQ,$A:$A)=0,"×","√")),""))</f>
        <v/>
      </c>
      <c r="BQ7" s="32" t="str">
        <f ca="1">IF($A7="","",IF(IF(BQ$2&lt;=$A$1,1,0),IF(BQ$4="休","",IF(COUNTIF(DATA!BR:BR,$A:$A)=0,"×","√")),""))</f>
        <v/>
      </c>
      <c r="BR7" s="32" t="str">
        <f ca="1">IF($A7="","",IF(IF(BR$2&lt;=$A$1,1,0),IF(BR$4="休","",IF(COUNTIF(DATA!BS:BS,$A:$A)=0,"×","√")),""))</f>
        <v/>
      </c>
      <c r="BS7" s="32" t="str">
        <f ca="1">IF($A7="","",IF(IF(BS$2&lt;=$A$1,1,0),IF(BS$4="休","",IF(COUNTIF(DATA!BT:BT,$A:$A)=0,"×","√")),""))</f>
        <v/>
      </c>
      <c r="BT7" s="32" t="str">
        <f ca="1">IF($A7="","",IF(IF(BT$2&lt;=$A$1,1,0),IF(BT$4="休","",IF(COUNTIF(DATA!BU:BU,$A:$A)=0,"×","√")),""))</f>
        <v/>
      </c>
      <c r="BU7" s="32" t="str">
        <f ca="1">IF($A7="","",IF(IF(BU$2&lt;=$A$1,1,0),IF(BU$4="休","",IF(COUNTIF(DATA!BV:BV,$A:$A)=0,"×","√")),""))</f>
        <v/>
      </c>
      <c r="BV7" s="32" t="str">
        <f ca="1">IF($A7="","",IF(IF(BV$2&lt;=$A$1,1,0),IF(BV$4="休","",IF(COUNTIF(DATA!BW:BW,$A:$A)=0,"×","√")),""))</f>
        <v/>
      </c>
      <c r="BW7" s="32" t="str">
        <f ca="1">IF($A7="","",IF(IF(BW$2&lt;=$A$1,1,0),IF(BW$4="休","",IF(COUNTIF(DATA!BX:BX,$A:$A)=0,"×","√")),""))</f>
        <v/>
      </c>
      <c r="BX7" s="32" t="str">
        <f ca="1">IF($A7="","",IF(IF(BX$2&lt;=$A$1,1,0),IF(BX$4="休","",IF(COUNTIF(DATA!BY:BY,$A:$A)=0,"×","√")),""))</f>
        <v/>
      </c>
      <c r="BY7" s="32" t="str">
        <f ca="1">IF($A7="","",IF(IF(BY$2&lt;=$A$1,1,0),IF(BY$4="休","",IF(COUNTIF(DATA!BZ:BZ,$A:$A)=0,"×","√")),""))</f>
        <v/>
      </c>
      <c r="BZ7" s="32" t="str">
        <f ca="1">IF($A7="","",IF(IF(BZ$2&lt;=$A$1,1,0),IF(BZ$4="休","",IF(COUNTIF(DATA!CA:CA,$A:$A)=0,"×","√")),""))</f>
        <v/>
      </c>
      <c r="CA7" s="32" t="str">
        <f ca="1">IF($A7="","",IF(IF(CA$2&lt;=$A$1,1,0),IF(CA$4="休","",IF(COUNTIF(DATA!CB:CB,$A:$A)=0,"×","√")),""))</f>
        <v/>
      </c>
      <c r="CB7" s="32" t="str">
        <f ca="1">IF($A7="","",IF(IF(CB$2&lt;=$A$1,1,0),IF(CB$4="休","",IF(COUNTIF(DATA!CC:CC,$A:$A)=0,"×","√")),""))</f>
        <v/>
      </c>
      <c r="CC7" s="32" t="str">
        <f ca="1">IF($A7="","",IF(IF(CC$2&lt;=$A$1,1,0),IF(CC$4="休","",IF(COUNTIF(DATA!CD:CD,$A:$A)=0,"×","√")),""))</f>
        <v/>
      </c>
      <c r="CD7" s="32" t="str">
        <f ca="1">IF($A7="","",IF(IF(CD$2&lt;=$A$1,1,0),IF(CD$4="休","",IF(COUNTIF(DATA!CE:CE,$A:$A)=0,"×","√")),""))</f>
        <v/>
      </c>
      <c r="CE7" s="32" t="str">
        <f ca="1">IF($A7="","",IF(IF(CE$2&lt;=$A$1,1,0),IF(CE$4="休","",IF(COUNTIF(DATA!CF:CF,$A:$A)=0,"×","√")),""))</f>
        <v/>
      </c>
      <c r="CF7" s="32" t="str">
        <f ca="1">IF($A7="","",IF(IF(CF$2&lt;=$A$1,1,0),IF(CF$4="休","",IF(COUNTIF(DATA!CG:CG,$A:$A)=0,"×","√")),""))</f>
        <v/>
      </c>
      <c r="CG7" s="32" t="str">
        <f ca="1">IF($A7="","",IF(IF(CG$2&lt;=$A$1,1,0),IF(CG$4="休","",IF(COUNTIF(DATA!CH:CH,$A:$A)=0,"×","√")),""))</f>
        <v/>
      </c>
      <c r="CH7" s="32" t="str">
        <f ca="1">IF($A7="","",IF(IF(CH$2&lt;=$A$1,1,0),IF(CH$4="休","",IF(COUNTIF(DATA!CI:CI,$A:$A)=0,"×","√")),""))</f>
        <v/>
      </c>
      <c r="CI7" s="32" t="str">
        <f ca="1">IF($A7="","",IF(IF(CI$2&lt;=$A$1,1,0),IF(CI$4="休","",IF(COUNTIF(DATA!CJ:CJ,$A:$A)=0,"×","√")),""))</f>
        <v/>
      </c>
      <c r="CJ7" s="32" t="str">
        <f ca="1">IF($A7="","",IF(IF(CJ$2&lt;=$A$1,1,0),IF(CJ$4="休","",IF(COUNTIF(DATA!CK:CK,$A:$A)=0,"×","√")),""))</f>
        <v/>
      </c>
      <c r="CK7" s="32" t="str">
        <f ca="1">IF($A7="","",IF(IF(CK$2&lt;=$A$1,1,0),IF(CK$4="休","",IF(COUNTIF(DATA!CL:CL,$A:$A)=0,"×","√")),""))</f>
        <v/>
      </c>
      <c r="CL7" s="32" t="str">
        <f ca="1">IF($A7="","",IF(IF(CL$2&lt;=$A$1,1,0),IF(CL$4="休","",IF(COUNTIF(DATA!CM:CM,$A:$A)=0,"×","√")),""))</f>
        <v/>
      </c>
      <c r="CM7" s="32" t="str">
        <f ca="1">IF($A7="","",IF(IF(CM$2&lt;=$A$1,1,0),IF(CM$4="休","",IF(COUNTIF(DATA!CN:CN,$A:$A)=0,"×","√")),""))</f>
        <v/>
      </c>
      <c r="CN7" s="32" t="str">
        <f ca="1">IF($A7="","",IF(IF(CN$2&lt;=$A$1,1,0),IF(CN$4="休","",IF(COUNTIF(DATA!CO:CO,$A:$A)=0,"×","√")),""))</f>
        <v/>
      </c>
      <c r="CO7" s="32" t="str">
        <f ca="1">IF($A7="","",IF(IF(CO$2&lt;=$A$1,1,0),IF(CO$4="休","",IF(COUNTIF(DATA!CP:CP,$A:$A)=0,"×","√")),""))</f>
        <v/>
      </c>
      <c r="CP7" s="32" t="str">
        <f ca="1">IF($A7="","",IF(IF(CP$2&lt;=$A$1,1,0),IF(CP$4="休","",IF(COUNTIF(DATA!CQ:CQ,$A:$A)=0,"×","√")),""))</f>
        <v/>
      </c>
      <c r="CQ7" s="32" t="str">
        <f ca="1">IF($A7="","",IF(IF(CQ$2&lt;=$A$1,1,0),IF(CQ$4="休","",IF(COUNTIF(DATA!CR:CR,$A:$A)=0,"×","√")),""))</f>
        <v/>
      </c>
      <c r="CR7" s="32" t="str">
        <f ca="1">IF($A7="","",IF(IF(CR$2&lt;=$A$1,1,0),IF(CR$4="休","",IF(COUNTIF(DATA!CS:CS,$A:$A)=0,"×","√")),""))</f>
        <v/>
      </c>
    </row>
    <row r="8" s="26" customFormat="1" ht="18.75" spans="1:96">
      <c r="A8" s="32" t="str">
        <f>DATA!$A7&amp;""</f>
        <v>马坚强</v>
      </c>
      <c r="B8" s="32" t="str">
        <f ca="1">IF($A8="","",IF(IF(B$2&lt;=$A$1,1,0),IF(B$4="休","",IF(COUNTIF(DATA!C:C,$A:$A)=0,"×","√")),""))</f>
        <v>√</v>
      </c>
      <c r="C8" s="32" t="str">
        <f ca="1">IF($A8="","",IF(IF(C$2&lt;=$A$1,1,0),IF(C$4="休","",IF(COUNTIF(DATA!D:D,$A:$A)=0,"×","√")),""))</f>
        <v>√</v>
      </c>
      <c r="D8" s="32" t="str">
        <f ca="1">IF($A8="","",IF(IF(D$2&lt;=$A$1,1,0),IF(D$4="休","",IF(COUNTIF(DATA!E:E,$A:$A)=0,"×","√")),""))</f>
        <v>√</v>
      </c>
      <c r="E8" s="32" t="str">
        <f ca="1">IF($A8="","",IF(IF(E$2&lt;=$A$1,1,0),IF(E$4="休","",IF(COUNTIF(DATA!F:F,$A:$A)=0,"×","√")),""))</f>
        <v>√</v>
      </c>
      <c r="F8" s="32" t="str">
        <f ca="1">IF($A8="","",IF(IF(F$2&lt;=$A$1,1,0),IF(F$4="休","",IF(COUNTIF(DATA!G:G,$A:$A)=0,"×","√")),""))</f>
        <v>√</v>
      </c>
      <c r="G8" s="32" t="str">
        <f ca="1">IF($A8="","",IF(IF(G$2&lt;=$A$1,1,0),IF(G$4="休","",IF(COUNTIF(DATA!H:H,$A:$A)=0,"×","√")),""))</f>
        <v>√</v>
      </c>
      <c r="H8" s="32" t="str">
        <f ca="1">IF($A8="","",IF(IF(H$2&lt;=$A$1,1,0),IF(H$4="休","",IF(COUNTIF(DATA!I:I,$A:$A)=0,"×","√")),""))</f>
        <v>√</v>
      </c>
      <c r="I8" s="32" t="str">
        <f ca="1">IF($A8="","",IF(IF(I$2&lt;=$A$1,1,0),IF(I$4="休","",IF(COUNTIF(DATA!J:J,$A:$A)=0,"×","√")),""))</f>
        <v>√</v>
      </c>
      <c r="J8" s="32" t="str">
        <f ca="1">IF($A8="","",IF(IF(J$2&lt;=$A$1,1,0),IF(J$4="休","",IF(COUNTIF(DATA!K:K,$A:$A)=0,"×","√")),""))</f>
        <v/>
      </c>
      <c r="K8" s="32" t="str">
        <f ca="1">IF($A8="","",IF(IF(K$2&lt;=$A$1,1,0),IF(K$4="休","",IF(COUNTIF(DATA!L:L,$A:$A)=0,"×","√")),""))</f>
        <v/>
      </c>
      <c r="L8" s="32" t="str">
        <f ca="1">IF($A8="","",IF(IF(L$2&lt;=$A$1,1,0),IF(L$4="休","",IF(COUNTIF(DATA!M:M,$A:$A)=0,"×","√")),""))</f>
        <v/>
      </c>
      <c r="M8" s="32" t="str">
        <f ca="1">IF($A8="","",IF(IF(M$2&lt;=$A$1,1,0),IF(M$4="休","",IF(COUNTIF(DATA!N:N,$A:$A)=0,"×","√")),""))</f>
        <v/>
      </c>
      <c r="N8" s="32" t="str">
        <f ca="1">IF($A8="","",IF(IF(N$2&lt;=$A$1,1,0),IF(N$4="休","",IF(COUNTIF(DATA!O:O,$A:$A)=0,"×","√")),""))</f>
        <v/>
      </c>
      <c r="O8" s="32" t="str">
        <f ca="1">IF($A8="","",IF(IF(O$2&lt;=$A$1,1,0),IF(O$4="休","",IF(COUNTIF(DATA!P:P,$A:$A)=0,"×","√")),""))</f>
        <v/>
      </c>
      <c r="P8" s="32" t="str">
        <f ca="1">IF($A8="","",IF(IF(P$2&lt;=$A$1,1,0),IF(P$4="休","",IF(COUNTIF(DATA!Q:Q,$A:$A)=0,"×","√")),""))</f>
        <v/>
      </c>
      <c r="Q8" s="32" t="str">
        <f ca="1">IF($A8="","",IF(IF(Q$2&lt;=$A$1,1,0),IF(Q$4="休","",IF(COUNTIF(DATA!R:R,$A:$A)=0,"×","√")),""))</f>
        <v/>
      </c>
      <c r="R8" s="32" t="str">
        <f ca="1">IF($A8="","",IF(IF(R$2&lt;=$A$1,1,0),IF(R$4="休","",IF(COUNTIF(DATA!S:S,$A:$A)=0,"×","√")),""))</f>
        <v/>
      </c>
      <c r="S8" s="32" t="str">
        <f ca="1">IF($A8="","",IF(IF(S$2&lt;=$A$1,1,0),IF(S$4="休","",IF(COUNTIF(DATA!T:T,$A:$A)=0,"×","√")),""))</f>
        <v/>
      </c>
      <c r="T8" s="32" t="str">
        <f ca="1">IF($A8="","",IF(IF(T$2&lt;=$A$1,1,0),IF(T$4="休","",IF(COUNTIF(DATA!U:U,$A:$A)=0,"×","√")),""))</f>
        <v/>
      </c>
      <c r="U8" s="32" t="str">
        <f ca="1">IF($A8="","",IF(IF(U$2&lt;=$A$1,1,0),IF(U$4="休","",IF(COUNTIF(DATA!V:V,$A:$A)=0,"×","√")),""))</f>
        <v/>
      </c>
      <c r="V8" s="32" t="str">
        <f ca="1">IF($A8="","",IF(IF(V$2&lt;=$A$1,1,0),IF(V$4="休","",IF(COUNTIF(DATA!W:W,$A:$A)=0,"×","√")),""))</f>
        <v/>
      </c>
      <c r="W8" s="32" t="str">
        <f ca="1">IF($A8="","",IF(IF(W$2&lt;=$A$1,1,0),IF(W$4="休","",IF(COUNTIF(DATA!X:X,$A:$A)=0,"×","√")),""))</f>
        <v/>
      </c>
      <c r="X8" s="32" t="str">
        <f ca="1">IF($A8="","",IF(IF(X$2&lt;=$A$1,1,0),IF(X$4="休","",IF(COUNTIF(DATA!Y:Y,$A:$A)=0,"×","√")),""))</f>
        <v/>
      </c>
      <c r="Y8" s="32" t="str">
        <f ca="1">IF($A8="","",IF(IF(Y$2&lt;=$A$1,1,0),IF(Y$4="休","",IF(COUNTIF(DATA!Z:Z,$A:$A)=0,"×","√")),""))</f>
        <v/>
      </c>
      <c r="Z8" s="32" t="str">
        <f ca="1">IF($A8="","",IF(IF(Z$2&lt;=$A$1,1,0),IF(Z$4="休","",IF(COUNTIF(DATA!AA:AA,$A:$A)=0,"×","√")),""))</f>
        <v/>
      </c>
      <c r="AA8" s="32" t="str">
        <f ca="1">IF($A8="","",IF(IF(AA$2&lt;=$A$1,1,0),IF(AA$4="休","",IF(COUNTIF(DATA!AB:AB,$A:$A)=0,"×","√")),""))</f>
        <v/>
      </c>
      <c r="AB8" s="32" t="str">
        <f ca="1">IF($A8="","",IF(IF(AB$2&lt;=$A$1,1,0),IF(AB$4="休","",IF(COUNTIF(DATA!AC:AC,$A:$A)=0,"×","√")),""))</f>
        <v/>
      </c>
      <c r="AC8" s="32" t="str">
        <f ca="1">IF($A8="","",IF(IF(AC$2&lt;=$A$1,1,0),IF(AC$4="休","",IF(COUNTIF(DATA!AD:AD,$A:$A)=0,"×","√")),""))</f>
        <v/>
      </c>
      <c r="AD8" s="32" t="str">
        <f ca="1">IF($A8="","",IF(IF(AD$2&lt;=$A$1,1,0),IF(AD$4="休","",IF(COUNTIF(DATA!AE:AE,$A:$A)=0,"×","√")),""))</f>
        <v/>
      </c>
      <c r="AE8" s="32" t="str">
        <f ca="1">IF($A8="","",IF(IF(AE$2&lt;=$A$1,1,0),IF(AE$4="休","",IF(COUNTIF(DATA!AF:AF,$A:$A)=0,"×","√")),""))</f>
        <v/>
      </c>
      <c r="AF8" s="32" t="str">
        <f ca="1">IF($A8="","",IF(IF(AF$2&lt;=$A$1,1,0),IF(AF$4="休","",IF(COUNTIF(DATA!AG:AG,$A:$A)=0,"×","√")),""))</f>
        <v/>
      </c>
      <c r="AG8" s="32" t="str">
        <f ca="1">IF($A8="","",IF(IF(AG$2&lt;=$A$1,1,0),IF(AG$4="休","",IF(COUNTIF(DATA!AH:AH,$A:$A)=0,"×","√")),""))</f>
        <v/>
      </c>
      <c r="AH8" s="32" t="str">
        <f ca="1">IF($A8="","",IF(IF(AH$2&lt;=$A$1,1,0),IF(AH$4="休","",IF(COUNTIF(DATA!AI:AI,$A:$A)=0,"×","√")),""))</f>
        <v/>
      </c>
      <c r="AI8" s="32" t="str">
        <f ca="1">IF($A8="","",IF(IF(AI$2&lt;=$A$1,1,0),IF(AI$4="休","",IF(COUNTIF(DATA!AJ:AJ,$A:$A)=0,"×","√")),""))</f>
        <v/>
      </c>
      <c r="AJ8" s="32" t="str">
        <f ca="1">IF($A8="","",IF(IF(AJ$2&lt;=$A$1,1,0),IF(AJ$4="休","",IF(COUNTIF(DATA!AK:AK,$A:$A)=0,"×","√")),""))</f>
        <v/>
      </c>
      <c r="AK8" s="32" t="str">
        <f ca="1">IF($A8="","",IF(IF(AK$2&lt;=$A$1,1,0),IF(AK$4="休","",IF(COUNTIF(DATA!AL:AL,$A:$A)=0,"×","√")),""))</f>
        <v/>
      </c>
      <c r="AL8" s="32" t="str">
        <f ca="1">IF($A8="","",IF(IF(AL$2&lt;=$A$1,1,0),IF(AL$4="休","",IF(COUNTIF(DATA!AM:AM,$A:$A)=0,"×","√")),""))</f>
        <v/>
      </c>
      <c r="AM8" s="32" t="str">
        <f ca="1">IF($A8="","",IF(IF(AM$2&lt;=$A$1,1,0),IF(AM$4="休","",IF(COUNTIF(DATA!AN:AN,$A:$A)=0,"×","√")),""))</f>
        <v/>
      </c>
      <c r="AN8" s="32" t="str">
        <f ca="1">IF($A8="","",IF(IF(AN$2&lt;=$A$1,1,0),IF(AN$4="休","",IF(COUNTIF(DATA!AO:AO,$A:$A)=0,"×","√")),""))</f>
        <v/>
      </c>
      <c r="AO8" s="32" t="str">
        <f ca="1">IF($A8="","",IF(IF(AO$2&lt;=$A$1,1,0),IF(AO$4="休","",IF(COUNTIF(DATA!AP:AP,$A:$A)=0,"×","√")),""))</f>
        <v/>
      </c>
      <c r="AP8" s="32" t="str">
        <f ca="1">IF($A8="","",IF(IF(AP$2&lt;=$A$1,1,0),IF(AP$4="休","",IF(COUNTIF(DATA!AQ:AQ,$A:$A)=0,"×","√")),""))</f>
        <v/>
      </c>
      <c r="AQ8" s="32" t="str">
        <f ca="1">IF($A8="","",IF(IF(AQ$2&lt;=$A$1,1,0),IF(AQ$4="休","",IF(COUNTIF(DATA!AR:AR,$A:$A)=0,"×","√")),""))</f>
        <v/>
      </c>
      <c r="AR8" s="32" t="str">
        <f ca="1">IF($A8="","",IF(IF(AR$2&lt;=$A$1,1,0),IF(AR$4="休","",IF(COUNTIF(DATA!AS:AS,$A:$A)=0,"×","√")),""))</f>
        <v/>
      </c>
      <c r="AS8" s="32" t="str">
        <f ca="1">IF($A8="","",IF(IF(AS$2&lt;=$A$1,1,0),IF(AS$4="休","",IF(COUNTIF(DATA!AT:AT,$A:$A)=0,"×","√")),""))</f>
        <v/>
      </c>
      <c r="AT8" s="32" t="str">
        <f ca="1">IF($A8="","",IF(IF(AT$2&lt;=$A$1,1,0),IF(AT$4="休","",IF(COUNTIF(DATA!AU:AU,$A:$A)=0,"×","√")),""))</f>
        <v/>
      </c>
      <c r="AU8" s="32" t="str">
        <f ca="1">IF($A8="","",IF(IF(AU$2&lt;=$A$1,1,0),IF(AU$4="休","",IF(COUNTIF(DATA!AV:AV,$A:$A)=0,"×","√")),""))</f>
        <v/>
      </c>
      <c r="AV8" s="32" t="str">
        <f ca="1">IF($A8="","",IF(IF(AV$2&lt;=$A$1,1,0),IF(AV$4="休","",IF(COUNTIF(DATA!AW:AW,$A:$A)=0,"×","√")),""))</f>
        <v/>
      </c>
      <c r="AW8" s="32" t="str">
        <f ca="1">IF($A8="","",IF(IF(AW$2&lt;=$A$1,1,0),IF(AW$4="休","",IF(COUNTIF(DATA!AX:AX,$A:$A)=0,"×","√")),""))</f>
        <v/>
      </c>
      <c r="AX8" s="32" t="str">
        <f ca="1">IF($A8="","",IF(IF(AX$2&lt;=$A$1,1,0),IF(AX$4="休","",IF(COUNTIF(DATA!AY:AY,$A:$A)=0,"×","√")),""))</f>
        <v/>
      </c>
      <c r="AY8" s="32" t="str">
        <f ca="1">IF($A8="","",IF(IF(AY$2&lt;=$A$1,1,0),IF(AY$4="休","",IF(COUNTIF(DATA!AZ:AZ,$A:$A)=0,"×","√")),""))</f>
        <v/>
      </c>
      <c r="AZ8" s="32" t="str">
        <f ca="1">IF($A8="","",IF(IF(AZ$2&lt;=$A$1,1,0),IF(AZ$4="休","",IF(COUNTIF(DATA!BA:BA,$A:$A)=0,"×","√")),""))</f>
        <v/>
      </c>
      <c r="BA8" s="32" t="str">
        <f ca="1">IF($A8="","",IF(IF(BA$2&lt;=$A$1,1,0),IF(BA$4="休","",IF(COUNTIF(DATA!BB:BB,$A:$A)=0,"×","√")),""))</f>
        <v/>
      </c>
      <c r="BB8" s="32" t="str">
        <f ca="1">IF($A8="","",IF(IF(BB$2&lt;=$A$1,1,0),IF(BB$4="休","",IF(COUNTIF(DATA!BC:BC,$A:$A)=0,"×","√")),""))</f>
        <v/>
      </c>
      <c r="BC8" s="32" t="str">
        <f ca="1">IF($A8="","",IF(IF(BC$2&lt;=$A$1,1,0),IF(BC$4="休","",IF(COUNTIF(DATA!BD:BD,$A:$A)=0,"×","√")),""))</f>
        <v/>
      </c>
      <c r="BD8" s="32" t="str">
        <f ca="1">IF($A8="","",IF(IF(BD$2&lt;=$A$1,1,0),IF(BD$4="休","",IF(COUNTIF(DATA!BE:BE,$A:$A)=0,"×","√")),""))</f>
        <v/>
      </c>
      <c r="BE8" s="32" t="str">
        <f ca="1">IF($A8="","",IF(IF(BE$2&lt;=$A$1,1,0),IF(BE$4="休","",IF(COUNTIF(DATA!BF:BF,$A:$A)=0,"×","√")),""))</f>
        <v/>
      </c>
      <c r="BF8" s="32" t="str">
        <f ca="1">IF($A8="","",IF(IF(BF$2&lt;=$A$1,1,0),IF(BF$4="休","",IF(COUNTIF(DATA!BG:BG,$A:$A)=0,"×","√")),""))</f>
        <v/>
      </c>
      <c r="BG8" s="32" t="str">
        <f ca="1">IF($A8="","",IF(IF(BG$2&lt;=$A$1,1,0),IF(BG$4="休","",IF(COUNTIF(DATA!BH:BH,$A:$A)=0,"×","√")),""))</f>
        <v/>
      </c>
      <c r="BH8" s="32" t="str">
        <f ca="1">IF($A8="","",IF(IF(BH$2&lt;=$A$1,1,0),IF(BH$4="休","",IF(COUNTIF(DATA!BI:BI,$A:$A)=0,"×","√")),""))</f>
        <v/>
      </c>
      <c r="BI8" s="32" t="str">
        <f ca="1">IF($A8="","",IF(IF(BI$2&lt;=$A$1,1,0),IF(BI$4="休","",IF(COUNTIF(DATA!BJ:BJ,$A:$A)=0,"×","√")),""))</f>
        <v/>
      </c>
      <c r="BJ8" s="32" t="str">
        <f ca="1">IF($A8="","",IF(IF(BJ$2&lt;=$A$1,1,0),IF(BJ$4="休","",IF(COUNTIF(DATA!BK:BK,$A:$A)=0,"×","√")),""))</f>
        <v/>
      </c>
      <c r="BK8" s="32" t="str">
        <f ca="1">IF($A8="","",IF(IF(BK$2&lt;=$A$1,1,0),IF(BK$4="休","",IF(COUNTIF(DATA!BL:BL,$A:$A)=0,"×","√")),""))</f>
        <v/>
      </c>
      <c r="BL8" s="32" t="str">
        <f ca="1">IF($A8="","",IF(IF(BL$2&lt;=$A$1,1,0),IF(BL$4="休","",IF(COUNTIF(DATA!BM:BM,$A:$A)=0,"×","√")),""))</f>
        <v/>
      </c>
      <c r="BM8" s="32" t="str">
        <f ca="1">IF($A8="","",IF(IF(BM$2&lt;=$A$1,1,0),IF(BM$4="休","",IF(COUNTIF(DATA!BN:BN,$A:$A)=0,"×","√")),""))</f>
        <v/>
      </c>
      <c r="BN8" s="32" t="str">
        <f ca="1">IF($A8="","",IF(IF(BN$2&lt;=$A$1,1,0),IF(BN$4="休","",IF(COUNTIF(DATA!BO:BO,$A:$A)=0,"×","√")),""))</f>
        <v/>
      </c>
      <c r="BO8" s="32" t="str">
        <f ca="1">IF($A8="","",IF(IF(BO$2&lt;=$A$1,1,0),IF(BO$4="休","",IF(COUNTIF(DATA!BP:BP,$A:$A)=0,"×","√")),""))</f>
        <v/>
      </c>
      <c r="BP8" s="32" t="str">
        <f ca="1">IF($A8="","",IF(IF(BP$2&lt;=$A$1,1,0),IF(BP$4="休","",IF(COUNTIF(DATA!BQ:BQ,$A:$A)=0,"×","√")),""))</f>
        <v/>
      </c>
      <c r="BQ8" s="32" t="str">
        <f ca="1">IF($A8="","",IF(IF(BQ$2&lt;=$A$1,1,0),IF(BQ$4="休","",IF(COUNTIF(DATA!BR:BR,$A:$A)=0,"×","√")),""))</f>
        <v/>
      </c>
      <c r="BR8" s="32" t="str">
        <f ca="1">IF($A8="","",IF(IF(BR$2&lt;=$A$1,1,0),IF(BR$4="休","",IF(COUNTIF(DATA!BS:BS,$A:$A)=0,"×","√")),""))</f>
        <v/>
      </c>
      <c r="BS8" s="32" t="str">
        <f ca="1">IF($A8="","",IF(IF(BS$2&lt;=$A$1,1,0),IF(BS$4="休","",IF(COUNTIF(DATA!BT:BT,$A:$A)=0,"×","√")),""))</f>
        <v/>
      </c>
      <c r="BT8" s="32" t="str">
        <f ca="1">IF($A8="","",IF(IF(BT$2&lt;=$A$1,1,0),IF(BT$4="休","",IF(COUNTIF(DATA!BU:BU,$A:$A)=0,"×","√")),""))</f>
        <v/>
      </c>
      <c r="BU8" s="32" t="str">
        <f ca="1">IF($A8="","",IF(IF(BU$2&lt;=$A$1,1,0),IF(BU$4="休","",IF(COUNTIF(DATA!BV:BV,$A:$A)=0,"×","√")),""))</f>
        <v/>
      </c>
      <c r="BV8" s="32" t="str">
        <f ca="1">IF($A8="","",IF(IF(BV$2&lt;=$A$1,1,0),IF(BV$4="休","",IF(COUNTIF(DATA!BW:BW,$A:$A)=0,"×","√")),""))</f>
        <v/>
      </c>
      <c r="BW8" s="32" t="str">
        <f ca="1">IF($A8="","",IF(IF(BW$2&lt;=$A$1,1,0),IF(BW$4="休","",IF(COUNTIF(DATA!BX:BX,$A:$A)=0,"×","√")),""))</f>
        <v/>
      </c>
      <c r="BX8" s="32" t="str">
        <f ca="1">IF($A8="","",IF(IF(BX$2&lt;=$A$1,1,0),IF(BX$4="休","",IF(COUNTIF(DATA!BY:BY,$A:$A)=0,"×","√")),""))</f>
        <v/>
      </c>
      <c r="BY8" s="32" t="str">
        <f ca="1">IF($A8="","",IF(IF(BY$2&lt;=$A$1,1,0),IF(BY$4="休","",IF(COUNTIF(DATA!BZ:BZ,$A:$A)=0,"×","√")),""))</f>
        <v/>
      </c>
      <c r="BZ8" s="32" t="str">
        <f ca="1">IF($A8="","",IF(IF(BZ$2&lt;=$A$1,1,0),IF(BZ$4="休","",IF(COUNTIF(DATA!CA:CA,$A:$A)=0,"×","√")),""))</f>
        <v/>
      </c>
      <c r="CA8" s="32" t="str">
        <f ca="1">IF($A8="","",IF(IF(CA$2&lt;=$A$1,1,0),IF(CA$4="休","",IF(COUNTIF(DATA!CB:CB,$A:$A)=0,"×","√")),""))</f>
        <v/>
      </c>
      <c r="CB8" s="32" t="str">
        <f ca="1">IF($A8="","",IF(IF(CB$2&lt;=$A$1,1,0),IF(CB$4="休","",IF(COUNTIF(DATA!CC:CC,$A:$A)=0,"×","√")),""))</f>
        <v/>
      </c>
      <c r="CC8" s="32" t="str">
        <f ca="1">IF($A8="","",IF(IF(CC$2&lt;=$A$1,1,0),IF(CC$4="休","",IF(COUNTIF(DATA!CD:CD,$A:$A)=0,"×","√")),""))</f>
        <v/>
      </c>
      <c r="CD8" s="32" t="str">
        <f ca="1">IF($A8="","",IF(IF(CD$2&lt;=$A$1,1,0),IF(CD$4="休","",IF(COUNTIF(DATA!CE:CE,$A:$A)=0,"×","√")),""))</f>
        <v/>
      </c>
      <c r="CE8" s="32" t="str">
        <f ca="1">IF($A8="","",IF(IF(CE$2&lt;=$A$1,1,0),IF(CE$4="休","",IF(COUNTIF(DATA!CF:CF,$A:$A)=0,"×","√")),""))</f>
        <v/>
      </c>
      <c r="CF8" s="32" t="str">
        <f ca="1">IF($A8="","",IF(IF(CF$2&lt;=$A$1,1,0),IF(CF$4="休","",IF(COUNTIF(DATA!CG:CG,$A:$A)=0,"×","√")),""))</f>
        <v/>
      </c>
      <c r="CG8" s="32" t="str">
        <f ca="1">IF($A8="","",IF(IF(CG$2&lt;=$A$1,1,0),IF(CG$4="休","",IF(COUNTIF(DATA!CH:CH,$A:$A)=0,"×","√")),""))</f>
        <v/>
      </c>
      <c r="CH8" s="32" t="str">
        <f ca="1">IF($A8="","",IF(IF(CH$2&lt;=$A$1,1,0),IF(CH$4="休","",IF(COUNTIF(DATA!CI:CI,$A:$A)=0,"×","√")),""))</f>
        <v/>
      </c>
      <c r="CI8" s="32" t="str">
        <f ca="1">IF($A8="","",IF(IF(CI$2&lt;=$A$1,1,0),IF(CI$4="休","",IF(COUNTIF(DATA!CJ:CJ,$A:$A)=0,"×","√")),""))</f>
        <v/>
      </c>
      <c r="CJ8" s="32" t="str">
        <f ca="1">IF($A8="","",IF(IF(CJ$2&lt;=$A$1,1,0),IF(CJ$4="休","",IF(COUNTIF(DATA!CK:CK,$A:$A)=0,"×","√")),""))</f>
        <v/>
      </c>
      <c r="CK8" s="32" t="str">
        <f ca="1">IF($A8="","",IF(IF(CK$2&lt;=$A$1,1,0),IF(CK$4="休","",IF(COUNTIF(DATA!CL:CL,$A:$A)=0,"×","√")),""))</f>
        <v/>
      </c>
      <c r="CL8" s="32" t="str">
        <f ca="1">IF($A8="","",IF(IF(CL$2&lt;=$A$1,1,0),IF(CL$4="休","",IF(COUNTIF(DATA!CM:CM,$A:$A)=0,"×","√")),""))</f>
        <v/>
      </c>
      <c r="CM8" s="32" t="str">
        <f ca="1">IF($A8="","",IF(IF(CM$2&lt;=$A$1,1,0),IF(CM$4="休","",IF(COUNTIF(DATA!CN:CN,$A:$A)=0,"×","√")),""))</f>
        <v/>
      </c>
      <c r="CN8" s="32" t="str">
        <f ca="1">IF($A8="","",IF(IF(CN$2&lt;=$A$1,1,0),IF(CN$4="休","",IF(COUNTIF(DATA!CO:CO,$A:$A)=0,"×","√")),""))</f>
        <v/>
      </c>
      <c r="CO8" s="32" t="str">
        <f ca="1">IF($A8="","",IF(IF(CO$2&lt;=$A$1,1,0),IF(CO$4="休","",IF(COUNTIF(DATA!CP:CP,$A:$A)=0,"×","√")),""))</f>
        <v/>
      </c>
      <c r="CP8" s="32" t="str">
        <f ca="1">IF($A8="","",IF(IF(CP$2&lt;=$A$1,1,0),IF(CP$4="休","",IF(COUNTIF(DATA!CQ:CQ,$A:$A)=0,"×","√")),""))</f>
        <v/>
      </c>
      <c r="CQ8" s="32" t="str">
        <f ca="1">IF($A8="","",IF(IF(CQ$2&lt;=$A$1,1,0),IF(CQ$4="休","",IF(COUNTIF(DATA!CR:CR,$A:$A)=0,"×","√")),""))</f>
        <v/>
      </c>
      <c r="CR8" s="32" t="str">
        <f ca="1">IF($A8="","",IF(IF(CR$2&lt;=$A$1,1,0),IF(CR$4="休","",IF(COUNTIF(DATA!CS:CS,$A:$A)=0,"×","√")),""))</f>
        <v/>
      </c>
    </row>
    <row r="9" s="26" customFormat="1" ht="18.75" spans="1:96">
      <c r="A9" s="32" t="str">
        <f>DATA!$A8&amp;""</f>
        <v>丁江涛</v>
      </c>
      <c r="B9" s="32" t="str">
        <f ca="1">IF($A9="","",IF(IF(B$2&lt;=$A$1,1,0),IF(B$4="休","",IF(COUNTIF(DATA!C:C,$A:$A)=0,"×","√")),""))</f>
        <v>√</v>
      </c>
      <c r="C9" s="32" t="str">
        <f ca="1">IF($A9="","",IF(IF(C$2&lt;=$A$1,1,0),IF(C$4="休","",IF(COUNTIF(DATA!D:D,$A:$A)=0,"×","√")),""))</f>
        <v>√</v>
      </c>
      <c r="D9" s="32" t="str">
        <f ca="1">IF($A9="","",IF(IF(D$2&lt;=$A$1,1,0),IF(D$4="休","",IF(COUNTIF(DATA!E:E,$A:$A)=0,"×","√")),""))</f>
        <v>√</v>
      </c>
      <c r="E9" s="32" t="str">
        <f ca="1">IF($A9="","",IF(IF(E$2&lt;=$A$1,1,0),IF(E$4="休","",IF(COUNTIF(DATA!F:F,$A:$A)=0,"×","√")),""))</f>
        <v>√</v>
      </c>
      <c r="F9" s="32" t="str">
        <f ca="1">IF($A9="","",IF(IF(F$2&lt;=$A$1,1,0),IF(F$4="休","",IF(COUNTIF(DATA!G:G,$A:$A)=0,"×","√")),""))</f>
        <v>√</v>
      </c>
      <c r="G9" s="32" t="str">
        <f ca="1">IF($A9="","",IF(IF(G$2&lt;=$A$1,1,0),IF(G$4="休","",IF(COUNTIF(DATA!H:H,$A:$A)=0,"×","√")),""))</f>
        <v>√</v>
      </c>
      <c r="H9" s="32" t="str">
        <f ca="1">IF($A9="","",IF(IF(H$2&lt;=$A$1,1,0),IF(H$4="休","",IF(COUNTIF(DATA!I:I,$A:$A)=0,"×","√")),""))</f>
        <v>√</v>
      </c>
      <c r="I9" s="32" t="str">
        <f ca="1">IF($A9="","",IF(IF(I$2&lt;=$A$1,1,0),IF(I$4="休","",IF(COUNTIF(DATA!J:J,$A:$A)=0,"×","√")),""))</f>
        <v>√</v>
      </c>
      <c r="J9" s="32" t="str">
        <f ca="1">IF($A9="","",IF(IF(J$2&lt;=$A$1,1,0),IF(J$4="休","",IF(COUNTIF(DATA!K:K,$A:$A)=0,"×","√")),""))</f>
        <v/>
      </c>
      <c r="K9" s="32" t="str">
        <f ca="1">IF($A9="","",IF(IF(K$2&lt;=$A$1,1,0),IF(K$4="休","",IF(COUNTIF(DATA!L:L,$A:$A)=0,"×","√")),""))</f>
        <v/>
      </c>
      <c r="L9" s="32" t="str">
        <f ca="1">IF($A9="","",IF(IF(L$2&lt;=$A$1,1,0),IF(L$4="休","",IF(COUNTIF(DATA!M:M,$A:$A)=0,"×","√")),""))</f>
        <v/>
      </c>
      <c r="M9" s="32" t="str">
        <f ca="1">IF($A9="","",IF(IF(M$2&lt;=$A$1,1,0),IF(M$4="休","",IF(COUNTIF(DATA!N:N,$A:$A)=0,"×","√")),""))</f>
        <v/>
      </c>
      <c r="N9" s="32" t="str">
        <f ca="1">IF($A9="","",IF(IF(N$2&lt;=$A$1,1,0),IF(N$4="休","",IF(COUNTIF(DATA!O:O,$A:$A)=0,"×","√")),""))</f>
        <v/>
      </c>
      <c r="O9" s="32" t="str">
        <f ca="1">IF($A9="","",IF(IF(O$2&lt;=$A$1,1,0),IF(O$4="休","",IF(COUNTIF(DATA!P:P,$A:$A)=0,"×","√")),""))</f>
        <v/>
      </c>
      <c r="P9" s="32" t="str">
        <f ca="1">IF($A9="","",IF(IF(P$2&lt;=$A$1,1,0),IF(P$4="休","",IF(COUNTIF(DATA!Q:Q,$A:$A)=0,"×","√")),""))</f>
        <v/>
      </c>
      <c r="Q9" s="32" t="str">
        <f ca="1">IF($A9="","",IF(IF(Q$2&lt;=$A$1,1,0),IF(Q$4="休","",IF(COUNTIF(DATA!R:R,$A:$A)=0,"×","√")),""))</f>
        <v/>
      </c>
      <c r="R9" s="32" t="str">
        <f ca="1">IF($A9="","",IF(IF(R$2&lt;=$A$1,1,0),IF(R$4="休","",IF(COUNTIF(DATA!S:S,$A:$A)=0,"×","√")),""))</f>
        <v/>
      </c>
      <c r="S9" s="32" t="str">
        <f ca="1">IF($A9="","",IF(IF(S$2&lt;=$A$1,1,0),IF(S$4="休","",IF(COUNTIF(DATA!T:T,$A:$A)=0,"×","√")),""))</f>
        <v/>
      </c>
      <c r="T9" s="32" t="str">
        <f ca="1">IF($A9="","",IF(IF(T$2&lt;=$A$1,1,0),IF(T$4="休","",IF(COUNTIF(DATA!U:U,$A:$A)=0,"×","√")),""))</f>
        <v/>
      </c>
      <c r="U9" s="32" t="str">
        <f ca="1">IF($A9="","",IF(IF(U$2&lt;=$A$1,1,0),IF(U$4="休","",IF(COUNTIF(DATA!V:V,$A:$A)=0,"×","√")),""))</f>
        <v/>
      </c>
      <c r="V9" s="32" t="str">
        <f ca="1">IF($A9="","",IF(IF(V$2&lt;=$A$1,1,0),IF(V$4="休","",IF(COUNTIF(DATA!W:W,$A:$A)=0,"×","√")),""))</f>
        <v/>
      </c>
      <c r="W9" s="32" t="str">
        <f ca="1">IF($A9="","",IF(IF(W$2&lt;=$A$1,1,0),IF(W$4="休","",IF(COUNTIF(DATA!X:X,$A:$A)=0,"×","√")),""))</f>
        <v/>
      </c>
      <c r="X9" s="32" t="str">
        <f ca="1">IF($A9="","",IF(IF(X$2&lt;=$A$1,1,0),IF(X$4="休","",IF(COUNTIF(DATA!Y:Y,$A:$A)=0,"×","√")),""))</f>
        <v/>
      </c>
      <c r="Y9" s="32" t="str">
        <f ca="1">IF($A9="","",IF(IF(Y$2&lt;=$A$1,1,0),IF(Y$4="休","",IF(COUNTIF(DATA!Z:Z,$A:$A)=0,"×","√")),""))</f>
        <v/>
      </c>
      <c r="Z9" s="32" t="str">
        <f ca="1">IF($A9="","",IF(IF(Z$2&lt;=$A$1,1,0),IF(Z$4="休","",IF(COUNTIF(DATA!AA:AA,$A:$A)=0,"×","√")),""))</f>
        <v/>
      </c>
      <c r="AA9" s="32" t="str">
        <f ca="1">IF($A9="","",IF(IF(AA$2&lt;=$A$1,1,0),IF(AA$4="休","",IF(COUNTIF(DATA!AB:AB,$A:$A)=0,"×","√")),""))</f>
        <v/>
      </c>
      <c r="AB9" s="32" t="str">
        <f ca="1">IF($A9="","",IF(IF(AB$2&lt;=$A$1,1,0),IF(AB$4="休","",IF(COUNTIF(DATA!AC:AC,$A:$A)=0,"×","√")),""))</f>
        <v/>
      </c>
      <c r="AC9" s="32" t="str">
        <f ca="1">IF($A9="","",IF(IF(AC$2&lt;=$A$1,1,0),IF(AC$4="休","",IF(COUNTIF(DATA!AD:AD,$A:$A)=0,"×","√")),""))</f>
        <v/>
      </c>
      <c r="AD9" s="32" t="str">
        <f ca="1">IF($A9="","",IF(IF(AD$2&lt;=$A$1,1,0),IF(AD$4="休","",IF(COUNTIF(DATA!AE:AE,$A:$A)=0,"×","√")),""))</f>
        <v/>
      </c>
      <c r="AE9" s="32" t="str">
        <f ca="1">IF($A9="","",IF(IF(AE$2&lt;=$A$1,1,0),IF(AE$4="休","",IF(COUNTIF(DATA!AF:AF,$A:$A)=0,"×","√")),""))</f>
        <v/>
      </c>
      <c r="AF9" s="32" t="str">
        <f ca="1">IF($A9="","",IF(IF(AF$2&lt;=$A$1,1,0),IF(AF$4="休","",IF(COUNTIF(DATA!AG:AG,$A:$A)=0,"×","√")),""))</f>
        <v/>
      </c>
      <c r="AG9" s="32" t="str">
        <f ca="1">IF($A9="","",IF(IF(AG$2&lt;=$A$1,1,0),IF(AG$4="休","",IF(COUNTIF(DATA!AH:AH,$A:$A)=0,"×","√")),""))</f>
        <v/>
      </c>
      <c r="AH9" s="32" t="str">
        <f ca="1">IF($A9="","",IF(IF(AH$2&lt;=$A$1,1,0),IF(AH$4="休","",IF(COUNTIF(DATA!AI:AI,$A:$A)=0,"×","√")),""))</f>
        <v/>
      </c>
      <c r="AI9" s="32" t="str">
        <f ca="1">IF($A9="","",IF(IF(AI$2&lt;=$A$1,1,0),IF(AI$4="休","",IF(COUNTIF(DATA!AJ:AJ,$A:$A)=0,"×","√")),""))</f>
        <v/>
      </c>
      <c r="AJ9" s="32" t="str">
        <f ca="1">IF($A9="","",IF(IF(AJ$2&lt;=$A$1,1,0),IF(AJ$4="休","",IF(COUNTIF(DATA!AK:AK,$A:$A)=0,"×","√")),""))</f>
        <v/>
      </c>
      <c r="AK9" s="32" t="str">
        <f ca="1">IF($A9="","",IF(IF(AK$2&lt;=$A$1,1,0),IF(AK$4="休","",IF(COUNTIF(DATA!AL:AL,$A:$A)=0,"×","√")),""))</f>
        <v/>
      </c>
      <c r="AL9" s="32" t="str">
        <f ca="1">IF($A9="","",IF(IF(AL$2&lt;=$A$1,1,0),IF(AL$4="休","",IF(COUNTIF(DATA!AM:AM,$A:$A)=0,"×","√")),""))</f>
        <v/>
      </c>
      <c r="AM9" s="32" t="str">
        <f ca="1">IF($A9="","",IF(IF(AM$2&lt;=$A$1,1,0),IF(AM$4="休","",IF(COUNTIF(DATA!AN:AN,$A:$A)=0,"×","√")),""))</f>
        <v/>
      </c>
      <c r="AN9" s="32" t="str">
        <f ca="1">IF($A9="","",IF(IF(AN$2&lt;=$A$1,1,0),IF(AN$4="休","",IF(COUNTIF(DATA!AO:AO,$A:$A)=0,"×","√")),""))</f>
        <v/>
      </c>
      <c r="AO9" s="32" t="str">
        <f ca="1">IF($A9="","",IF(IF(AO$2&lt;=$A$1,1,0),IF(AO$4="休","",IF(COUNTIF(DATA!AP:AP,$A:$A)=0,"×","√")),""))</f>
        <v/>
      </c>
      <c r="AP9" s="32" t="str">
        <f ca="1">IF($A9="","",IF(IF(AP$2&lt;=$A$1,1,0),IF(AP$4="休","",IF(COUNTIF(DATA!AQ:AQ,$A:$A)=0,"×","√")),""))</f>
        <v/>
      </c>
      <c r="AQ9" s="32" t="str">
        <f ca="1">IF($A9="","",IF(IF(AQ$2&lt;=$A$1,1,0),IF(AQ$4="休","",IF(COUNTIF(DATA!AR:AR,$A:$A)=0,"×","√")),""))</f>
        <v/>
      </c>
      <c r="AR9" s="32" t="str">
        <f ca="1">IF($A9="","",IF(IF(AR$2&lt;=$A$1,1,0),IF(AR$4="休","",IF(COUNTIF(DATA!AS:AS,$A:$A)=0,"×","√")),""))</f>
        <v/>
      </c>
      <c r="AS9" s="32" t="str">
        <f ca="1">IF($A9="","",IF(IF(AS$2&lt;=$A$1,1,0),IF(AS$4="休","",IF(COUNTIF(DATA!AT:AT,$A:$A)=0,"×","√")),""))</f>
        <v/>
      </c>
      <c r="AT9" s="32" t="str">
        <f ca="1">IF($A9="","",IF(IF(AT$2&lt;=$A$1,1,0),IF(AT$4="休","",IF(COUNTIF(DATA!AU:AU,$A:$A)=0,"×","√")),""))</f>
        <v/>
      </c>
      <c r="AU9" s="32" t="str">
        <f ca="1">IF($A9="","",IF(IF(AU$2&lt;=$A$1,1,0),IF(AU$4="休","",IF(COUNTIF(DATA!AV:AV,$A:$A)=0,"×","√")),""))</f>
        <v/>
      </c>
      <c r="AV9" s="32" t="str">
        <f ca="1">IF($A9="","",IF(IF(AV$2&lt;=$A$1,1,0),IF(AV$4="休","",IF(COUNTIF(DATA!AW:AW,$A:$A)=0,"×","√")),""))</f>
        <v/>
      </c>
      <c r="AW9" s="32" t="str">
        <f ca="1">IF($A9="","",IF(IF(AW$2&lt;=$A$1,1,0),IF(AW$4="休","",IF(COUNTIF(DATA!AX:AX,$A:$A)=0,"×","√")),""))</f>
        <v/>
      </c>
      <c r="AX9" s="32" t="str">
        <f ca="1">IF($A9="","",IF(IF(AX$2&lt;=$A$1,1,0),IF(AX$4="休","",IF(COUNTIF(DATA!AY:AY,$A:$A)=0,"×","√")),""))</f>
        <v/>
      </c>
      <c r="AY9" s="32" t="str">
        <f ca="1">IF($A9="","",IF(IF(AY$2&lt;=$A$1,1,0),IF(AY$4="休","",IF(COUNTIF(DATA!AZ:AZ,$A:$A)=0,"×","√")),""))</f>
        <v/>
      </c>
      <c r="AZ9" s="32" t="str">
        <f ca="1">IF($A9="","",IF(IF(AZ$2&lt;=$A$1,1,0),IF(AZ$4="休","",IF(COUNTIF(DATA!BA:BA,$A:$A)=0,"×","√")),""))</f>
        <v/>
      </c>
      <c r="BA9" s="32" t="str">
        <f ca="1">IF($A9="","",IF(IF(BA$2&lt;=$A$1,1,0),IF(BA$4="休","",IF(COUNTIF(DATA!BB:BB,$A:$A)=0,"×","√")),""))</f>
        <v/>
      </c>
      <c r="BB9" s="32" t="str">
        <f ca="1">IF($A9="","",IF(IF(BB$2&lt;=$A$1,1,0),IF(BB$4="休","",IF(COUNTIF(DATA!BC:BC,$A:$A)=0,"×","√")),""))</f>
        <v/>
      </c>
      <c r="BC9" s="32" t="str">
        <f ca="1">IF($A9="","",IF(IF(BC$2&lt;=$A$1,1,0),IF(BC$4="休","",IF(COUNTIF(DATA!BD:BD,$A:$A)=0,"×","√")),""))</f>
        <v/>
      </c>
      <c r="BD9" s="32" t="str">
        <f ca="1">IF($A9="","",IF(IF(BD$2&lt;=$A$1,1,0),IF(BD$4="休","",IF(COUNTIF(DATA!BE:BE,$A:$A)=0,"×","√")),""))</f>
        <v/>
      </c>
      <c r="BE9" s="32" t="str">
        <f ca="1">IF($A9="","",IF(IF(BE$2&lt;=$A$1,1,0),IF(BE$4="休","",IF(COUNTIF(DATA!BF:BF,$A:$A)=0,"×","√")),""))</f>
        <v/>
      </c>
      <c r="BF9" s="32" t="str">
        <f ca="1">IF($A9="","",IF(IF(BF$2&lt;=$A$1,1,0),IF(BF$4="休","",IF(COUNTIF(DATA!BG:BG,$A:$A)=0,"×","√")),""))</f>
        <v/>
      </c>
      <c r="BG9" s="32" t="str">
        <f ca="1">IF($A9="","",IF(IF(BG$2&lt;=$A$1,1,0),IF(BG$4="休","",IF(COUNTIF(DATA!BH:BH,$A:$A)=0,"×","√")),""))</f>
        <v/>
      </c>
      <c r="BH9" s="32" t="str">
        <f ca="1">IF($A9="","",IF(IF(BH$2&lt;=$A$1,1,0),IF(BH$4="休","",IF(COUNTIF(DATA!BI:BI,$A:$A)=0,"×","√")),""))</f>
        <v/>
      </c>
      <c r="BI9" s="32" t="str">
        <f ca="1">IF($A9="","",IF(IF(BI$2&lt;=$A$1,1,0),IF(BI$4="休","",IF(COUNTIF(DATA!BJ:BJ,$A:$A)=0,"×","√")),""))</f>
        <v/>
      </c>
      <c r="BJ9" s="32" t="str">
        <f ca="1">IF($A9="","",IF(IF(BJ$2&lt;=$A$1,1,0),IF(BJ$4="休","",IF(COUNTIF(DATA!BK:BK,$A:$A)=0,"×","√")),""))</f>
        <v/>
      </c>
      <c r="BK9" s="32" t="str">
        <f ca="1">IF($A9="","",IF(IF(BK$2&lt;=$A$1,1,0),IF(BK$4="休","",IF(COUNTIF(DATA!BL:BL,$A:$A)=0,"×","√")),""))</f>
        <v/>
      </c>
      <c r="BL9" s="32" t="str">
        <f ca="1">IF($A9="","",IF(IF(BL$2&lt;=$A$1,1,0),IF(BL$4="休","",IF(COUNTIF(DATA!BM:BM,$A:$A)=0,"×","√")),""))</f>
        <v/>
      </c>
      <c r="BM9" s="32" t="str">
        <f ca="1">IF($A9="","",IF(IF(BM$2&lt;=$A$1,1,0),IF(BM$4="休","",IF(COUNTIF(DATA!BN:BN,$A:$A)=0,"×","√")),""))</f>
        <v/>
      </c>
      <c r="BN9" s="32" t="str">
        <f ca="1">IF($A9="","",IF(IF(BN$2&lt;=$A$1,1,0),IF(BN$4="休","",IF(COUNTIF(DATA!BO:BO,$A:$A)=0,"×","√")),""))</f>
        <v/>
      </c>
      <c r="BO9" s="32" t="str">
        <f ca="1">IF($A9="","",IF(IF(BO$2&lt;=$A$1,1,0),IF(BO$4="休","",IF(COUNTIF(DATA!BP:BP,$A:$A)=0,"×","√")),""))</f>
        <v/>
      </c>
      <c r="BP9" s="32" t="str">
        <f ca="1">IF($A9="","",IF(IF(BP$2&lt;=$A$1,1,0),IF(BP$4="休","",IF(COUNTIF(DATA!BQ:BQ,$A:$A)=0,"×","√")),""))</f>
        <v/>
      </c>
      <c r="BQ9" s="32" t="str">
        <f ca="1">IF($A9="","",IF(IF(BQ$2&lt;=$A$1,1,0),IF(BQ$4="休","",IF(COUNTIF(DATA!BR:BR,$A:$A)=0,"×","√")),""))</f>
        <v/>
      </c>
      <c r="BR9" s="32" t="str">
        <f ca="1">IF($A9="","",IF(IF(BR$2&lt;=$A$1,1,0),IF(BR$4="休","",IF(COUNTIF(DATA!BS:BS,$A:$A)=0,"×","√")),""))</f>
        <v/>
      </c>
      <c r="BS9" s="32" t="str">
        <f ca="1">IF($A9="","",IF(IF(BS$2&lt;=$A$1,1,0),IF(BS$4="休","",IF(COUNTIF(DATA!BT:BT,$A:$A)=0,"×","√")),""))</f>
        <v/>
      </c>
      <c r="BT9" s="32" t="str">
        <f ca="1">IF($A9="","",IF(IF(BT$2&lt;=$A$1,1,0),IF(BT$4="休","",IF(COUNTIF(DATA!BU:BU,$A:$A)=0,"×","√")),""))</f>
        <v/>
      </c>
      <c r="BU9" s="32" t="str">
        <f ca="1">IF($A9="","",IF(IF(BU$2&lt;=$A$1,1,0),IF(BU$4="休","",IF(COUNTIF(DATA!BV:BV,$A:$A)=0,"×","√")),""))</f>
        <v/>
      </c>
      <c r="BV9" s="32" t="str">
        <f ca="1">IF($A9="","",IF(IF(BV$2&lt;=$A$1,1,0),IF(BV$4="休","",IF(COUNTIF(DATA!BW:BW,$A:$A)=0,"×","√")),""))</f>
        <v/>
      </c>
      <c r="BW9" s="32" t="str">
        <f ca="1">IF($A9="","",IF(IF(BW$2&lt;=$A$1,1,0),IF(BW$4="休","",IF(COUNTIF(DATA!BX:BX,$A:$A)=0,"×","√")),""))</f>
        <v/>
      </c>
      <c r="BX9" s="32" t="str">
        <f ca="1">IF($A9="","",IF(IF(BX$2&lt;=$A$1,1,0),IF(BX$4="休","",IF(COUNTIF(DATA!BY:BY,$A:$A)=0,"×","√")),""))</f>
        <v/>
      </c>
      <c r="BY9" s="32" t="str">
        <f ca="1">IF($A9="","",IF(IF(BY$2&lt;=$A$1,1,0),IF(BY$4="休","",IF(COUNTIF(DATA!BZ:BZ,$A:$A)=0,"×","√")),""))</f>
        <v/>
      </c>
      <c r="BZ9" s="32" t="str">
        <f ca="1">IF($A9="","",IF(IF(BZ$2&lt;=$A$1,1,0),IF(BZ$4="休","",IF(COUNTIF(DATA!CA:CA,$A:$A)=0,"×","√")),""))</f>
        <v/>
      </c>
      <c r="CA9" s="32" t="str">
        <f ca="1">IF($A9="","",IF(IF(CA$2&lt;=$A$1,1,0),IF(CA$4="休","",IF(COUNTIF(DATA!CB:CB,$A:$A)=0,"×","√")),""))</f>
        <v/>
      </c>
      <c r="CB9" s="32" t="str">
        <f ca="1">IF($A9="","",IF(IF(CB$2&lt;=$A$1,1,0),IF(CB$4="休","",IF(COUNTIF(DATA!CC:CC,$A:$A)=0,"×","√")),""))</f>
        <v/>
      </c>
      <c r="CC9" s="32" t="str">
        <f ca="1">IF($A9="","",IF(IF(CC$2&lt;=$A$1,1,0),IF(CC$4="休","",IF(COUNTIF(DATA!CD:CD,$A:$A)=0,"×","√")),""))</f>
        <v/>
      </c>
      <c r="CD9" s="32" t="str">
        <f ca="1">IF($A9="","",IF(IF(CD$2&lt;=$A$1,1,0),IF(CD$4="休","",IF(COUNTIF(DATA!CE:CE,$A:$A)=0,"×","√")),""))</f>
        <v/>
      </c>
      <c r="CE9" s="32" t="str">
        <f ca="1">IF($A9="","",IF(IF(CE$2&lt;=$A$1,1,0),IF(CE$4="休","",IF(COUNTIF(DATA!CF:CF,$A:$A)=0,"×","√")),""))</f>
        <v/>
      </c>
      <c r="CF9" s="32" t="str">
        <f ca="1">IF($A9="","",IF(IF(CF$2&lt;=$A$1,1,0),IF(CF$4="休","",IF(COUNTIF(DATA!CG:CG,$A:$A)=0,"×","√")),""))</f>
        <v/>
      </c>
      <c r="CG9" s="32" t="str">
        <f ca="1">IF($A9="","",IF(IF(CG$2&lt;=$A$1,1,0),IF(CG$4="休","",IF(COUNTIF(DATA!CH:CH,$A:$A)=0,"×","√")),""))</f>
        <v/>
      </c>
      <c r="CH9" s="32" t="str">
        <f ca="1">IF($A9="","",IF(IF(CH$2&lt;=$A$1,1,0),IF(CH$4="休","",IF(COUNTIF(DATA!CI:CI,$A:$A)=0,"×","√")),""))</f>
        <v/>
      </c>
      <c r="CI9" s="32" t="str">
        <f ca="1">IF($A9="","",IF(IF(CI$2&lt;=$A$1,1,0),IF(CI$4="休","",IF(COUNTIF(DATA!CJ:CJ,$A:$A)=0,"×","√")),""))</f>
        <v/>
      </c>
      <c r="CJ9" s="32" t="str">
        <f ca="1">IF($A9="","",IF(IF(CJ$2&lt;=$A$1,1,0),IF(CJ$4="休","",IF(COUNTIF(DATA!CK:CK,$A:$A)=0,"×","√")),""))</f>
        <v/>
      </c>
      <c r="CK9" s="32" t="str">
        <f ca="1">IF($A9="","",IF(IF(CK$2&lt;=$A$1,1,0),IF(CK$4="休","",IF(COUNTIF(DATA!CL:CL,$A:$A)=0,"×","√")),""))</f>
        <v/>
      </c>
      <c r="CL9" s="32" t="str">
        <f ca="1">IF($A9="","",IF(IF(CL$2&lt;=$A$1,1,0),IF(CL$4="休","",IF(COUNTIF(DATA!CM:CM,$A:$A)=0,"×","√")),""))</f>
        <v/>
      </c>
      <c r="CM9" s="32" t="str">
        <f ca="1">IF($A9="","",IF(IF(CM$2&lt;=$A$1,1,0),IF(CM$4="休","",IF(COUNTIF(DATA!CN:CN,$A:$A)=0,"×","√")),""))</f>
        <v/>
      </c>
      <c r="CN9" s="32" t="str">
        <f ca="1">IF($A9="","",IF(IF(CN$2&lt;=$A$1,1,0),IF(CN$4="休","",IF(COUNTIF(DATA!CO:CO,$A:$A)=0,"×","√")),""))</f>
        <v/>
      </c>
      <c r="CO9" s="32" t="str">
        <f ca="1">IF($A9="","",IF(IF(CO$2&lt;=$A$1,1,0),IF(CO$4="休","",IF(COUNTIF(DATA!CP:CP,$A:$A)=0,"×","√")),""))</f>
        <v/>
      </c>
      <c r="CP9" s="32" t="str">
        <f ca="1">IF($A9="","",IF(IF(CP$2&lt;=$A$1,1,0),IF(CP$4="休","",IF(COUNTIF(DATA!CQ:CQ,$A:$A)=0,"×","√")),""))</f>
        <v/>
      </c>
      <c r="CQ9" s="32" t="str">
        <f ca="1">IF($A9="","",IF(IF(CQ$2&lt;=$A$1,1,0),IF(CQ$4="休","",IF(COUNTIF(DATA!CR:CR,$A:$A)=0,"×","√")),""))</f>
        <v/>
      </c>
      <c r="CR9" s="32" t="str">
        <f ca="1">IF($A9="","",IF(IF(CR$2&lt;=$A$1,1,0),IF(CR$4="休","",IF(COUNTIF(DATA!CS:CS,$A:$A)=0,"×","√")),""))</f>
        <v/>
      </c>
    </row>
    <row r="10" s="26" customFormat="1" ht="18.75" spans="1:96">
      <c r="A10" s="32" t="str">
        <f>DATA!$A9&amp;""</f>
        <v>赵卓然</v>
      </c>
      <c r="B10" s="32" t="str">
        <f ca="1">IF($A10="","",IF(IF(B$2&lt;=$A$1,1,0),IF(B$4="休","",IF(COUNTIF(DATA!C:C,$A:$A)=0,"×","√")),""))</f>
        <v>√</v>
      </c>
      <c r="C10" s="32" t="str">
        <f ca="1">IF($A10="","",IF(IF(C$2&lt;=$A$1,1,0),IF(C$4="休","",IF(COUNTIF(DATA!D:D,$A:$A)=0,"×","√")),""))</f>
        <v>√</v>
      </c>
      <c r="D10" s="32" t="str">
        <f ca="1">IF($A10="","",IF(IF(D$2&lt;=$A$1,1,0),IF(D$4="休","",IF(COUNTIF(DATA!E:E,$A:$A)=0,"×","√")),""))</f>
        <v>√</v>
      </c>
      <c r="E10" s="32" t="str">
        <f ca="1">IF($A10="","",IF(IF(E$2&lt;=$A$1,1,0),IF(E$4="休","",IF(COUNTIF(DATA!F:F,$A:$A)=0,"×","√")),""))</f>
        <v>√</v>
      </c>
      <c r="F10" s="32" t="str">
        <f ca="1">IF($A10="","",IF(IF(F$2&lt;=$A$1,1,0),IF(F$4="休","",IF(COUNTIF(DATA!G:G,$A:$A)=0,"×","√")),""))</f>
        <v>√</v>
      </c>
      <c r="G10" s="32" t="str">
        <f ca="1">IF($A10="","",IF(IF(G$2&lt;=$A$1,1,0),IF(G$4="休","",IF(COUNTIF(DATA!H:H,$A:$A)=0,"×","√")),""))</f>
        <v>√</v>
      </c>
      <c r="H10" s="32" t="str">
        <f ca="1">IF($A10="","",IF(IF(H$2&lt;=$A$1,1,0),IF(H$4="休","",IF(COUNTIF(DATA!I:I,$A:$A)=0,"×","√")),""))</f>
        <v>√</v>
      </c>
      <c r="I10" s="32" t="str">
        <f ca="1">IF($A10="","",IF(IF(I$2&lt;=$A$1,1,0),IF(I$4="休","",IF(COUNTIF(DATA!J:J,$A:$A)=0,"×","√")),""))</f>
        <v>√</v>
      </c>
      <c r="J10" s="32" t="str">
        <f ca="1">IF($A10="","",IF(IF(J$2&lt;=$A$1,1,0),IF(J$4="休","",IF(COUNTIF(DATA!K:K,$A:$A)=0,"×","√")),""))</f>
        <v/>
      </c>
      <c r="K10" s="32" t="str">
        <f ca="1">IF($A10="","",IF(IF(K$2&lt;=$A$1,1,0),IF(K$4="休","",IF(COUNTIF(DATA!L:L,$A:$A)=0,"×","√")),""))</f>
        <v/>
      </c>
      <c r="L10" s="32" t="str">
        <f ca="1">IF($A10="","",IF(IF(L$2&lt;=$A$1,1,0),IF(L$4="休","",IF(COUNTIF(DATA!M:M,$A:$A)=0,"×","√")),""))</f>
        <v/>
      </c>
      <c r="M10" s="32" t="str">
        <f ca="1">IF($A10="","",IF(IF(M$2&lt;=$A$1,1,0),IF(M$4="休","",IF(COUNTIF(DATA!N:N,$A:$A)=0,"×","√")),""))</f>
        <v/>
      </c>
      <c r="N10" s="32" t="str">
        <f ca="1">IF($A10="","",IF(IF(N$2&lt;=$A$1,1,0),IF(N$4="休","",IF(COUNTIF(DATA!O:O,$A:$A)=0,"×","√")),""))</f>
        <v/>
      </c>
      <c r="O10" s="32" t="str">
        <f ca="1">IF($A10="","",IF(IF(O$2&lt;=$A$1,1,0),IF(O$4="休","",IF(COUNTIF(DATA!P:P,$A:$A)=0,"×","√")),""))</f>
        <v/>
      </c>
      <c r="P10" s="32" t="str">
        <f ca="1">IF($A10="","",IF(IF(P$2&lt;=$A$1,1,0),IF(P$4="休","",IF(COUNTIF(DATA!Q:Q,$A:$A)=0,"×","√")),""))</f>
        <v/>
      </c>
      <c r="Q10" s="32" t="str">
        <f ca="1">IF($A10="","",IF(IF(Q$2&lt;=$A$1,1,0),IF(Q$4="休","",IF(COUNTIF(DATA!R:R,$A:$A)=0,"×","√")),""))</f>
        <v/>
      </c>
      <c r="R10" s="32" t="str">
        <f ca="1">IF($A10="","",IF(IF(R$2&lt;=$A$1,1,0),IF(R$4="休","",IF(COUNTIF(DATA!S:S,$A:$A)=0,"×","√")),""))</f>
        <v/>
      </c>
      <c r="S10" s="32" t="str">
        <f ca="1">IF($A10="","",IF(IF(S$2&lt;=$A$1,1,0),IF(S$4="休","",IF(COUNTIF(DATA!T:T,$A:$A)=0,"×","√")),""))</f>
        <v/>
      </c>
      <c r="T10" s="32" t="str">
        <f ca="1">IF($A10="","",IF(IF(T$2&lt;=$A$1,1,0),IF(T$4="休","",IF(COUNTIF(DATA!U:U,$A:$A)=0,"×","√")),""))</f>
        <v/>
      </c>
      <c r="U10" s="32" t="str">
        <f ca="1">IF($A10="","",IF(IF(U$2&lt;=$A$1,1,0),IF(U$4="休","",IF(COUNTIF(DATA!V:V,$A:$A)=0,"×","√")),""))</f>
        <v/>
      </c>
      <c r="V10" s="32" t="str">
        <f ca="1">IF($A10="","",IF(IF(V$2&lt;=$A$1,1,0),IF(V$4="休","",IF(COUNTIF(DATA!W:W,$A:$A)=0,"×","√")),""))</f>
        <v/>
      </c>
      <c r="W10" s="32" t="str">
        <f ca="1">IF($A10="","",IF(IF(W$2&lt;=$A$1,1,0),IF(W$4="休","",IF(COUNTIF(DATA!X:X,$A:$A)=0,"×","√")),""))</f>
        <v/>
      </c>
      <c r="X10" s="32" t="str">
        <f ca="1">IF($A10="","",IF(IF(X$2&lt;=$A$1,1,0),IF(X$4="休","",IF(COUNTIF(DATA!Y:Y,$A:$A)=0,"×","√")),""))</f>
        <v/>
      </c>
      <c r="Y10" s="32" t="str">
        <f ca="1">IF($A10="","",IF(IF(Y$2&lt;=$A$1,1,0),IF(Y$4="休","",IF(COUNTIF(DATA!Z:Z,$A:$A)=0,"×","√")),""))</f>
        <v/>
      </c>
      <c r="Z10" s="32" t="str">
        <f ca="1">IF($A10="","",IF(IF(Z$2&lt;=$A$1,1,0),IF(Z$4="休","",IF(COUNTIF(DATA!AA:AA,$A:$A)=0,"×","√")),""))</f>
        <v/>
      </c>
      <c r="AA10" s="32" t="str">
        <f ca="1">IF($A10="","",IF(IF(AA$2&lt;=$A$1,1,0),IF(AA$4="休","",IF(COUNTIF(DATA!AB:AB,$A:$A)=0,"×","√")),""))</f>
        <v/>
      </c>
      <c r="AB10" s="32" t="str">
        <f ca="1">IF($A10="","",IF(IF(AB$2&lt;=$A$1,1,0),IF(AB$4="休","",IF(COUNTIF(DATA!AC:AC,$A:$A)=0,"×","√")),""))</f>
        <v/>
      </c>
      <c r="AC10" s="32" t="str">
        <f ca="1">IF($A10="","",IF(IF(AC$2&lt;=$A$1,1,0),IF(AC$4="休","",IF(COUNTIF(DATA!AD:AD,$A:$A)=0,"×","√")),""))</f>
        <v/>
      </c>
      <c r="AD10" s="32" t="str">
        <f ca="1">IF($A10="","",IF(IF(AD$2&lt;=$A$1,1,0),IF(AD$4="休","",IF(COUNTIF(DATA!AE:AE,$A:$A)=0,"×","√")),""))</f>
        <v/>
      </c>
      <c r="AE10" s="32" t="str">
        <f ca="1">IF($A10="","",IF(IF(AE$2&lt;=$A$1,1,0),IF(AE$4="休","",IF(COUNTIF(DATA!AF:AF,$A:$A)=0,"×","√")),""))</f>
        <v/>
      </c>
      <c r="AF10" s="32" t="str">
        <f ca="1">IF($A10="","",IF(IF(AF$2&lt;=$A$1,1,0),IF(AF$4="休","",IF(COUNTIF(DATA!AG:AG,$A:$A)=0,"×","√")),""))</f>
        <v/>
      </c>
      <c r="AG10" s="32" t="str">
        <f ca="1">IF($A10="","",IF(IF(AG$2&lt;=$A$1,1,0),IF(AG$4="休","",IF(COUNTIF(DATA!AH:AH,$A:$A)=0,"×","√")),""))</f>
        <v/>
      </c>
      <c r="AH10" s="32" t="str">
        <f ca="1">IF($A10="","",IF(IF(AH$2&lt;=$A$1,1,0),IF(AH$4="休","",IF(COUNTIF(DATA!AI:AI,$A:$A)=0,"×","√")),""))</f>
        <v/>
      </c>
      <c r="AI10" s="32" t="str">
        <f ca="1">IF($A10="","",IF(IF(AI$2&lt;=$A$1,1,0),IF(AI$4="休","",IF(COUNTIF(DATA!AJ:AJ,$A:$A)=0,"×","√")),""))</f>
        <v/>
      </c>
      <c r="AJ10" s="32" t="str">
        <f ca="1">IF($A10="","",IF(IF(AJ$2&lt;=$A$1,1,0),IF(AJ$4="休","",IF(COUNTIF(DATA!AK:AK,$A:$A)=0,"×","√")),""))</f>
        <v/>
      </c>
      <c r="AK10" s="32" t="str">
        <f ca="1">IF($A10="","",IF(IF(AK$2&lt;=$A$1,1,0),IF(AK$4="休","",IF(COUNTIF(DATA!AL:AL,$A:$A)=0,"×","√")),""))</f>
        <v/>
      </c>
      <c r="AL10" s="32" t="str">
        <f ca="1">IF($A10="","",IF(IF(AL$2&lt;=$A$1,1,0),IF(AL$4="休","",IF(COUNTIF(DATA!AM:AM,$A:$A)=0,"×","√")),""))</f>
        <v/>
      </c>
      <c r="AM10" s="32" t="str">
        <f ca="1">IF($A10="","",IF(IF(AM$2&lt;=$A$1,1,0),IF(AM$4="休","",IF(COUNTIF(DATA!AN:AN,$A:$A)=0,"×","√")),""))</f>
        <v/>
      </c>
      <c r="AN10" s="32" t="str">
        <f ca="1">IF($A10="","",IF(IF(AN$2&lt;=$A$1,1,0),IF(AN$4="休","",IF(COUNTIF(DATA!AO:AO,$A:$A)=0,"×","√")),""))</f>
        <v/>
      </c>
      <c r="AO10" s="32" t="str">
        <f ca="1">IF($A10="","",IF(IF(AO$2&lt;=$A$1,1,0),IF(AO$4="休","",IF(COUNTIF(DATA!AP:AP,$A:$A)=0,"×","√")),""))</f>
        <v/>
      </c>
      <c r="AP10" s="32" t="str">
        <f ca="1">IF($A10="","",IF(IF(AP$2&lt;=$A$1,1,0),IF(AP$4="休","",IF(COUNTIF(DATA!AQ:AQ,$A:$A)=0,"×","√")),""))</f>
        <v/>
      </c>
      <c r="AQ10" s="32" t="str">
        <f ca="1">IF($A10="","",IF(IF(AQ$2&lt;=$A$1,1,0),IF(AQ$4="休","",IF(COUNTIF(DATA!AR:AR,$A:$A)=0,"×","√")),""))</f>
        <v/>
      </c>
      <c r="AR10" s="32" t="str">
        <f ca="1">IF($A10="","",IF(IF(AR$2&lt;=$A$1,1,0),IF(AR$4="休","",IF(COUNTIF(DATA!AS:AS,$A:$A)=0,"×","√")),""))</f>
        <v/>
      </c>
      <c r="AS10" s="32" t="str">
        <f ca="1">IF($A10="","",IF(IF(AS$2&lt;=$A$1,1,0),IF(AS$4="休","",IF(COUNTIF(DATA!AT:AT,$A:$A)=0,"×","√")),""))</f>
        <v/>
      </c>
      <c r="AT10" s="32" t="str">
        <f ca="1">IF($A10="","",IF(IF(AT$2&lt;=$A$1,1,0),IF(AT$4="休","",IF(COUNTIF(DATA!AU:AU,$A:$A)=0,"×","√")),""))</f>
        <v/>
      </c>
      <c r="AU10" s="32" t="str">
        <f ca="1">IF($A10="","",IF(IF(AU$2&lt;=$A$1,1,0),IF(AU$4="休","",IF(COUNTIF(DATA!AV:AV,$A:$A)=0,"×","√")),""))</f>
        <v/>
      </c>
      <c r="AV10" s="32" t="str">
        <f ca="1">IF($A10="","",IF(IF(AV$2&lt;=$A$1,1,0),IF(AV$4="休","",IF(COUNTIF(DATA!AW:AW,$A:$A)=0,"×","√")),""))</f>
        <v/>
      </c>
      <c r="AW10" s="32" t="str">
        <f ca="1">IF($A10="","",IF(IF(AW$2&lt;=$A$1,1,0),IF(AW$4="休","",IF(COUNTIF(DATA!AX:AX,$A:$A)=0,"×","√")),""))</f>
        <v/>
      </c>
      <c r="AX10" s="32" t="str">
        <f ca="1">IF($A10="","",IF(IF(AX$2&lt;=$A$1,1,0),IF(AX$4="休","",IF(COUNTIF(DATA!AY:AY,$A:$A)=0,"×","√")),""))</f>
        <v/>
      </c>
      <c r="AY10" s="32" t="str">
        <f ca="1">IF($A10="","",IF(IF(AY$2&lt;=$A$1,1,0),IF(AY$4="休","",IF(COUNTIF(DATA!AZ:AZ,$A:$A)=0,"×","√")),""))</f>
        <v/>
      </c>
      <c r="AZ10" s="32" t="str">
        <f ca="1">IF($A10="","",IF(IF(AZ$2&lt;=$A$1,1,0),IF(AZ$4="休","",IF(COUNTIF(DATA!BA:BA,$A:$A)=0,"×","√")),""))</f>
        <v/>
      </c>
      <c r="BA10" s="32" t="str">
        <f ca="1">IF($A10="","",IF(IF(BA$2&lt;=$A$1,1,0),IF(BA$4="休","",IF(COUNTIF(DATA!BB:BB,$A:$A)=0,"×","√")),""))</f>
        <v/>
      </c>
      <c r="BB10" s="32" t="str">
        <f ca="1">IF($A10="","",IF(IF(BB$2&lt;=$A$1,1,0),IF(BB$4="休","",IF(COUNTIF(DATA!BC:BC,$A:$A)=0,"×","√")),""))</f>
        <v/>
      </c>
      <c r="BC10" s="32" t="str">
        <f ca="1">IF($A10="","",IF(IF(BC$2&lt;=$A$1,1,0),IF(BC$4="休","",IF(COUNTIF(DATA!BD:BD,$A:$A)=0,"×","√")),""))</f>
        <v/>
      </c>
      <c r="BD10" s="32" t="str">
        <f ca="1">IF($A10="","",IF(IF(BD$2&lt;=$A$1,1,0),IF(BD$4="休","",IF(COUNTIF(DATA!BE:BE,$A:$A)=0,"×","√")),""))</f>
        <v/>
      </c>
      <c r="BE10" s="32" t="str">
        <f ca="1">IF($A10="","",IF(IF(BE$2&lt;=$A$1,1,0),IF(BE$4="休","",IF(COUNTIF(DATA!BF:BF,$A:$A)=0,"×","√")),""))</f>
        <v/>
      </c>
      <c r="BF10" s="32" t="str">
        <f ca="1">IF($A10="","",IF(IF(BF$2&lt;=$A$1,1,0),IF(BF$4="休","",IF(COUNTIF(DATA!BG:BG,$A:$A)=0,"×","√")),""))</f>
        <v/>
      </c>
      <c r="BG10" s="32" t="str">
        <f ca="1">IF($A10="","",IF(IF(BG$2&lt;=$A$1,1,0),IF(BG$4="休","",IF(COUNTIF(DATA!BH:BH,$A:$A)=0,"×","√")),""))</f>
        <v/>
      </c>
      <c r="BH10" s="32" t="str">
        <f ca="1">IF($A10="","",IF(IF(BH$2&lt;=$A$1,1,0),IF(BH$4="休","",IF(COUNTIF(DATA!BI:BI,$A:$A)=0,"×","√")),""))</f>
        <v/>
      </c>
      <c r="BI10" s="32" t="str">
        <f ca="1">IF($A10="","",IF(IF(BI$2&lt;=$A$1,1,0),IF(BI$4="休","",IF(COUNTIF(DATA!BJ:BJ,$A:$A)=0,"×","√")),""))</f>
        <v/>
      </c>
      <c r="BJ10" s="32" t="str">
        <f ca="1">IF($A10="","",IF(IF(BJ$2&lt;=$A$1,1,0),IF(BJ$4="休","",IF(COUNTIF(DATA!BK:BK,$A:$A)=0,"×","√")),""))</f>
        <v/>
      </c>
      <c r="BK10" s="32" t="str">
        <f ca="1">IF($A10="","",IF(IF(BK$2&lt;=$A$1,1,0),IF(BK$4="休","",IF(COUNTIF(DATA!BL:BL,$A:$A)=0,"×","√")),""))</f>
        <v/>
      </c>
      <c r="BL10" s="32" t="str">
        <f ca="1">IF($A10="","",IF(IF(BL$2&lt;=$A$1,1,0),IF(BL$4="休","",IF(COUNTIF(DATA!BM:BM,$A:$A)=0,"×","√")),""))</f>
        <v/>
      </c>
      <c r="BM10" s="32" t="str">
        <f ca="1">IF($A10="","",IF(IF(BM$2&lt;=$A$1,1,0),IF(BM$4="休","",IF(COUNTIF(DATA!BN:BN,$A:$A)=0,"×","√")),""))</f>
        <v/>
      </c>
      <c r="BN10" s="32" t="str">
        <f ca="1">IF($A10="","",IF(IF(BN$2&lt;=$A$1,1,0),IF(BN$4="休","",IF(COUNTIF(DATA!BO:BO,$A:$A)=0,"×","√")),""))</f>
        <v/>
      </c>
      <c r="BO10" s="32" t="str">
        <f ca="1">IF($A10="","",IF(IF(BO$2&lt;=$A$1,1,0),IF(BO$4="休","",IF(COUNTIF(DATA!BP:BP,$A:$A)=0,"×","√")),""))</f>
        <v/>
      </c>
      <c r="BP10" s="32" t="str">
        <f ca="1">IF($A10="","",IF(IF(BP$2&lt;=$A$1,1,0),IF(BP$4="休","",IF(COUNTIF(DATA!BQ:BQ,$A:$A)=0,"×","√")),""))</f>
        <v/>
      </c>
      <c r="BQ10" s="32" t="str">
        <f ca="1">IF($A10="","",IF(IF(BQ$2&lt;=$A$1,1,0),IF(BQ$4="休","",IF(COUNTIF(DATA!BR:BR,$A:$A)=0,"×","√")),""))</f>
        <v/>
      </c>
      <c r="BR10" s="32" t="str">
        <f ca="1">IF($A10="","",IF(IF(BR$2&lt;=$A$1,1,0),IF(BR$4="休","",IF(COUNTIF(DATA!BS:BS,$A:$A)=0,"×","√")),""))</f>
        <v/>
      </c>
      <c r="BS10" s="32" t="str">
        <f ca="1">IF($A10="","",IF(IF(BS$2&lt;=$A$1,1,0),IF(BS$4="休","",IF(COUNTIF(DATA!BT:BT,$A:$A)=0,"×","√")),""))</f>
        <v/>
      </c>
      <c r="BT10" s="32" t="str">
        <f ca="1">IF($A10="","",IF(IF(BT$2&lt;=$A$1,1,0),IF(BT$4="休","",IF(COUNTIF(DATA!BU:BU,$A:$A)=0,"×","√")),""))</f>
        <v/>
      </c>
      <c r="BU10" s="32" t="str">
        <f ca="1">IF($A10="","",IF(IF(BU$2&lt;=$A$1,1,0),IF(BU$4="休","",IF(COUNTIF(DATA!BV:BV,$A:$A)=0,"×","√")),""))</f>
        <v/>
      </c>
      <c r="BV10" s="32" t="str">
        <f ca="1">IF($A10="","",IF(IF(BV$2&lt;=$A$1,1,0),IF(BV$4="休","",IF(COUNTIF(DATA!BW:BW,$A:$A)=0,"×","√")),""))</f>
        <v/>
      </c>
      <c r="BW10" s="32" t="str">
        <f ca="1">IF($A10="","",IF(IF(BW$2&lt;=$A$1,1,0),IF(BW$4="休","",IF(COUNTIF(DATA!BX:BX,$A:$A)=0,"×","√")),""))</f>
        <v/>
      </c>
      <c r="BX10" s="32" t="str">
        <f ca="1">IF($A10="","",IF(IF(BX$2&lt;=$A$1,1,0),IF(BX$4="休","",IF(COUNTIF(DATA!BY:BY,$A:$A)=0,"×","√")),""))</f>
        <v/>
      </c>
      <c r="BY10" s="32" t="str">
        <f ca="1">IF($A10="","",IF(IF(BY$2&lt;=$A$1,1,0),IF(BY$4="休","",IF(COUNTIF(DATA!BZ:BZ,$A:$A)=0,"×","√")),""))</f>
        <v/>
      </c>
      <c r="BZ10" s="32" t="str">
        <f ca="1">IF($A10="","",IF(IF(BZ$2&lt;=$A$1,1,0),IF(BZ$4="休","",IF(COUNTIF(DATA!CA:CA,$A:$A)=0,"×","√")),""))</f>
        <v/>
      </c>
      <c r="CA10" s="32" t="str">
        <f ca="1">IF($A10="","",IF(IF(CA$2&lt;=$A$1,1,0),IF(CA$4="休","",IF(COUNTIF(DATA!CB:CB,$A:$A)=0,"×","√")),""))</f>
        <v/>
      </c>
      <c r="CB10" s="32" t="str">
        <f ca="1">IF($A10="","",IF(IF(CB$2&lt;=$A$1,1,0),IF(CB$4="休","",IF(COUNTIF(DATA!CC:CC,$A:$A)=0,"×","√")),""))</f>
        <v/>
      </c>
      <c r="CC10" s="32" t="str">
        <f ca="1">IF($A10="","",IF(IF(CC$2&lt;=$A$1,1,0),IF(CC$4="休","",IF(COUNTIF(DATA!CD:CD,$A:$A)=0,"×","√")),""))</f>
        <v/>
      </c>
      <c r="CD10" s="32" t="str">
        <f ca="1">IF($A10="","",IF(IF(CD$2&lt;=$A$1,1,0),IF(CD$4="休","",IF(COUNTIF(DATA!CE:CE,$A:$A)=0,"×","√")),""))</f>
        <v/>
      </c>
      <c r="CE10" s="32" t="str">
        <f ca="1">IF($A10="","",IF(IF(CE$2&lt;=$A$1,1,0),IF(CE$4="休","",IF(COUNTIF(DATA!CF:CF,$A:$A)=0,"×","√")),""))</f>
        <v/>
      </c>
      <c r="CF10" s="32" t="str">
        <f ca="1">IF($A10="","",IF(IF(CF$2&lt;=$A$1,1,0),IF(CF$4="休","",IF(COUNTIF(DATA!CG:CG,$A:$A)=0,"×","√")),""))</f>
        <v/>
      </c>
      <c r="CG10" s="32" t="str">
        <f ca="1">IF($A10="","",IF(IF(CG$2&lt;=$A$1,1,0),IF(CG$4="休","",IF(COUNTIF(DATA!CH:CH,$A:$A)=0,"×","√")),""))</f>
        <v/>
      </c>
      <c r="CH10" s="32" t="str">
        <f ca="1">IF($A10="","",IF(IF(CH$2&lt;=$A$1,1,0),IF(CH$4="休","",IF(COUNTIF(DATA!CI:CI,$A:$A)=0,"×","√")),""))</f>
        <v/>
      </c>
      <c r="CI10" s="32" t="str">
        <f ca="1">IF($A10="","",IF(IF(CI$2&lt;=$A$1,1,0),IF(CI$4="休","",IF(COUNTIF(DATA!CJ:CJ,$A:$A)=0,"×","√")),""))</f>
        <v/>
      </c>
      <c r="CJ10" s="32" t="str">
        <f ca="1">IF($A10="","",IF(IF(CJ$2&lt;=$A$1,1,0),IF(CJ$4="休","",IF(COUNTIF(DATA!CK:CK,$A:$A)=0,"×","√")),""))</f>
        <v/>
      </c>
      <c r="CK10" s="32" t="str">
        <f ca="1">IF($A10="","",IF(IF(CK$2&lt;=$A$1,1,0),IF(CK$4="休","",IF(COUNTIF(DATA!CL:CL,$A:$A)=0,"×","√")),""))</f>
        <v/>
      </c>
      <c r="CL10" s="32" t="str">
        <f ca="1">IF($A10="","",IF(IF(CL$2&lt;=$A$1,1,0),IF(CL$4="休","",IF(COUNTIF(DATA!CM:CM,$A:$A)=0,"×","√")),""))</f>
        <v/>
      </c>
      <c r="CM10" s="32" t="str">
        <f ca="1">IF($A10="","",IF(IF(CM$2&lt;=$A$1,1,0),IF(CM$4="休","",IF(COUNTIF(DATA!CN:CN,$A:$A)=0,"×","√")),""))</f>
        <v/>
      </c>
      <c r="CN10" s="32" t="str">
        <f ca="1">IF($A10="","",IF(IF(CN$2&lt;=$A$1,1,0),IF(CN$4="休","",IF(COUNTIF(DATA!CO:CO,$A:$A)=0,"×","√")),""))</f>
        <v/>
      </c>
      <c r="CO10" s="32" t="str">
        <f ca="1">IF($A10="","",IF(IF(CO$2&lt;=$A$1,1,0),IF(CO$4="休","",IF(COUNTIF(DATA!CP:CP,$A:$A)=0,"×","√")),""))</f>
        <v/>
      </c>
      <c r="CP10" s="32" t="str">
        <f ca="1">IF($A10="","",IF(IF(CP$2&lt;=$A$1,1,0),IF(CP$4="休","",IF(COUNTIF(DATA!CQ:CQ,$A:$A)=0,"×","√")),""))</f>
        <v/>
      </c>
      <c r="CQ10" s="32" t="str">
        <f ca="1">IF($A10="","",IF(IF(CQ$2&lt;=$A$1,1,0),IF(CQ$4="休","",IF(COUNTIF(DATA!CR:CR,$A:$A)=0,"×","√")),""))</f>
        <v/>
      </c>
      <c r="CR10" s="32" t="str">
        <f ca="1">IF($A10="","",IF(IF(CR$2&lt;=$A$1,1,0),IF(CR$4="休","",IF(COUNTIF(DATA!CS:CS,$A:$A)=0,"×","√")),""))</f>
        <v/>
      </c>
    </row>
    <row r="11" s="26" customFormat="1" ht="18.75" spans="1:96">
      <c r="A11" s="32" t="str">
        <f>DATA!$A10&amp;""</f>
        <v>柯金梁</v>
      </c>
      <c r="B11" s="32" t="str">
        <f ca="1">IF($A11="","",IF(IF(B$2&lt;=$A$1,1,0),IF(B$4="休","",IF(COUNTIF(DATA!C:C,$A:$A)=0,"×","√")),""))</f>
        <v>√</v>
      </c>
      <c r="C11" s="32" t="str">
        <f ca="1">IF($A11="","",IF(IF(C$2&lt;=$A$1,1,0),IF(C$4="休","",IF(COUNTIF(DATA!D:D,$A:$A)=0,"×","√")),""))</f>
        <v>√</v>
      </c>
      <c r="D11" s="32" t="str">
        <f ca="1">IF($A11="","",IF(IF(D$2&lt;=$A$1,1,0),IF(D$4="休","",IF(COUNTIF(DATA!E:E,$A:$A)=0,"×","√")),""))</f>
        <v>√</v>
      </c>
      <c r="E11" s="32" t="str">
        <f ca="1">IF($A11="","",IF(IF(E$2&lt;=$A$1,1,0),IF(E$4="休","",IF(COUNTIF(DATA!F:F,$A:$A)=0,"×","√")),""))</f>
        <v>√</v>
      </c>
      <c r="F11" s="32" t="str">
        <f ca="1">IF($A11="","",IF(IF(F$2&lt;=$A$1,1,0),IF(F$4="休","",IF(COUNTIF(DATA!G:G,$A:$A)=0,"×","√")),""))</f>
        <v>√</v>
      </c>
      <c r="G11" s="32" t="str">
        <f ca="1">IF($A11="","",IF(IF(G$2&lt;=$A$1,1,0),IF(G$4="休","",IF(COUNTIF(DATA!H:H,$A:$A)=0,"×","√")),""))</f>
        <v>√</v>
      </c>
      <c r="H11" s="32" t="str">
        <f ca="1">IF($A11="","",IF(IF(H$2&lt;=$A$1,1,0),IF(H$4="休","",IF(COUNTIF(DATA!I:I,$A:$A)=0,"×","√")),""))</f>
        <v>√</v>
      </c>
      <c r="I11" s="32" t="str">
        <f ca="1">IF($A11="","",IF(IF(I$2&lt;=$A$1,1,0),IF(I$4="休","",IF(COUNTIF(DATA!J:J,$A:$A)=0,"×","√")),""))</f>
        <v>√</v>
      </c>
      <c r="J11" s="32" t="str">
        <f ca="1">IF($A11="","",IF(IF(J$2&lt;=$A$1,1,0),IF(J$4="休","",IF(COUNTIF(DATA!K:K,$A:$A)=0,"×","√")),""))</f>
        <v/>
      </c>
      <c r="K11" s="32" t="str">
        <f ca="1">IF($A11="","",IF(IF(K$2&lt;=$A$1,1,0),IF(K$4="休","",IF(COUNTIF(DATA!L:L,$A:$A)=0,"×","√")),""))</f>
        <v/>
      </c>
      <c r="L11" s="32" t="str">
        <f ca="1">IF($A11="","",IF(IF(L$2&lt;=$A$1,1,0),IF(L$4="休","",IF(COUNTIF(DATA!M:M,$A:$A)=0,"×","√")),""))</f>
        <v/>
      </c>
      <c r="M11" s="32" t="str">
        <f ca="1">IF($A11="","",IF(IF(M$2&lt;=$A$1,1,0),IF(M$4="休","",IF(COUNTIF(DATA!N:N,$A:$A)=0,"×","√")),""))</f>
        <v/>
      </c>
      <c r="N11" s="32" t="str">
        <f ca="1">IF($A11="","",IF(IF(N$2&lt;=$A$1,1,0),IF(N$4="休","",IF(COUNTIF(DATA!O:O,$A:$A)=0,"×","√")),""))</f>
        <v/>
      </c>
      <c r="O11" s="32" t="str">
        <f ca="1">IF($A11="","",IF(IF(O$2&lt;=$A$1,1,0),IF(O$4="休","",IF(COUNTIF(DATA!P:P,$A:$A)=0,"×","√")),""))</f>
        <v/>
      </c>
      <c r="P11" s="32" t="str">
        <f ca="1">IF($A11="","",IF(IF(P$2&lt;=$A$1,1,0),IF(P$4="休","",IF(COUNTIF(DATA!Q:Q,$A:$A)=0,"×","√")),""))</f>
        <v/>
      </c>
      <c r="Q11" s="32" t="str">
        <f ca="1">IF($A11="","",IF(IF(Q$2&lt;=$A$1,1,0),IF(Q$4="休","",IF(COUNTIF(DATA!R:R,$A:$A)=0,"×","√")),""))</f>
        <v/>
      </c>
      <c r="R11" s="32" t="str">
        <f ca="1">IF($A11="","",IF(IF(R$2&lt;=$A$1,1,0),IF(R$4="休","",IF(COUNTIF(DATA!S:S,$A:$A)=0,"×","√")),""))</f>
        <v/>
      </c>
      <c r="S11" s="32" t="str">
        <f ca="1">IF($A11="","",IF(IF(S$2&lt;=$A$1,1,0),IF(S$4="休","",IF(COUNTIF(DATA!T:T,$A:$A)=0,"×","√")),""))</f>
        <v/>
      </c>
      <c r="T11" s="32" t="str">
        <f ca="1">IF($A11="","",IF(IF(T$2&lt;=$A$1,1,0),IF(T$4="休","",IF(COUNTIF(DATA!U:U,$A:$A)=0,"×","√")),""))</f>
        <v/>
      </c>
      <c r="U11" s="32" t="str">
        <f ca="1">IF($A11="","",IF(IF(U$2&lt;=$A$1,1,0),IF(U$4="休","",IF(COUNTIF(DATA!V:V,$A:$A)=0,"×","√")),""))</f>
        <v/>
      </c>
      <c r="V11" s="32" t="str">
        <f ca="1">IF($A11="","",IF(IF(V$2&lt;=$A$1,1,0),IF(V$4="休","",IF(COUNTIF(DATA!W:W,$A:$A)=0,"×","√")),""))</f>
        <v/>
      </c>
      <c r="W11" s="32" t="str">
        <f ca="1">IF($A11="","",IF(IF(W$2&lt;=$A$1,1,0),IF(W$4="休","",IF(COUNTIF(DATA!X:X,$A:$A)=0,"×","√")),""))</f>
        <v/>
      </c>
      <c r="X11" s="32" t="str">
        <f ca="1">IF($A11="","",IF(IF(X$2&lt;=$A$1,1,0),IF(X$4="休","",IF(COUNTIF(DATA!Y:Y,$A:$A)=0,"×","√")),""))</f>
        <v/>
      </c>
      <c r="Y11" s="32" t="str">
        <f ca="1">IF($A11="","",IF(IF(Y$2&lt;=$A$1,1,0),IF(Y$4="休","",IF(COUNTIF(DATA!Z:Z,$A:$A)=0,"×","√")),""))</f>
        <v/>
      </c>
      <c r="Z11" s="32" t="str">
        <f ca="1">IF($A11="","",IF(IF(Z$2&lt;=$A$1,1,0),IF(Z$4="休","",IF(COUNTIF(DATA!AA:AA,$A:$A)=0,"×","√")),""))</f>
        <v/>
      </c>
      <c r="AA11" s="32" t="str">
        <f ca="1">IF($A11="","",IF(IF(AA$2&lt;=$A$1,1,0),IF(AA$4="休","",IF(COUNTIF(DATA!AB:AB,$A:$A)=0,"×","√")),""))</f>
        <v/>
      </c>
      <c r="AB11" s="32" t="str">
        <f ca="1">IF($A11="","",IF(IF(AB$2&lt;=$A$1,1,0),IF(AB$4="休","",IF(COUNTIF(DATA!AC:AC,$A:$A)=0,"×","√")),""))</f>
        <v/>
      </c>
      <c r="AC11" s="32" t="str">
        <f ca="1">IF($A11="","",IF(IF(AC$2&lt;=$A$1,1,0),IF(AC$4="休","",IF(COUNTIF(DATA!AD:AD,$A:$A)=0,"×","√")),""))</f>
        <v/>
      </c>
      <c r="AD11" s="32" t="str">
        <f ca="1">IF($A11="","",IF(IF(AD$2&lt;=$A$1,1,0),IF(AD$4="休","",IF(COUNTIF(DATA!AE:AE,$A:$A)=0,"×","√")),""))</f>
        <v/>
      </c>
      <c r="AE11" s="32" t="str">
        <f ca="1">IF($A11="","",IF(IF(AE$2&lt;=$A$1,1,0),IF(AE$4="休","",IF(COUNTIF(DATA!AF:AF,$A:$A)=0,"×","√")),""))</f>
        <v/>
      </c>
      <c r="AF11" s="32" t="str">
        <f ca="1">IF($A11="","",IF(IF(AF$2&lt;=$A$1,1,0),IF(AF$4="休","",IF(COUNTIF(DATA!AG:AG,$A:$A)=0,"×","√")),""))</f>
        <v/>
      </c>
      <c r="AG11" s="32" t="str">
        <f ca="1">IF($A11="","",IF(IF(AG$2&lt;=$A$1,1,0),IF(AG$4="休","",IF(COUNTIF(DATA!AH:AH,$A:$A)=0,"×","√")),""))</f>
        <v/>
      </c>
      <c r="AH11" s="32" t="str">
        <f ca="1">IF($A11="","",IF(IF(AH$2&lt;=$A$1,1,0),IF(AH$4="休","",IF(COUNTIF(DATA!AI:AI,$A:$A)=0,"×","√")),""))</f>
        <v/>
      </c>
      <c r="AI11" s="32" t="str">
        <f ca="1">IF($A11="","",IF(IF(AI$2&lt;=$A$1,1,0),IF(AI$4="休","",IF(COUNTIF(DATA!AJ:AJ,$A:$A)=0,"×","√")),""))</f>
        <v/>
      </c>
      <c r="AJ11" s="32" t="str">
        <f ca="1">IF($A11="","",IF(IF(AJ$2&lt;=$A$1,1,0),IF(AJ$4="休","",IF(COUNTIF(DATA!AK:AK,$A:$A)=0,"×","√")),""))</f>
        <v/>
      </c>
      <c r="AK11" s="32" t="str">
        <f ca="1">IF($A11="","",IF(IF(AK$2&lt;=$A$1,1,0),IF(AK$4="休","",IF(COUNTIF(DATA!AL:AL,$A:$A)=0,"×","√")),""))</f>
        <v/>
      </c>
      <c r="AL11" s="32" t="str">
        <f ca="1">IF($A11="","",IF(IF(AL$2&lt;=$A$1,1,0),IF(AL$4="休","",IF(COUNTIF(DATA!AM:AM,$A:$A)=0,"×","√")),""))</f>
        <v/>
      </c>
      <c r="AM11" s="32" t="str">
        <f ca="1">IF($A11="","",IF(IF(AM$2&lt;=$A$1,1,0),IF(AM$4="休","",IF(COUNTIF(DATA!AN:AN,$A:$A)=0,"×","√")),""))</f>
        <v/>
      </c>
      <c r="AN11" s="32" t="str">
        <f ca="1">IF($A11="","",IF(IF(AN$2&lt;=$A$1,1,0),IF(AN$4="休","",IF(COUNTIF(DATA!AO:AO,$A:$A)=0,"×","√")),""))</f>
        <v/>
      </c>
      <c r="AO11" s="32" t="str">
        <f ca="1">IF($A11="","",IF(IF(AO$2&lt;=$A$1,1,0),IF(AO$4="休","",IF(COUNTIF(DATA!AP:AP,$A:$A)=0,"×","√")),""))</f>
        <v/>
      </c>
      <c r="AP11" s="32" t="str">
        <f ca="1">IF($A11="","",IF(IF(AP$2&lt;=$A$1,1,0),IF(AP$4="休","",IF(COUNTIF(DATA!AQ:AQ,$A:$A)=0,"×","√")),""))</f>
        <v/>
      </c>
      <c r="AQ11" s="32" t="str">
        <f ca="1">IF($A11="","",IF(IF(AQ$2&lt;=$A$1,1,0),IF(AQ$4="休","",IF(COUNTIF(DATA!AR:AR,$A:$A)=0,"×","√")),""))</f>
        <v/>
      </c>
      <c r="AR11" s="32" t="str">
        <f ca="1">IF($A11="","",IF(IF(AR$2&lt;=$A$1,1,0),IF(AR$4="休","",IF(COUNTIF(DATA!AS:AS,$A:$A)=0,"×","√")),""))</f>
        <v/>
      </c>
      <c r="AS11" s="32" t="str">
        <f ca="1">IF($A11="","",IF(IF(AS$2&lt;=$A$1,1,0),IF(AS$4="休","",IF(COUNTIF(DATA!AT:AT,$A:$A)=0,"×","√")),""))</f>
        <v/>
      </c>
      <c r="AT11" s="32" t="str">
        <f ca="1">IF($A11="","",IF(IF(AT$2&lt;=$A$1,1,0),IF(AT$4="休","",IF(COUNTIF(DATA!AU:AU,$A:$A)=0,"×","√")),""))</f>
        <v/>
      </c>
      <c r="AU11" s="32" t="str">
        <f ca="1">IF($A11="","",IF(IF(AU$2&lt;=$A$1,1,0),IF(AU$4="休","",IF(COUNTIF(DATA!AV:AV,$A:$A)=0,"×","√")),""))</f>
        <v/>
      </c>
      <c r="AV11" s="32" t="str">
        <f ca="1">IF($A11="","",IF(IF(AV$2&lt;=$A$1,1,0),IF(AV$4="休","",IF(COUNTIF(DATA!AW:AW,$A:$A)=0,"×","√")),""))</f>
        <v/>
      </c>
      <c r="AW11" s="32" t="str">
        <f ca="1">IF($A11="","",IF(IF(AW$2&lt;=$A$1,1,0),IF(AW$4="休","",IF(COUNTIF(DATA!AX:AX,$A:$A)=0,"×","√")),""))</f>
        <v/>
      </c>
      <c r="AX11" s="32" t="str">
        <f ca="1">IF($A11="","",IF(IF(AX$2&lt;=$A$1,1,0),IF(AX$4="休","",IF(COUNTIF(DATA!AY:AY,$A:$A)=0,"×","√")),""))</f>
        <v/>
      </c>
      <c r="AY11" s="32" t="str">
        <f ca="1">IF($A11="","",IF(IF(AY$2&lt;=$A$1,1,0),IF(AY$4="休","",IF(COUNTIF(DATA!AZ:AZ,$A:$A)=0,"×","√")),""))</f>
        <v/>
      </c>
      <c r="AZ11" s="32" t="str">
        <f ca="1">IF($A11="","",IF(IF(AZ$2&lt;=$A$1,1,0),IF(AZ$4="休","",IF(COUNTIF(DATA!BA:BA,$A:$A)=0,"×","√")),""))</f>
        <v/>
      </c>
      <c r="BA11" s="32" t="str">
        <f ca="1">IF($A11="","",IF(IF(BA$2&lt;=$A$1,1,0),IF(BA$4="休","",IF(COUNTIF(DATA!BB:BB,$A:$A)=0,"×","√")),""))</f>
        <v/>
      </c>
      <c r="BB11" s="32" t="str">
        <f ca="1">IF($A11="","",IF(IF(BB$2&lt;=$A$1,1,0),IF(BB$4="休","",IF(COUNTIF(DATA!BC:BC,$A:$A)=0,"×","√")),""))</f>
        <v/>
      </c>
      <c r="BC11" s="32" t="str">
        <f ca="1">IF($A11="","",IF(IF(BC$2&lt;=$A$1,1,0),IF(BC$4="休","",IF(COUNTIF(DATA!BD:BD,$A:$A)=0,"×","√")),""))</f>
        <v/>
      </c>
      <c r="BD11" s="32" t="str">
        <f ca="1">IF($A11="","",IF(IF(BD$2&lt;=$A$1,1,0),IF(BD$4="休","",IF(COUNTIF(DATA!BE:BE,$A:$A)=0,"×","√")),""))</f>
        <v/>
      </c>
      <c r="BE11" s="32" t="str">
        <f ca="1">IF($A11="","",IF(IF(BE$2&lt;=$A$1,1,0),IF(BE$4="休","",IF(COUNTIF(DATA!BF:BF,$A:$A)=0,"×","√")),""))</f>
        <v/>
      </c>
      <c r="BF11" s="32" t="str">
        <f ca="1">IF($A11="","",IF(IF(BF$2&lt;=$A$1,1,0),IF(BF$4="休","",IF(COUNTIF(DATA!BG:BG,$A:$A)=0,"×","√")),""))</f>
        <v/>
      </c>
      <c r="BG11" s="32" t="str">
        <f ca="1">IF($A11="","",IF(IF(BG$2&lt;=$A$1,1,0),IF(BG$4="休","",IF(COUNTIF(DATA!BH:BH,$A:$A)=0,"×","√")),""))</f>
        <v/>
      </c>
      <c r="BH11" s="32" t="str">
        <f ca="1">IF($A11="","",IF(IF(BH$2&lt;=$A$1,1,0),IF(BH$4="休","",IF(COUNTIF(DATA!BI:BI,$A:$A)=0,"×","√")),""))</f>
        <v/>
      </c>
      <c r="BI11" s="32" t="str">
        <f ca="1">IF($A11="","",IF(IF(BI$2&lt;=$A$1,1,0),IF(BI$4="休","",IF(COUNTIF(DATA!BJ:BJ,$A:$A)=0,"×","√")),""))</f>
        <v/>
      </c>
      <c r="BJ11" s="32" t="str">
        <f ca="1">IF($A11="","",IF(IF(BJ$2&lt;=$A$1,1,0),IF(BJ$4="休","",IF(COUNTIF(DATA!BK:BK,$A:$A)=0,"×","√")),""))</f>
        <v/>
      </c>
      <c r="BK11" s="32" t="str">
        <f ca="1">IF($A11="","",IF(IF(BK$2&lt;=$A$1,1,0),IF(BK$4="休","",IF(COUNTIF(DATA!BL:BL,$A:$A)=0,"×","√")),""))</f>
        <v/>
      </c>
      <c r="BL11" s="32" t="str">
        <f ca="1">IF($A11="","",IF(IF(BL$2&lt;=$A$1,1,0),IF(BL$4="休","",IF(COUNTIF(DATA!BM:BM,$A:$A)=0,"×","√")),""))</f>
        <v/>
      </c>
      <c r="BM11" s="32" t="str">
        <f ca="1">IF($A11="","",IF(IF(BM$2&lt;=$A$1,1,0),IF(BM$4="休","",IF(COUNTIF(DATA!BN:BN,$A:$A)=0,"×","√")),""))</f>
        <v/>
      </c>
      <c r="BN11" s="32" t="str">
        <f ca="1">IF($A11="","",IF(IF(BN$2&lt;=$A$1,1,0),IF(BN$4="休","",IF(COUNTIF(DATA!BO:BO,$A:$A)=0,"×","√")),""))</f>
        <v/>
      </c>
      <c r="BO11" s="32" t="str">
        <f ca="1">IF($A11="","",IF(IF(BO$2&lt;=$A$1,1,0),IF(BO$4="休","",IF(COUNTIF(DATA!BP:BP,$A:$A)=0,"×","√")),""))</f>
        <v/>
      </c>
      <c r="BP11" s="32" t="str">
        <f ca="1">IF($A11="","",IF(IF(BP$2&lt;=$A$1,1,0),IF(BP$4="休","",IF(COUNTIF(DATA!BQ:BQ,$A:$A)=0,"×","√")),""))</f>
        <v/>
      </c>
      <c r="BQ11" s="32" t="str">
        <f ca="1">IF($A11="","",IF(IF(BQ$2&lt;=$A$1,1,0),IF(BQ$4="休","",IF(COUNTIF(DATA!BR:BR,$A:$A)=0,"×","√")),""))</f>
        <v/>
      </c>
      <c r="BR11" s="32" t="str">
        <f ca="1">IF($A11="","",IF(IF(BR$2&lt;=$A$1,1,0),IF(BR$4="休","",IF(COUNTIF(DATA!BS:BS,$A:$A)=0,"×","√")),""))</f>
        <v/>
      </c>
      <c r="BS11" s="32" t="str">
        <f ca="1">IF($A11="","",IF(IF(BS$2&lt;=$A$1,1,0),IF(BS$4="休","",IF(COUNTIF(DATA!BT:BT,$A:$A)=0,"×","√")),""))</f>
        <v/>
      </c>
      <c r="BT11" s="32" t="str">
        <f ca="1">IF($A11="","",IF(IF(BT$2&lt;=$A$1,1,0),IF(BT$4="休","",IF(COUNTIF(DATA!BU:BU,$A:$A)=0,"×","√")),""))</f>
        <v/>
      </c>
      <c r="BU11" s="32" t="str">
        <f ca="1">IF($A11="","",IF(IF(BU$2&lt;=$A$1,1,0),IF(BU$4="休","",IF(COUNTIF(DATA!BV:BV,$A:$A)=0,"×","√")),""))</f>
        <v/>
      </c>
      <c r="BV11" s="32" t="str">
        <f ca="1">IF($A11="","",IF(IF(BV$2&lt;=$A$1,1,0),IF(BV$4="休","",IF(COUNTIF(DATA!BW:BW,$A:$A)=0,"×","√")),""))</f>
        <v/>
      </c>
      <c r="BW11" s="32" t="str">
        <f ca="1">IF($A11="","",IF(IF(BW$2&lt;=$A$1,1,0),IF(BW$4="休","",IF(COUNTIF(DATA!BX:BX,$A:$A)=0,"×","√")),""))</f>
        <v/>
      </c>
      <c r="BX11" s="32" t="str">
        <f ca="1">IF($A11="","",IF(IF(BX$2&lt;=$A$1,1,0),IF(BX$4="休","",IF(COUNTIF(DATA!BY:BY,$A:$A)=0,"×","√")),""))</f>
        <v/>
      </c>
      <c r="BY11" s="32" t="str">
        <f ca="1">IF($A11="","",IF(IF(BY$2&lt;=$A$1,1,0),IF(BY$4="休","",IF(COUNTIF(DATA!BZ:BZ,$A:$A)=0,"×","√")),""))</f>
        <v/>
      </c>
      <c r="BZ11" s="32" t="str">
        <f ca="1">IF($A11="","",IF(IF(BZ$2&lt;=$A$1,1,0),IF(BZ$4="休","",IF(COUNTIF(DATA!CA:CA,$A:$A)=0,"×","√")),""))</f>
        <v/>
      </c>
      <c r="CA11" s="32" t="str">
        <f ca="1">IF($A11="","",IF(IF(CA$2&lt;=$A$1,1,0),IF(CA$4="休","",IF(COUNTIF(DATA!CB:CB,$A:$A)=0,"×","√")),""))</f>
        <v/>
      </c>
      <c r="CB11" s="32" t="str">
        <f ca="1">IF($A11="","",IF(IF(CB$2&lt;=$A$1,1,0),IF(CB$4="休","",IF(COUNTIF(DATA!CC:CC,$A:$A)=0,"×","√")),""))</f>
        <v/>
      </c>
      <c r="CC11" s="32" t="str">
        <f ca="1">IF($A11="","",IF(IF(CC$2&lt;=$A$1,1,0),IF(CC$4="休","",IF(COUNTIF(DATA!CD:CD,$A:$A)=0,"×","√")),""))</f>
        <v/>
      </c>
      <c r="CD11" s="32" t="str">
        <f ca="1">IF($A11="","",IF(IF(CD$2&lt;=$A$1,1,0),IF(CD$4="休","",IF(COUNTIF(DATA!CE:CE,$A:$A)=0,"×","√")),""))</f>
        <v/>
      </c>
      <c r="CE11" s="32" t="str">
        <f ca="1">IF($A11="","",IF(IF(CE$2&lt;=$A$1,1,0),IF(CE$4="休","",IF(COUNTIF(DATA!CF:CF,$A:$A)=0,"×","√")),""))</f>
        <v/>
      </c>
      <c r="CF11" s="32" t="str">
        <f ca="1">IF($A11="","",IF(IF(CF$2&lt;=$A$1,1,0),IF(CF$4="休","",IF(COUNTIF(DATA!CG:CG,$A:$A)=0,"×","√")),""))</f>
        <v/>
      </c>
      <c r="CG11" s="32" t="str">
        <f ca="1">IF($A11="","",IF(IF(CG$2&lt;=$A$1,1,0),IF(CG$4="休","",IF(COUNTIF(DATA!CH:CH,$A:$A)=0,"×","√")),""))</f>
        <v/>
      </c>
      <c r="CH11" s="32" t="str">
        <f ca="1">IF($A11="","",IF(IF(CH$2&lt;=$A$1,1,0),IF(CH$4="休","",IF(COUNTIF(DATA!CI:CI,$A:$A)=0,"×","√")),""))</f>
        <v/>
      </c>
      <c r="CI11" s="32" t="str">
        <f ca="1">IF($A11="","",IF(IF(CI$2&lt;=$A$1,1,0),IF(CI$4="休","",IF(COUNTIF(DATA!CJ:CJ,$A:$A)=0,"×","√")),""))</f>
        <v/>
      </c>
      <c r="CJ11" s="32" t="str">
        <f ca="1">IF($A11="","",IF(IF(CJ$2&lt;=$A$1,1,0),IF(CJ$4="休","",IF(COUNTIF(DATA!CK:CK,$A:$A)=0,"×","√")),""))</f>
        <v/>
      </c>
      <c r="CK11" s="32" t="str">
        <f ca="1">IF($A11="","",IF(IF(CK$2&lt;=$A$1,1,0),IF(CK$4="休","",IF(COUNTIF(DATA!CL:CL,$A:$A)=0,"×","√")),""))</f>
        <v/>
      </c>
      <c r="CL11" s="32" t="str">
        <f ca="1">IF($A11="","",IF(IF(CL$2&lt;=$A$1,1,0),IF(CL$4="休","",IF(COUNTIF(DATA!CM:CM,$A:$A)=0,"×","√")),""))</f>
        <v/>
      </c>
      <c r="CM11" s="32" t="str">
        <f ca="1">IF($A11="","",IF(IF(CM$2&lt;=$A$1,1,0),IF(CM$4="休","",IF(COUNTIF(DATA!CN:CN,$A:$A)=0,"×","√")),""))</f>
        <v/>
      </c>
      <c r="CN11" s="32" t="str">
        <f ca="1">IF($A11="","",IF(IF(CN$2&lt;=$A$1,1,0),IF(CN$4="休","",IF(COUNTIF(DATA!CO:CO,$A:$A)=0,"×","√")),""))</f>
        <v/>
      </c>
      <c r="CO11" s="32" t="str">
        <f ca="1">IF($A11="","",IF(IF(CO$2&lt;=$A$1,1,0),IF(CO$4="休","",IF(COUNTIF(DATA!CP:CP,$A:$A)=0,"×","√")),""))</f>
        <v/>
      </c>
      <c r="CP11" s="32" t="str">
        <f ca="1">IF($A11="","",IF(IF(CP$2&lt;=$A$1,1,0),IF(CP$4="休","",IF(COUNTIF(DATA!CQ:CQ,$A:$A)=0,"×","√")),""))</f>
        <v/>
      </c>
      <c r="CQ11" s="32" t="str">
        <f ca="1">IF($A11="","",IF(IF(CQ$2&lt;=$A$1,1,0),IF(CQ$4="休","",IF(COUNTIF(DATA!CR:CR,$A:$A)=0,"×","√")),""))</f>
        <v/>
      </c>
      <c r="CR11" s="32" t="str">
        <f ca="1">IF($A11="","",IF(IF(CR$2&lt;=$A$1,1,0),IF(CR$4="休","",IF(COUNTIF(DATA!CS:CS,$A:$A)=0,"×","√")),""))</f>
        <v/>
      </c>
    </row>
    <row r="12" s="26" customFormat="1" ht="18.75" spans="1:96">
      <c r="A12" s="32" t="str">
        <f>DATA!$A11&amp;""</f>
        <v>翁凯凯</v>
      </c>
      <c r="B12" s="32" t="str">
        <f ca="1">IF($A12="","",IF(IF(B$2&lt;=$A$1,1,0),IF(B$4="休","",IF(COUNTIF(DATA!C:C,$A:$A)=0,"×","√")),""))</f>
        <v>√</v>
      </c>
      <c r="C12" s="32" t="str">
        <f ca="1">IF($A12="","",IF(IF(C$2&lt;=$A$1,1,0),IF(C$4="休","",IF(COUNTIF(DATA!D:D,$A:$A)=0,"×","√")),""))</f>
        <v>√</v>
      </c>
      <c r="D12" s="32" t="str">
        <f ca="1">IF($A12="","",IF(IF(D$2&lt;=$A$1,1,0),IF(D$4="休","",IF(COUNTIF(DATA!E:E,$A:$A)=0,"×","√")),""))</f>
        <v>√</v>
      </c>
      <c r="E12" s="32" t="str">
        <f ca="1">IF($A12="","",IF(IF(E$2&lt;=$A$1,1,0),IF(E$4="休","",IF(COUNTIF(DATA!F:F,$A:$A)=0,"×","√")),""))</f>
        <v>√</v>
      </c>
      <c r="F12" s="32" t="str">
        <f ca="1">IF($A12="","",IF(IF(F$2&lt;=$A$1,1,0),IF(F$4="休","",IF(COUNTIF(DATA!G:G,$A:$A)=0,"×","√")),""))</f>
        <v>√</v>
      </c>
      <c r="G12" s="32" t="str">
        <f ca="1">IF($A12="","",IF(IF(G$2&lt;=$A$1,1,0),IF(G$4="休","",IF(COUNTIF(DATA!H:H,$A:$A)=0,"×","√")),""))</f>
        <v>√</v>
      </c>
      <c r="H12" s="32" t="str">
        <f ca="1">IF($A12="","",IF(IF(H$2&lt;=$A$1,1,0),IF(H$4="休","",IF(COUNTIF(DATA!I:I,$A:$A)=0,"×","√")),""))</f>
        <v>√</v>
      </c>
      <c r="I12" s="32" t="str">
        <f ca="1">IF($A12="","",IF(IF(I$2&lt;=$A$1,1,0),IF(I$4="休","",IF(COUNTIF(DATA!J:J,$A:$A)=0,"×","√")),""))</f>
        <v>√</v>
      </c>
      <c r="J12" s="32" t="str">
        <f ca="1">IF($A12="","",IF(IF(J$2&lt;=$A$1,1,0),IF(J$4="休","",IF(COUNTIF(DATA!K:K,$A:$A)=0,"×","√")),""))</f>
        <v/>
      </c>
      <c r="K12" s="32" t="str">
        <f ca="1">IF($A12="","",IF(IF(K$2&lt;=$A$1,1,0),IF(K$4="休","",IF(COUNTIF(DATA!L:L,$A:$A)=0,"×","√")),""))</f>
        <v/>
      </c>
      <c r="L12" s="32" t="str">
        <f ca="1">IF($A12="","",IF(IF(L$2&lt;=$A$1,1,0),IF(L$4="休","",IF(COUNTIF(DATA!M:M,$A:$A)=0,"×","√")),""))</f>
        <v/>
      </c>
      <c r="M12" s="32" t="str">
        <f ca="1">IF($A12="","",IF(IF(M$2&lt;=$A$1,1,0),IF(M$4="休","",IF(COUNTIF(DATA!N:N,$A:$A)=0,"×","√")),""))</f>
        <v/>
      </c>
      <c r="N12" s="32" t="str">
        <f ca="1">IF($A12="","",IF(IF(N$2&lt;=$A$1,1,0),IF(N$4="休","",IF(COUNTIF(DATA!O:O,$A:$A)=0,"×","√")),""))</f>
        <v/>
      </c>
      <c r="O12" s="32" t="str">
        <f ca="1">IF($A12="","",IF(IF(O$2&lt;=$A$1,1,0),IF(O$4="休","",IF(COUNTIF(DATA!P:P,$A:$A)=0,"×","√")),""))</f>
        <v/>
      </c>
      <c r="P12" s="32" t="str">
        <f ca="1">IF($A12="","",IF(IF(P$2&lt;=$A$1,1,0),IF(P$4="休","",IF(COUNTIF(DATA!Q:Q,$A:$A)=0,"×","√")),""))</f>
        <v/>
      </c>
      <c r="Q12" s="32" t="str">
        <f ca="1">IF($A12="","",IF(IF(Q$2&lt;=$A$1,1,0),IF(Q$4="休","",IF(COUNTIF(DATA!R:R,$A:$A)=0,"×","√")),""))</f>
        <v/>
      </c>
      <c r="R12" s="32" t="str">
        <f ca="1">IF($A12="","",IF(IF(R$2&lt;=$A$1,1,0),IF(R$4="休","",IF(COUNTIF(DATA!S:S,$A:$A)=0,"×","√")),""))</f>
        <v/>
      </c>
      <c r="S12" s="32" t="str">
        <f ca="1">IF($A12="","",IF(IF(S$2&lt;=$A$1,1,0),IF(S$4="休","",IF(COUNTIF(DATA!T:T,$A:$A)=0,"×","√")),""))</f>
        <v/>
      </c>
      <c r="T12" s="32" t="str">
        <f ca="1">IF($A12="","",IF(IF(T$2&lt;=$A$1,1,0),IF(T$4="休","",IF(COUNTIF(DATA!U:U,$A:$A)=0,"×","√")),""))</f>
        <v/>
      </c>
      <c r="U12" s="32" t="str">
        <f ca="1">IF($A12="","",IF(IF(U$2&lt;=$A$1,1,0),IF(U$4="休","",IF(COUNTIF(DATA!V:V,$A:$A)=0,"×","√")),""))</f>
        <v/>
      </c>
      <c r="V12" s="32" t="str">
        <f ca="1">IF($A12="","",IF(IF(V$2&lt;=$A$1,1,0),IF(V$4="休","",IF(COUNTIF(DATA!W:W,$A:$A)=0,"×","√")),""))</f>
        <v/>
      </c>
      <c r="W12" s="32" t="str">
        <f ca="1">IF($A12="","",IF(IF(W$2&lt;=$A$1,1,0),IF(W$4="休","",IF(COUNTIF(DATA!X:X,$A:$A)=0,"×","√")),""))</f>
        <v/>
      </c>
      <c r="X12" s="32" t="str">
        <f ca="1">IF($A12="","",IF(IF(X$2&lt;=$A$1,1,0),IF(X$4="休","",IF(COUNTIF(DATA!Y:Y,$A:$A)=0,"×","√")),""))</f>
        <v/>
      </c>
      <c r="Y12" s="32" t="str">
        <f ca="1">IF($A12="","",IF(IF(Y$2&lt;=$A$1,1,0),IF(Y$4="休","",IF(COUNTIF(DATA!Z:Z,$A:$A)=0,"×","√")),""))</f>
        <v/>
      </c>
      <c r="Z12" s="32" t="str">
        <f ca="1">IF($A12="","",IF(IF(Z$2&lt;=$A$1,1,0),IF(Z$4="休","",IF(COUNTIF(DATA!AA:AA,$A:$A)=0,"×","√")),""))</f>
        <v/>
      </c>
      <c r="AA12" s="32" t="str">
        <f ca="1">IF($A12="","",IF(IF(AA$2&lt;=$A$1,1,0),IF(AA$4="休","",IF(COUNTIF(DATA!AB:AB,$A:$A)=0,"×","√")),""))</f>
        <v/>
      </c>
      <c r="AB12" s="32" t="str">
        <f ca="1">IF($A12="","",IF(IF(AB$2&lt;=$A$1,1,0),IF(AB$4="休","",IF(COUNTIF(DATA!AC:AC,$A:$A)=0,"×","√")),""))</f>
        <v/>
      </c>
      <c r="AC12" s="32" t="str">
        <f ca="1">IF($A12="","",IF(IF(AC$2&lt;=$A$1,1,0),IF(AC$4="休","",IF(COUNTIF(DATA!AD:AD,$A:$A)=0,"×","√")),""))</f>
        <v/>
      </c>
      <c r="AD12" s="32" t="str">
        <f ca="1">IF($A12="","",IF(IF(AD$2&lt;=$A$1,1,0),IF(AD$4="休","",IF(COUNTIF(DATA!AE:AE,$A:$A)=0,"×","√")),""))</f>
        <v/>
      </c>
      <c r="AE12" s="32" t="str">
        <f ca="1">IF($A12="","",IF(IF(AE$2&lt;=$A$1,1,0),IF(AE$4="休","",IF(COUNTIF(DATA!AF:AF,$A:$A)=0,"×","√")),""))</f>
        <v/>
      </c>
      <c r="AF12" s="32" t="str">
        <f ca="1">IF($A12="","",IF(IF(AF$2&lt;=$A$1,1,0),IF(AF$4="休","",IF(COUNTIF(DATA!AG:AG,$A:$A)=0,"×","√")),""))</f>
        <v/>
      </c>
      <c r="AG12" s="32" t="str">
        <f ca="1">IF($A12="","",IF(IF(AG$2&lt;=$A$1,1,0),IF(AG$4="休","",IF(COUNTIF(DATA!AH:AH,$A:$A)=0,"×","√")),""))</f>
        <v/>
      </c>
      <c r="AH12" s="32" t="str">
        <f ca="1">IF($A12="","",IF(IF(AH$2&lt;=$A$1,1,0),IF(AH$4="休","",IF(COUNTIF(DATA!AI:AI,$A:$A)=0,"×","√")),""))</f>
        <v/>
      </c>
      <c r="AI12" s="32" t="str">
        <f ca="1">IF($A12="","",IF(IF(AI$2&lt;=$A$1,1,0),IF(AI$4="休","",IF(COUNTIF(DATA!AJ:AJ,$A:$A)=0,"×","√")),""))</f>
        <v/>
      </c>
      <c r="AJ12" s="32" t="str">
        <f ca="1">IF($A12="","",IF(IF(AJ$2&lt;=$A$1,1,0),IF(AJ$4="休","",IF(COUNTIF(DATA!AK:AK,$A:$A)=0,"×","√")),""))</f>
        <v/>
      </c>
      <c r="AK12" s="32" t="str">
        <f ca="1">IF($A12="","",IF(IF(AK$2&lt;=$A$1,1,0),IF(AK$4="休","",IF(COUNTIF(DATA!AL:AL,$A:$A)=0,"×","√")),""))</f>
        <v/>
      </c>
      <c r="AL12" s="32" t="str">
        <f ca="1">IF($A12="","",IF(IF(AL$2&lt;=$A$1,1,0),IF(AL$4="休","",IF(COUNTIF(DATA!AM:AM,$A:$A)=0,"×","√")),""))</f>
        <v/>
      </c>
      <c r="AM12" s="32" t="str">
        <f ca="1">IF($A12="","",IF(IF(AM$2&lt;=$A$1,1,0),IF(AM$4="休","",IF(COUNTIF(DATA!AN:AN,$A:$A)=0,"×","√")),""))</f>
        <v/>
      </c>
      <c r="AN12" s="32" t="str">
        <f ca="1">IF($A12="","",IF(IF(AN$2&lt;=$A$1,1,0),IF(AN$4="休","",IF(COUNTIF(DATA!AO:AO,$A:$A)=0,"×","√")),""))</f>
        <v/>
      </c>
      <c r="AO12" s="32" t="str">
        <f ca="1">IF($A12="","",IF(IF(AO$2&lt;=$A$1,1,0),IF(AO$4="休","",IF(COUNTIF(DATA!AP:AP,$A:$A)=0,"×","√")),""))</f>
        <v/>
      </c>
      <c r="AP12" s="32" t="str">
        <f ca="1">IF($A12="","",IF(IF(AP$2&lt;=$A$1,1,0),IF(AP$4="休","",IF(COUNTIF(DATA!AQ:AQ,$A:$A)=0,"×","√")),""))</f>
        <v/>
      </c>
      <c r="AQ12" s="32" t="str">
        <f ca="1">IF($A12="","",IF(IF(AQ$2&lt;=$A$1,1,0),IF(AQ$4="休","",IF(COUNTIF(DATA!AR:AR,$A:$A)=0,"×","√")),""))</f>
        <v/>
      </c>
      <c r="AR12" s="32" t="str">
        <f ca="1">IF($A12="","",IF(IF(AR$2&lt;=$A$1,1,0),IF(AR$4="休","",IF(COUNTIF(DATA!AS:AS,$A:$A)=0,"×","√")),""))</f>
        <v/>
      </c>
      <c r="AS12" s="32" t="str">
        <f ca="1">IF($A12="","",IF(IF(AS$2&lt;=$A$1,1,0),IF(AS$4="休","",IF(COUNTIF(DATA!AT:AT,$A:$A)=0,"×","√")),""))</f>
        <v/>
      </c>
      <c r="AT12" s="32" t="str">
        <f ca="1">IF($A12="","",IF(IF(AT$2&lt;=$A$1,1,0),IF(AT$4="休","",IF(COUNTIF(DATA!AU:AU,$A:$A)=0,"×","√")),""))</f>
        <v/>
      </c>
      <c r="AU12" s="32" t="str">
        <f ca="1">IF($A12="","",IF(IF(AU$2&lt;=$A$1,1,0),IF(AU$4="休","",IF(COUNTIF(DATA!AV:AV,$A:$A)=0,"×","√")),""))</f>
        <v/>
      </c>
      <c r="AV12" s="32" t="str">
        <f ca="1">IF($A12="","",IF(IF(AV$2&lt;=$A$1,1,0),IF(AV$4="休","",IF(COUNTIF(DATA!AW:AW,$A:$A)=0,"×","√")),""))</f>
        <v/>
      </c>
      <c r="AW12" s="32" t="str">
        <f ca="1">IF($A12="","",IF(IF(AW$2&lt;=$A$1,1,0),IF(AW$4="休","",IF(COUNTIF(DATA!AX:AX,$A:$A)=0,"×","√")),""))</f>
        <v/>
      </c>
      <c r="AX12" s="32" t="str">
        <f ca="1">IF($A12="","",IF(IF(AX$2&lt;=$A$1,1,0),IF(AX$4="休","",IF(COUNTIF(DATA!AY:AY,$A:$A)=0,"×","√")),""))</f>
        <v/>
      </c>
      <c r="AY12" s="32" t="str">
        <f ca="1">IF($A12="","",IF(IF(AY$2&lt;=$A$1,1,0),IF(AY$4="休","",IF(COUNTIF(DATA!AZ:AZ,$A:$A)=0,"×","√")),""))</f>
        <v/>
      </c>
      <c r="AZ12" s="32" t="str">
        <f ca="1">IF($A12="","",IF(IF(AZ$2&lt;=$A$1,1,0),IF(AZ$4="休","",IF(COUNTIF(DATA!BA:BA,$A:$A)=0,"×","√")),""))</f>
        <v/>
      </c>
      <c r="BA12" s="32" t="str">
        <f ca="1">IF($A12="","",IF(IF(BA$2&lt;=$A$1,1,0),IF(BA$4="休","",IF(COUNTIF(DATA!BB:BB,$A:$A)=0,"×","√")),""))</f>
        <v/>
      </c>
      <c r="BB12" s="32" t="str">
        <f ca="1">IF($A12="","",IF(IF(BB$2&lt;=$A$1,1,0),IF(BB$4="休","",IF(COUNTIF(DATA!BC:BC,$A:$A)=0,"×","√")),""))</f>
        <v/>
      </c>
      <c r="BC12" s="32" t="str">
        <f ca="1">IF($A12="","",IF(IF(BC$2&lt;=$A$1,1,0),IF(BC$4="休","",IF(COUNTIF(DATA!BD:BD,$A:$A)=0,"×","√")),""))</f>
        <v/>
      </c>
      <c r="BD12" s="32" t="str">
        <f ca="1">IF($A12="","",IF(IF(BD$2&lt;=$A$1,1,0),IF(BD$4="休","",IF(COUNTIF(DATA!BE:BE,$A:$A)=0,"×","√")),""))</f>
        <v/>
      </c>
      <c r="BE12" s="32" t="str">
        <f ca="1">IF($A12="","",IF(IF(BE$2&lt;=$A$1,1,0),IF(BE$4="休","",IF(COUNTIF(DATA!BF:BF,$A:$A)=0,"×","√")),""))</f>
        <v/>
      </c>
      <c r="BF12" s="32" t="str">
        <f ca="1">IF($A12="","",IF(IF(BF$2&lt;=$A$1,1,0),IF(BF$4="休","",IF(COUNTIF(DATA!BG:BG,$A:$A)=0,"×","√")),""))</f>
        <v/>
      </c>
      <c r="BG12" s="32" t="str">
        <f ca="1">IF($A12="","",IF(IF(BG$2&lt;=$A$1,1,0),IF(BG$4="休","",IF(COUNTIF(DATA!BH:BH,$A:$A)=0,"×","√")),""))</f>
        <v/>
      </c>
      <c r="BH12" s="32" t="str">
        <f ca="1">IF($A12="","",IF(IF(BH$2&lt;=$A$1,1,0),IF(BH$4="休","",IF(COUNTIF(DATA!BI:BI,$A:$A)=0,"×","√")),""))</f>
        <v/>
      </c>
      <c r="BI12" s="32" t="str">
        <f ca="1">IF($A12="","",IF(IF(BI$2&lt;=$A$1,1,0),IF(BI$4="休","",IF(COUNTIF(DATA!BJ:BJ,$A:$A)=0,"×","√")),""))</f>
        <v/>
      </c>
      <c r="BJ12" s="32" t="str">
        <f ca="1">IF($A12="","",IF(IF(BJ$2&lt;=$A$1,1,0),IF(BJ$4="休","",IF(COUNTIF(DATA!BK:BK,$A:$A)=0,"×","√")),""))</f>
        <v/>
      </c>
      <c r="BK12" s="32" t="str">
        <f ca="1">IF($A12="","",IF(IF(BK$2&lt;=$A$1,1,0),IF(BK$4="休","",IF(COUNTIF(DATA!BL:BL,$A:$A)=0,"×","√")),""))</f>
        <v/>
      </c>
      <c r="BL12" s="32" t="str">
        <f ca="1">IF($A12="","",IF(IF(BL$2&lt;=$A$1,1,0),IF(BL$4="休","",IF(COUNTIF(DATA!BM:BM,$A:$A)=0,"×","√")),""))</f>
        <v/>
      </c>
      <c r="BM12" s="32" t="str">
        <f ca="1">IF($A12="","",IF(IF(BM$2&lt;=$A$1,1,0),IF(BM$4="休","",IF(COUNTIF(DATA!BN:BN,$A:$A)=0,"×","√")),""))</f>
        <v/>
      </c>
      <c r="BN12" s="32" t="str">
        <f ca="1">IF($A12="","",IF(IF(BN$2&lt;=$A$1,1,0),IF(BN$4="休","",IF(COUNTIF(DATA!BO:BO,$A:$A)=0,"×","√")),""))</f>
        <v/>
      </c>
      <c r="BO12" s="32" t="str">
        <f ca="1">IF($A12="","",IF(IF(BO$2&lt;=$A$1,1,0),IF(BO$4="休","",IF(COUNTIF(DATA!BP:BP,$A:$A)=0,"×","√")),""))</f>
        <v/>
      </c>
      <c r="BP12" s="32" t="str">
        <f ca="1">IF($A12="","",IF(IF(BP$2&lt;=$A$1,1,0),IF(BP$4="休","",IF(COUNTIF(DATA!BQ:BQ,$A:$A)=0,"×","√")),""))</f>
        <v/>
      </c>
      <c r="BQ12" s="32" t="str">
        <f ca="1">IF($A12="","",IF(IF(BQ$2&lt;=$A$1,1,0),IF(BQ$4="休","",IF(COUNTIF(DATA!BR:BR,$A:$A)=0,"×","√")),""))</f>
        <v/>
      </c>
      <c r="BR12" s="32" t="str">
        <f ca="1">IF($A12="","",IF(IF(BR$2&lt;=$A$1,1,0),IF(BR$4="休","",IF(COUNTIF(DATA!BS:BS,$A:$A)=0,"×","√")),""))</f>
        <v/>
      </c>
      <c r="BS12" s="32" t="str">
        <f ca="1">IF($A12="","",IF(IF(BS$2&lt;=$A$1,1,0),IF(BS$4="休","",IF(COUNTIF(DATA!BT:BT,$A:$A)=0,"×","√")),""))</f>
        <v/>
      </c>
      <c r="BT12" s="32" t="str">
        <f ca="1">IF($A12="","",IF(IF(BT$2&lt;=$A$1,1,0),IF(BT$4="休","",IF(COUNTIF(DATA!BU:BU,$A:$A)=0,"×","√")),""))</f>
        <v/>
      </c>
      <c r="BU12" s="32" t="str">
        <f ca="1">IF($A12="","",IF(IF(BU$2&lt;=$A$1,1,0),IF(BU$4="休","",IF(COUNTIF(DATA!BV:BV,$A:$A)=0,"×","√")),""))</f>
        <v/>
      </c>
      <c r="BV12" s="32" t="str">
        <f ca="1">IF($A12="","",IF(IF(BV$2&lt;=$A$1,1,0),IF(BV$4="休","",IF(COUNTIF(DATA!BW:BW,$A:$A)=0,"×","√")),""))</f>
        <v/>
      </c>
      <c r="BW12" s="32" t="str">
        <f ca="1">IF($A12="","",IF(IF(BW$2&lt;=$A$1,1,0),IF(BW$4="休","",IF(COUNTIF(DATA!BX:BX,$A:$A)=0,"×","√")),""))</f>
        <v/>
      </c>
      <c r="BX12" s="32" t="str">
        <f ca="1">IF($A12="","",IF(IF(BX$2&lt;=$A$1,1,0),IF(BX$4="休","",IF(COUNTIF(DATA!BY:BY,$A:$A)=0,"×","√")),""))</f>
        <v/>
      </c>
      <c r="BY12" s="32" t="str">
        <f ca="1">IF($A12="","",IF(IF(BY$2&lt;=$A$1,1,0),IF(BY$4="休","",IF(COUNTIF(DATA!BZ:BZ,$A:$A)=0,"×","√")),""))</f>
        <v/>
      </c>
      <c r="BZ12" s="32" t="str">
        <f ca="1">IF($A12="","",IF(IF(BZ$2&lt;=$A$1,1,0),IF(BZ$4="休","",IF(COUNTIF(DATA!CA:CA,$A:$A)=0,"×","√")),""))</f>
        <v/>
      </c>
      <c r="CA12" s="32" t="str">
        <f ca="1">IF($A12="","",IF(IF(CA$2&lt;=$A$1,1,0),IF(CA$4="休","",IF(COUNTIF(DATA!CB:CB,$A:$A)=0,"×","√")),""))</f>
        <v/>
      </c>
      <c r="CB12" s="32" t="str">
        <f ca="1">IF($A12="","",IF(IF(CB$2&lt;=$A$1,1,0),IF(CB$4="休","",IF(COUNTIF(DATA!CC:CC,$A:$A)=0,"×","√")),""))</f>
        <v/>
      </c>
      <c r="CC12" s="32" t="str">
        <f ca="1">IF($A12="","",IF(IF(CC$2&lt;=$A$1,1,0),IF(CC$4="休","",IF(COUNTIF(DATA!CD:CD,$A:$A)=0,"×","√")),""))</f>
        <v/>
      </c>
      <c r="CD12" s="32" t="str">
        <f ca="1">IF($A12="","",IF(IF(CD$2&lt;=$A$1,1,0),IF(CD$4="休","",IF(COUNTIF(DATA!CE:CE,$A:$A)=0,"×","√")),""))</f>
        <v/>
      </c>
      <c r="CE12" s="32" t="str">
        <f ca="1">IF($A12="","",IF(IF(CE$2&lt;=$A$1,1,0),IF(CE$4="休","",IF(COUNTIF(DATA!CF:CF,$A:$A)=0,"×","√")),""))</f>
        <v/>
      </c>
      <c r="CF12" s="32" t="str">
        <f ca="1">IF($A12="","",IF(IF(CF$2&lt;=$A$1,1,0),IF(CF$4="休","",IF(COUNTIF(DATA!CG:CG,$A:$A)=0,"×","√")),""))</f>
        <v/>
      </c>
      <c r="CG12" s="32" t="str">
        <f ca="1">IF($A12="","",IF(IF(CG$2&lt;=$A$1,1,0),IF(CG$4="休","",IF(COUNTIF(DATA!CH:CH,$A:$A)=0,"×","√")),""))</f>
        <v/>
      </c>
      <c r="CH12" s="32" t="str">
        <f ca="1">IF($A12="","",IF(IF(CH$2&lt;=$A$1,1,0),IF(CH$4="休","",IF(COUNTIF(DATA!CI:CI,$A:$A)=0,"×","√")),""))</f>
        <v/>
      </c>
      <c r="CI12" s="32" t="str">
        <f ca="1">IF($A12="","",IF(IF(CI$2&lt;=$A$1,1,0),IF(CI$4="休","",IF(COUNTIF(DATA!CJ:CJ,$A:$A)=0,"×","√")),""))</f>
        <v/>
      </c>
      <c r="CJ12" s="32" t="str">
        <f ca="1">IF($A12="","",IF(IF(CJ$2&lt;=$A$1,1,0),IF(CJ$4="休","",IF(COUNTIF(DATA!CK:CK,$A:$A)=0,"×","√")),""))</f>
        <v/>
      </c>
      <c r="CK12" s="32" t="str">
        <f ca="1">IF($A12="","",IF(IF(CK$2&lt;=$A$1,1,0),IF(CK$4="休","",IF(COUNTIF(DATA!CL:CL,$A:$A)=0,"×","√")),""))</f>
        <v/>
      </c>
      <c r="CL12" s="32" t="str">
        <f ca="1">IF($A12="","",IF(IF(CL$2&lt;=$A$1,1,0),IF(CL$4="休","",IF(COUNTIF(DATA!CM:CM,$A:$A)=0,"×","√")),""))</f>
        <v/>
      </c>
      <c r="CM12" s="32" t="str">
        <f ca="1">IF($A12="","",IF(IF(CM$2&lt;=$A$1,1,0),IF(CM$4="休","",IF(COUNTIF(DATA!CN:CN,$A:$A)=0,"×","√")),""))</f>
        <v/>
      </c>
      <c r="CN12" s="32" t="str">
        <f ca="1">IF($A12="","",IF(IF(CN$2&lt;=$A$1,1,0),IF(CN$4="休","",IF(COUNTIF(DATA!CO:CO,$A:$A)=0,"×","√")),""))</f>
        <v/>
      </c>
      <c r="CO12" s="32" t="str">
        <f ca="1">IF($A12="","",IF(IF(CO$2&lt;=$A$1,1,0),IF(CO$4="休","",IF(COUNTIF(DATA!CP:CP,$A:$A)=0,"×","√")),""))</f>
        <v/>
      </c>
      <c r="CP12" s="32" t="str">
        <f ca="1">IF($A12="","",IF(IF(CP$2&lt;=$A$1,1,0),IF(CP$4="休","",IF(COUNTIF(DATA!CQ:CQ,$A:$A)=0,"×","√")),""))</f>
        <v/>
      </c>
      <c r="CQ12" s="32" t="str">
        <f ca="1">IF($A12="","",IF(IF(CQ$2&lt;=$A$1,1,0),IF(CQ$4="休","",IF(COUNTIF(DATA!CR:CR,$A:$A)=0,"×","√")),""))</f>
        <v/>
      </c>
      <c r="CR12" s="32" t="str">
        <f ca="1">IF($A12="","",IF(IF(CR$2&lt;=$A$1,1,0),IF(CR$4="休","",IF(COUNTIF(DATA!CS:CS,$A:$A)=0,"×","√")),""))</f>
        <v/>
      </c>
    </row>
    <row r="13" s="26" customFormat="1" ht="18.75" spans="1:96">
      <c r="A13" s="32" t="str">
        <f>DATA!$A12&amp;""</f>
        <v>黄锐</v>
      </c>
      <c r="B13" s="32" t="str">
        <f ca="1">IF($A13="","",IF(IF(B$2&lt;=$A$1,1,0),IF(B$4="休","",IF(COUNTIF(DATA!C:C,$A:$A)=0,"×","√")),""))</f>
        <v>√</v>
      </c>
      <c r="C13" s="32" t="str">
        <f ca="1">IF($A13="","",IF(IF(C$2&lt;=$A$1,1,0),IF(C$4="休","",IF(COUNTIF(DATA!D:D,$A:$A)=0,"×","√")),""))</f>
        <v>√</v>
      </c>
      <c r="D13" s="32" t="str">
        <f ca="1">IF($A13="","",IF(IF(D$2&lt;=$A$1,1,0),IF(D$4="休","",IF(COUNTIF(DATA!E:E,$A:$A)=0,"×","√")),""))</f>
        <v>√</v>
      </c>
      <c r="E13" s="32" t="str">
        <f ca="1">IF($A13="","",IF(IF(E$2&lt;=$A$1,1,0),IF(E$4="休","",IF(COUNTIF(DATA!F:F,$A:$A)=0,"×","√")),""))</f>
        <v>√</v>
      </c>
      <c r="F13" s="32" t="str">
        <f ca="1">IF($A13="","",IF(IF(F$2&lt;=$A$1,1,0),IF(F$4="休","",IF(COUNTIF(DATA!G:G,$A:$A)=0,"×","√")),""))</f>
        <v>√</v>
      </c>
      <c r="G13" s="32" t="str">
        <f ca="1">IF($A13="","",IF(IF(G$2&lt;=$A$1,1,0),IF(G$4="休","",IF(COUNTIF(DATA!H:H,$A:$A)=0,"×","√")),""))</f>
        <v>√</v>
      </c>
      <c r="H13" s="32" t="str">
        <f ca="1">IF($A13="","",IF(IF(H$2&lt;=$A$1,1,0),IF(H$4="休","",IF(COUNTIF(DATA!I:I,$A:$A)=0,"×","√")),""))</f>
        <v>√</v>
      </c>
      <c r="I13" s="32" t="str">
        <f ca="1">IF($A13="","",IF(IF(I$2&lt;=$A$1,1,0),IF(I$4="休","",IF(COUNTIF(DATA!J:J,$A:$A)=0,"×","√")),""))</f>
        <v>√</v>
      </c>
      <c r="J13" s="32" t="str">
        <f ca="1">IF($A13="","",IF(IF(J$2&lt;=$A$1,1,0),IF(J$4="休","",IF(COUNTIF(DATA!K:K,$A:$A)=0,"×","√")),""))</f>
        <v/>
      </c>
      <c r="K13" s="32" t="str">
        <f ca="1">IF($A13="","",IF(IF(K$2&lt;=$A$1,1,0),IF(K$4="休","",IF(COUNTIF(DATA!L:L,$A:$A)=0,"×","√")),""))</f>
        <v/>
      </c>
      <c r="L13" s="32" t="str">
        <f ca="1">IF($A13="","",IF(IF(L$2&lt;=$A$1,1,0),IF(L$4="休","",IF(COUNTIF(DATA!M:M,$A:$A)=0,"×","√")),""))</f>
        <v/>
      </c>
      <c r="M13" s="32" t="str">
        <f ca="1">IF($A13="","",IF(IF(M$2&lt;=$A$1,1,0),IF(M$4="休","",IF(COUNTIF(DATA!N:N,$A:$A)=0,"×","√")),""))</f>
        <v/>
      </c>
      <c r="N13" s="32" t="str">
        <f ca="1">IF($A13="","",IF(IF(N$2&lt;=$A$1,1,0),IF(N$4="休","",IF(COUNTIF(DATA!O:O,$A:$A)=0,"×","√")),""))</f>
        <v/>
      </c>
      <c r="O13" s="32" t="str">
        <f ca="1">IF($A13="","",IF(IF(O$2&lt;=$A$1,1,0),IF(O$4="休","",IF(COUNTIF(DATA!P:P,$A:$A)=0,"×","√")),""))</f>
        <v/>
      </c>
      <c r="P13" s="32" t="str">
        <f ca="1">IF($A13="","",IF(IF(P$2&lt;=$A$1,1,0),IF(P$4="休","",IF(COUNTIF(DATA!Q:Q,$A:$A)=0,"×","√")),""))</f>
        <v/>
      </c>
      <c r="Q13" s="32" t="str">
        <f ca="1">IF($A13="","",IF(IF(Q$2&lt;=$A$1,1,0),IF(Q$4="休","",IF(COUNTIF(DATA!R:R,$A:$A)=0,"×","√")),""))</f>
        <v/>
      </c>
      <c r="R13" s="32" t="str">
        <f ca="1">IF($A13="","",IF(IF(R$2&lt;=$A$1,1,0),IF(R$4="休","",IF(COUNTIF(DATA!S:S,$A:$A)=0,"×","√")),""))</f>
        <v/>
      </c>
      <c r="S13" s="32" t="str">
        <f ca="1">IF($A13="","",IF(IF(S$2&lt;=$A$1,1,0),IF(S$4="休","",IF(COUNTIF(DATA!T:T,$A:$A)=0,"×","√")),""))</f>
        <v/>
      </c>
      <c r="T13" s="32" t="str">
        <f ca="1">IF($A13="","",IF(IF(T$2&lt;=$A$1,1,0),IF(T$4="休","",IF(COUNTIF(DATA!U:U,$A:$A)=0,"×","√")),""))</f>
        <v/>
      </c>
      <c r="U13" s="32" t="str">
        <f ca="1">IF($A13="","",IF(IF(U$2&lt;=$A$1,1,0),IF(U$4="休","",IF(COUNTIF(DATA!V:V,$A:$A)=0,"×","√")),""))</f>
        <v/>
      </c>
      <c r="V13" s="32" t="str">
        <f ca="1">IF($A13="","",IF(IF(V$2&lt;=$A$1,1,0),IF(V$4="休","",IF(COUNTIF(DATA!W:W,$A:$A)=0,"×","√")),""))</f>
        <v/>
      </c>
      <c r="W13" s="32" t="str">
        <f ca="1">IF($A13="","",IF(IF(W$2&lt;=$A$1,1,0),IF(W$4="休","",IF(COUNTIF(DATA!X:X,$A:$A)=0,"×","√")),""))</f>
        <v/>
      </c>
      <c r="X13" s="32" t="str">
        <f ca="1">IF($A13="","",IF(IF(X$2&lt;=$A$1,1,0),IF(X$4="休","",IF(COUNTIF(DATA!Y:Y,$A:$A)=0,"×","√")),""))</f>
        <v/>
      </c>
      <c r="Y13" s="32" t="str">
        <f ca="1">IF($A13="","",IF(IF(Y$2&lt;=$A$1,1,0),IF(Y$4="休","",IF(COUNTIF(DATA!Z:Z,$A:$A)=0,"×","√")),""))</f>
        <v/>
      </c>
      <c r="Z13" s="32" t="str">
        <f ca="1">IF($A13="","",IF(IF(Z$2&lt;=$A$1,1,0),IF(Z$4="休","",IF(COUNTIF(DATA!AA:AA,$A:$A)=0,"×","√")),""))</f>
        <v/>
      </c>
      <c r="AA13" s="32" t="str">
        <f ca="1">IF($A13="","",IF(IF(AA$2&lt;=$A$1,1,0),IF(AA$4="休","",IF(COUNTIF(DATA!AB:AB,$A:$A)=0,"×","√")),""))</f>
        <v/>
      </c>
      <c r="AB13" s="32" t="str">
        <f ca="1">IF($A13="","",IF(IF(AB$2&lt;=$A$1,1,0),IF(AB$4="休","",IF(COUNTIF(DATA!AC:AC,$A:$A)=0,"×","√")),""))</f>
        <v/>
      </c>
      <c r="AC13" s="32" t="str">
        <f ca="1">IF($A13="","",IF(IF(AC$2&lt;=$A$1,1,0),IF(AC$4="休","",IF(COUNTIF(DATA!AD:AD,$A:$A)=0,"×","√")),""))</f>
        <v/>
      </c>
      <c r="AD13" s="32" t="str">
        <f ca="1">IF($A13="","",IF(IF(AD$2&lt;=$A$1,1,0),IF(AD$4="休","",IF(COUNTIF(DATA!AE:AE,$A:$A)=0,"×","√")),""))</f>
        <v/>
      </c>
      <c r="AE13" s="32" t="str">
        <f ca="1">IF($A13="","",IF(IF(AE$2&lt;=$A$1,1,0),IF(AE$4="休","",IF(COUNTIF(DATA!AF:AF,$A:$A)=0,"×","√")),""))</f>
        <v/>
      </c>
      <c r="AF13" s="32" t="str">
        <f ca="1">IF($A13="","",IF(IF(AF$2&lt;=$A$1,1,0),IF(AF$4="休","",IF(COUNTIF(DATA!AG:AG,$A:$A)=0,"×","√")),""))</f>
        <v/>
      </c>
      <c r="AG13" s="32" t="str">
        <f ca="1">IF($A13="","",IF(IF(AG$2&lt;=$A$1,1,0),IF(AG$4="休","",IF(COUNTIF(DATA!AH:AH,$A:$A)=0,"×","√")),""))</f>
        <v/>
      </c>
      <c r="AH13" s="32" t="str">
        <f ca="1">IF($A13="","",IF(IF(AH$2&lt;=$A$1,1,0),IF(AH$4="休","",IF(COUNTIF(DATA!AI:AI,$A:$A)=0,"×","√")),""))</f>
        <v/>
      </c>
      <c r="AI13" s="32" t="str">
        <f ca="1">IF($A13="","",IF(IF(AI$2&lt;=$A$1,1,0),IF(AI$4="休","",IF(COUNTIF(DATA!AJ:AJ,$A:$A)=0,"×","√")),""))</f>
        <v/>
      </c>
      <c r="AJ13" s="32" t="str">
        <f ca="1">IF($A13="","",IF(IF(AJ$2&lt;=$A$1,1,0),IF(AJ$4="休","",IF(COUNTIF(DATA!AK:AK,$A:$A)=0,"×","√")),""))</f>
        <v/>
      </c>
      <c r="AK13" s="32" t="str">
        <f ca="1">IF($A13="","",IF(IF(AK$2&lt;=$A$1,1,0),IF(AK$4="休","",IF(COUNTIF(DATA!AL:AL,$A:$A)=0,"×","√")),""))</f>
        <v/>
      </c>
      <c r="AL13" s="32" t="str">
        <f ca="1">IF($A13="","",IF(IF(AL$2&lt;=$A$1,1,0),IF(AL$4="休","",IF(COUNTIF(DATA!AM:AM,$A:$A)=0,"×","√")),""))</f>
        <v/>
      </c>
      <c r="AM13" s="32" t="str">
        <f ca="1">IF($A13="","",IF(IF(AM$2&lt;=$A$1,1,0),IF(AM$4="休","",IF(COUNTIF(DATA!AN:AN,$A:$A)=0,"×","√")),""))</f>
        <v/>
      </c>
      <c r="AN13" s="32" t="str">
        <f ca="1">IF($A13="","",IF(IF(AN$2&lt;=$A$1,1,0),IF(AN$4="休","",IF(COUNTIF(DATA!AO:AO,$A:$A)=0,"×","√")),""))</f>
        <v/>
      </c>
      <c r="AO13" s="32" t="str">
        <f ca="1">IF($A13="","",IF(IF(AO$2&lt;=$A$1,1,0),IF(AO$4="休","",IF(COUNTIF(DATA!AP:AP,$A:$A)=0,"×","√")),""))</f>
        <v/>
      </c>
      <c r="AP13" s="32" t="str">
        <f ca="1">IF($A13="","",IF(IF(AP$2&lt;=$A$1,1,0),IF(AP$4="休","",IF(COUNTIF(DATA!AQ:AQ,$A:$A)=0,"×","√")),""))</f>
        <v/>
      </c>
      <c r="AQ13" s="32" t="str">
        <f ca="1">IF($A13="","",IF(IF(AQ$2&lt;=$A$1,1,0),IF(AQ$4="休","",IF(COUNTIF(DATA!AR:AR,$A:$A)=0,"×","√")),""))</f>
        <v/>
      </c>
      <c r="AR13" s="32" t="str">
        <f ca="1">IF($A13="","",IF(IF(AR$2&lt;=$A$1,1,0),IF(AR$4="休","",IF(COUNTIF(DATA!AS:AS,$A:$A)=0,"×","√")),""))</f>
        <v/>
      </c>
      <c r="AS13" s="32" t="str">
        <f ca="1">IF($A13="","",IF(IF(AS$2&lt;=$A$1,1,0),IF(AS$4="休","",IF(COUNTIF(DATA!AT:AT,$A:$A)=0,"×","√")),""))</f>
        <v/>
      </c>
      <c r="AT13" s="32" t="str">
        <f ca="1">IF($A13="","",IF(IF(AT$2&lt;=$A$1,1,0),IF(AT$4="休","",IF(COUNTIF(DATA!AU:AU,$A:$A)=0,"×","√")),""))</f>
        <v/>
      </c>
      <c r="AU13" s="32" t="str">
        <f ca="1">IF($A13="","",IF(IF(AU$2&lt;=$A$1,1,0),IF(AU$4="休","",IF(COUNTIF(DATA!AV:AV,$A:$A)=0,"×","√")),""))</f>
        <v/>
      </c>
      <c r="AV13" s="32" t="str">
        <f ca="1">IF($A13="","",IF(IF(AV$2&lt;=$A$1,1,0),IF(AV$4="休","",IF(COUNTIF(DATA!AW:AW,$A:$A)=0,"×","√")),""))</f>
        <v/>
      </c>
      <c r="AW13" s="32" t="str">
        <f ca="1">IF($A13="","",IF(IF(AW$2&lt;=$A$1,1,0),IF(AW$4="休","",IF(COUNTIF(DATA!AX:AX,$A:$A)=0,"×","√")),""))</f>
        <v/>
      </c>
      <c r="AX13" s="32" t="str">
        <f ca="1">IF($A13="","",IF(IF(AX$2&lt;=$A$1,1,0),IF(AX$4="休","",IF(COUNTIF(DATA!AY:AY,$A:$A)=0,"×","√")),""))</f>
        <v/>
      </c>
      <c r="AY13" s="32" t="str">
        <f ca="1">IF($A13="","",IF(IF(AY$2&lt;=$A$1,1,0),IF(AY$4="休","",IF(COUNTIF(DATA!AZ:AZ,$A:$A)=0,"×","√")),""))</f>
        <v/>
      </c>
      <c r="AZ13" s="32" t="str">
        <f ca="1">IF($A13="","",IF(IF(AZ$2&lt;=$A$1,1,0),IF(AZ$4="休","",IF(COUNTIF(DATA!BA:BA,$A:$A)=0,"×","√")),""))</f>
        <v/>
      </c>
      <c r="BA13" s="32" t="str">
        <f ca="1">IF($A13="","",IF(IF(BA$2&lt;=$A$1,1,0),IF(BA$4="休","",IF(COUNTIF(DATA!BB:BB,$A:$A)=0,"×","√")),""))</f>
        <v/>
      </c>
      <c r="BB13" s="32" t="str">
        <f ca="1">IF($A13="","",IF(IF(BB$2&lt;=$A$1,1,0),IF(BB$4="休","",IF(COUNTIF(DATA!BC:BC,$A:$A)=0,"×","√")),""))</f>
        <v/>
      </c>
      <c r="BC13" s="32" t="str">
        <f ca="1">IF($A13="","",IF(IF(BC$2&lt;=$A$1,1,0),IF(BC$4="休","",IF(COUNTIF(DATA!BD:BD,$A:$A)=0,"×","√")),""))</f>
        <v/>
      </c>
      <c r="BD13" s="32" t="str">
        <f ca="1">IF($A13="","",IF(IF(BD$2&lt;=$A$1,1,0),IF(BD$4="休","",IF(COUNTIF(DATA!BE:BE,$A:$A)=0,"×","√")),""))</f>
        <v/>
      </c>
      <c r="BE13" s="32" t="str">
        <f ca="1">IF($A13="","",IF(IF(BE$2&lt;=$A$1,1,0),IF(BE$4="休","",IF(COUNTIF(DATA!BF:BF,$A:$A)=0,"×","√")),""))</f>
        <v/>
      </c>
      <c r="BF13" s="32" t="str">
        <f ca="1">IF($A13="","",IF(IF(BF$2&lt;=$A$1,1,0),IF(BF$4="休","",IF(COUNTIF(DATA!BG:BG,$A:$A)=0,"×","√")),""))</f>
        <v/>
      </c>
      <c r="BG13" s="32" t="str">
        <f ca="1">IF($A13="","",IF(IF(BG$2&lt;=$A$1,1,0),IF(BG$4="休","",IF(COUNTIF(DATA!BH:BH,$A:$A)=0,"×","√")),""))</f>
        <v/>
      </c>
      <c r="BH13" s="32" t="str">
        <f ca="1">IF($A13="","",IF(IF(BH$2&lt;=$A$1,1,0),IF(BH$4="休","",IF(COUNTIF(DATA!BI:BI,$A:$A)=0,"×","√")),""))</f>
        <v/>
      </c>
      <c r="BI13" s="32" t="str">
        <f ca="1">IF($A13="","",IF(IF(BI$2&lt;=$A$1,1,0),IF(BI$4="休","",IF(COUNTIF(DATA!BJ:BJ,$A:$A)=0,"×","√")),""))</f>
        <v/>
      </c>
      <c r="BJ13" s="32" t="str">
        <f ca="1">IF($A13="","",IF(IF(BJ$2&lt;=$A$1,1,0),IF(BJ$4="休","",IF(COUNTIF(DATA!BK:BK,$A:$A)=0,"×","√")),""))</f>
        <v/>
      </c>
      <c r="BK13" s="32" t="str">
        <f ca="1">IF($A13="","",IF(IF(BK$2&lt;=$A$1,1,0),IF(BK$4="休","",IF(COUNTIF(DATA!BL:BL,$A:$A)=0,"×","√")),""))</f>
        <v/>
      </c>
      <c r="BL13" s="32" t="str">
        <f ca="1">IF($A13="","",IF(IF(BL$2&lt;=$A$1,1,0),IF(BL$4="休","",IF(COUNTIF(DATA!BM:BM,$A:$A)=0,"×","√")),""))</f>
        <v/>
      </c>
      <c r="BM13" s="32" t="str">
        <f ca="1">IF($A13="","",IF(IF(BM$2&lt;=$A$1,1,0),IF(BM$4="休","",IF(COUNTIF(DATA!BN:BN,$A:$A)=0,"×","√")),""))</f>
        <v/>
      </c>
      <c r="BN13" s="32" t="str">
        <f ca="1">IF($A13="","",IF(IF(BN$2&lt;=$A$1,1,0),IF(BN$4="休","",IF(COUNTIF(DATA!BO:BO,$A:$A)=0,"×","√")),""))</f>
        <v/>
      </c>
      <c r="BO13" s="32" t="str">
        <f ca="1">IF($A13="","",IF(IF(BO$2&lt;=$A$1,1,0),IF(BO$4="休","",IF(COUNTIF(DATA!BP:BP,$A:$A)=0,"×","√")),""))</f>
        <v/>
      </c>
      <c r="BP13" s="32" t="str">
        <f ca="1">IF($A13="","",IF(IF(BP$2&lt;=$A$1,1,0),IF(BP$4="休","",IF(COUNTIF(DATA!BQ:BQ,$A:$A)=0,"×","√")),""))</f>
        <v/>
      </c>
      <c r="BQ13" s="32" t="str">
        <f ca="1">IF($A13="","",IF(IF(BQ$2&lt;=$A$1,1,0),IF(BQ$4="休","",IF(COUNTIF(DATA!BR:BR,$A:$A)=0,"×","√")),""))</f>
        <v/>
      </c>
      <c r="BR13" s="32" t="str">
        <f ca="1">IF($A13="","",IF(IF(BR$2&lt;=$A$1,1,0),IF(BR$4="休","",IF(COUNTIF(DATA!BS:BS,$A:$A)=0,"×","√")),""))</f>
        <v/>
      </c>
      <c r="BS13" s="32" t="str">
        <f ca="1">IF($A13="","",IF(IF(BS$2&lt;=$A$1,1,0),IF(BS$4="休","",IF(COUNTIF(DATA!BT:BT,$A:$A)=0,"×","√")),""))</f>
        <v/>
      </c>
      <c r="BT13" s="32" t="str">
        <f ca="1">IF($A13="","",IF(IF(BT$2&lt;=$A$1,1,0),IF(BT$4="休","",IF(COUNTIF(DATA!BU:BU,$A:$A)=0,"×","√")),""))</f>
        <v/>
      </c>
      <c r="BU13" s="32" t="str">
        <f ca="1">IF($A13="","",IF(IF(BU$2&lt;=$A$1,1,0),IF(BU$4="休","",IF(COUNTIF(DATA!BV:BV,$A:$A)=0,"×","√")),""))</f>
        <v/>
      </c>
      <c r="BV13" s="32" t="str">
        <f ca="1">IF($A13="","",IF(IF(BV$2&lt;=$A$1,1,0),IF(BV$4="休","",IF(COUNTIF(DATA!BW:BW,$A:$A)=0,"×","√")),""))</f>
        <v/>
      </c>
      <c r="BW13" s="32" t="str">
        <f ca="1">IF($A13="","",IF(IF(BW$2&lt;=$A$1,1,0),IF(BW$4="休","",IF(COUNTIF(DATA!BX:BX,$A:$A)=0,"×","√")),""))</f>
        <v/>
      </c>
      <c r="BX13" s="32" t="str">
        <f ca="1">IF($A13="","",IF(IF(BX$2&lt;=$A$1,1,0),IF(BX$4="休","",IF(COUNTIF(DATA!BY:BY,$A:$A)=0,"×","√")),""))</f>
        <v/>
      </c>
      <c r="BY13" s="32" t="str">
        <f ca="1">IF($A13="","",IF(IF(BY$2&lt;=$A$1,1,0),IF(BY$4="休","",IF(COUNTIF(DATA!BZ:BZ,$A:$A)=0,"×","√")),""))</f>
        <v/>
      </c>
      <c r="BZ13" s="32" t="str">
        <f ca="1">IF($A13="","",IF(IF(BZ$2&lt;=$A$1,1,0),IF(BZ$4="休","",IF(COUNTIF(DATA!CA:CA,$A:$A)=0,"×","√")),""))</f>
        <v/>
      </c>
      <c r="CA13" s="32" t="str">
        <f ca="1">IF($A13="","",IF(IF(CA$2&lt;=$A$1,1,0),IF(CA$4="休","",IF(COUNTIF(DATA!CB:CB,$A:$A)=0,"×","√")),""))</f>
        <v/>
      </c>
      <c r="CB13" s="32" t="str">
        <f ca="1">IF($A13="","",IF(IF(CB$2&lt;=$A$1,1,0),IF(CB$4="休","",IF(COUNTIF(DATA!CC:CC,$A:$A)=0,"×","√")),""))</f>
        <v/>
      </c>
      <c r="CC13" s="32" t="str">
        <f ca="1">IF($A13="","",IF(IF(CC$2&lt;=$A$1,1,0),IF(CC$4="休","",IF(COUNTIF(DATA!CD:CD,$A:$A)=0,"×","√")),""))</f>
        <v/>
      </c>
      <c r="CD13" s="32" t="str">
        <f ca="1">IF($A13="","",IF(IF(CD$2&lt;=$A$1,1,0),IF(CD$4="休","",IF(COUNTIF(DATA!CE:CE,$A:$A)=0,"×","√")),""))</f>
        <v/>
      </c>
      <c r="CE13" s="32" t="str">
        <f ca="1">IF($A13="","",IF(IF(CE$2&lt;=$A$1,1,0),IF(CE$4="休","",IF(COUNTIF(DATA!CF:CF,$A:$A)=0,"×","√")),""))</f>
        <v/>
      </c>
      <c r="CF13" s="32" t="str">
        <f ca="1">IF($A13="","",IF(IF(CF$2&lt;=$A$1,1,0),IF(CF$4="休","",IF(COUNTIF(DATA!CG:CG,$A:$A)=0,"×","√")),""))</f>
        <v/>
      </c>
      <c r="CG13" s="32" t="str">
        <f ca="1">IF($A13="","",IF(IF(CG$2&lt;=$A$1,1,0),IF(CG$4="休","",IF(COUNTIF(DATA!CH:CH,$A:$A)=0,"×","√")),""))</f>
        <v/>
      </c>
      <c r="CH13" s="32" t="str">
        <f ca="1">IF($A13="","",IF(IF(CH$2&lt;=$A$1,1,0),IF(CH$4="休","",IF(COUNTIF(DATA!CI:CI,$A:$A)=0,"×","√")),""))</f>
        <v/>
      </c>
      <c r="CI13" s="32" t="str">
        <f ca="1">IF($A13="","",IF(IF(CI$2&lt;=$A$1,1,0),IF(CI$4="休","",IF(COUNTIF(DATA!CJ:CJ,$A:$A)=0,"×","√")),""))</f>
        <v/>
      </c>
      <c r="CJ13" s="32" t="str">
        <f ca="1">IF($A13="","",IF(IF(CJ$2&lt;=$A$1,1,0),IF(CJ$4="休","",IF(COUNTIF(DATA!CK:CK,$A:$A)=0,"×","√")),""))</f>
        <v/>
      </c>
      <c r="CK13" s="32" t="str">
        <f ca="1">IF($A13="","",IF(IF(CK$2&lt;=$A$1,1,0),IF(CK$4="休","",IF(COUNTIF(DATA!CL:CL,$A:$A)=0,"×","√")),""))</f>
        <v/>
      </c>
      <c r="CL13" s="32" t="str">
        <f ca="1">IF($A13="","",IF(IF(CL$2&lt;=$A$1,1,0),IF(CL$4="休","",IF(COUNTIF(DATA!CM:CM,$A:$A)=0,"×","√")),""))</f>
        <v/>
      </c>
      <c r="CM13" s="32" t="str">
        <f ca="1">IF($A13="","",IF(IF(CM$2&lt;=$A$1,1,0),IF(CM$4="休","",IF(COUNTIF(DATA!CN:CN,$A:$A)=0,"×","√")),""))</f>
        <v/>
      </c>
      <c r="CN13" s="32" t="str">
        <f ca="1">IF($A13="","",IF(IF(CN$2&lt;=$A$1,1,0),IF(CN$4="休","",IF(COUNTIF(DATA!CO:CO,$A:$A)=0,"×","√")),""))</f>
        <v/>
      </c>
      <c r="CO13" s="32" t="str">
        <f ca="1">IF($A13="","",IF(IF(CO$2&lt;=$A$1,1,0),IF(CO$4="休","",IF(COUNTIF(DATA!CP:CP,$A:$A)=0,"×","√")),""))</f>
        <v/>
      </c>
      <c r="CP13" s="32" t="str">
        <f ca="1">IF($A13="","",IF(IF(CP$2&lt;=$A$1,1,0),IF(CP$4="休","",IF(COUNTIF(DATA!CQ:CQ,$A:$A)=0,"×","√")),""))</f>
        <v/>
      </c>
      <c r="CQ13" s="32" t="str">
        <f ca="1">IF($A13="","",IF(IF(CQ$2&lt;=$A$1,1,0),IF(CQ$4="休","",IF(COUNTIF(DATA!CR:CR,$A:$A)=0,"×","√")),""))</f>
        <v/>
      </c>
      <c r="CR13" s="32" t="str">
        <f ca="1">IF($A13="","",IF(IF(CR$2&lt;=$A$1,1,0),IF(CR$4="休","",IF(COUNTIF(DATA!CS:CS,$A:$A)=0,"×","√")),""))</f>
        <v/>
      </c>
    </row>
    <row r="14" s="26" customFormat="1" ht="18.75" spans="1:96">
      <c r="A14" s="32" t="str">
        <f>DATA!$A13&amp;""</f>
        <v>李文霞</v>
      </c>
      <c r="B14" s="32" t="str">
        <f ca="1">IF($A14="","",IF(IF(B$2&lt;=$A$1,1,0),IF(B$4="休","",IF(COUNTIF(DATA!C:C,$A:$A)=0,"×","√")),""))</f>
        <v>√</v>
      </c>
      <c r="C14" s="32" t="str">
        <f ca="1">IF($A14="","",IF(IF(C$2&lt;=$A$1,1,0),IF(C$4="休","",IF(COUNTIF(DATA!D:D,$A:$A)=0,"×","√")),""))</f>
        <v>√</v>
      </c>
      <c r="D14" s="32" t="str">
        <f ca="1">IF($A14="","",IF(IF(D$2&lt;=$A$1,1,0),IF(D$4="休","",IF(COUNTIF(DATA!E:E,$A:$A)=0,"×","√")),""))</f>
        <v>√</v>
      </c>
      <c r="E14" s="32" t="str">
        <f ca="1">IF($A14="","",IF(IF(E$2&lt;=$A$1,1,0),IF(E$4="休","",IF(COUNTIF(DATA!F:F,$A:$A)=0,"×","√")),""))</f>
        <v>√</v>
      </c>
      <c r="F14" s="32" t="str">
        <f ca="1">IF($A14="","",IF(IF(F$2&lt;=$A$1,1,0),IF(F$4="休","",IF(COUNTIF(DATA!G:G,$A:$A)=0,"×","√")),""))</f>
        <v>√</v>
      </c>
      <c r="G14" s="32" t="str">
        <f ca="1">IF($A14="","",IF(IF(G$2&lt;=$A$1,1,0),IF(G$4="休","",IF(COUNTIF(DATA!H:H,$A:$A)=0,"×","√")),""))</f>
        <v>√</v>
      </c>
      <c r="H14" s="32" t="str">
        <f ca="1">IF($A14="","",IF(IF(H$2&lt;=$A$1,1,0),IF(H$4="休","",IF(COUNTIF(DATA!I:I,$A:$A)=0,"×","√")),""))</f>
        <v>√</v>
      </c>
      <c r="I14" s="32" t="str">
        <f ca="1">IF($A14="","",IF(IF(I$2&lt;=$A$1,1,0),IF(I$4="休","",IF(COUNTIF(DATA!J:J,$A:$A)=0,"×","√")),""))</f>
        <v>√</v>
      </c>
      <c r="J14" s="32" t="str">
        <f ca="1">IF($A14="","",IF(IF(J$2&lt;=$A$1,1,0),IF(J$4="休","",IF(COUNTIF(DATA!K:K,$A:$A)=0,"×","√")),""))</f>
        <v/>
      </c>
      <c r="K14" s="32" t="str">
        <f ca="1">IF($A14="","",IF(IF(K$2&lt;=$A$1,1,0),IF(K$4="休","",IF(COUNTIF(DATA!L:L,$A:$A)=0,"×","√")),""))</f>
        <v/>
      </c>
      <c r="L14" s="32" t="str">
        <f ca="1">IF($A14="","",IF(IF(L$2&lt;=$A$1,1,0),IF(L$4="休","",IF(COUNTIF(DATA!M:M,$A:$A)=0,"×","√")),""))</f>
        <v/>
      </c>
      <c r="M14" s="32" t="str">
        <f ca="1">IF($A14="","",IF(IF(M$2&lt;=$A$1,1,0),IF(M$4="休","",IF(COUNTIF(DATA!N:N,$A:$A)=0,"×","√")),""))</f>
        <v/>
      </c>
      <c r="N14" s="32" t="str">
        <f ca="1">IF($A14="","",IF(IF(N$2&lt;=$A$1,1,0),IF(N$4="休","",IF(COUNTIF(DATA!O:O,$A:$A)=0,"×","√")),""))</f>
        <v/>
      </c>
      <c r="O14" s="32" t="str">
        <f ca="1">IF($A14="","",IF(IF(O$2&lt;=$A$1,1,0),IF(O$4="休","",IF(COUNTIF(DATA!P:P,$A:$A)=0,"×","√")),""))</f>
        <v/>
      </c>
      <c r="P14" s="32" t="str">
        <f ca="1">IF($A14="","",IF(IF(P$2&lt;=$A$1,1,0),IF(P$4="休","",IF(COUNTIF(DATA!Q:Q,$A:$A)=0,"×","√")),""))</f>
        <v/>
      </c>
      <c r="Q14" s="32" t="str">
        <f ca="1">IF($A14="","",IF(IF(Q$2&lt;=$A$1,1,0),IF(Q$4="休","",IF(COUNTIF(DATA!R:R,$A:$A)=0,"×","√")),""))</f>
        <v/>
      </c>
      <c r="R14" s="32" t="str">
        <f ca="1">IF($A14="","",IF(IF(R$2&lt;=$A$1,1,0),IF(R$4="休","",IF(COUNTIF(DATA!S:S,$A:$A)=0,"×","√")),""))</f>
        <v/>
      </c>
      <c r="S14" s="32" t="str">
        <f ca="1">IF($A14="","",IF(IF(S$2&lt;=$A$1,1,0),IF(S$4="休","",IF(COUNTIF(DATA!T:T,$A:$A)=0,"×","√")),""))</f>
        <v/>
      </c>
      <c r="T14" s="32" t="str">
        <f ca="1">IF($A14="","",IF(IF(T$2&lt;=$A$1,1,0),IF(T$4="休","",IF(COUNTIF(DATA!U:U,$A:$A)=0,"×","√")),""))</f>
        <v/>
      </c>
      <c r="U14" s="32" t="str">
        <f ca="1">IF($A14="","",IF(IF(U$2&lt;=$A$1,1,0),IF(U$4="休","",IF(COUNTIF(DATA!V:V,$A:$A)=0,"×","√")),""))</f>
        <v/>
      </c>
      <c r="V14" s="32" t="str">
        <f ca="1">IF($A14="","",IF(IF(V$2&lt;=$A$1,1,0),IF(V$4="休","",IF(COUNTIF(DATA!W:W,$A:$A)=0,"×","√")),""))</f>
        <v/>
      </c>
      <c r="W14" s="32" t="str">
        <f ca="1">IF($A14="","",IF(IF(W$2&lt;=$A$1,1,0),IF(W$4="休","",IF(COUNTIF(DATA!X:X,$A:$A)=0,"×","√")),""))</f>
        <v/>
      </c>
      <c r="X14" s="32" t="str">
        <f ca="1">IF($A14="","",IF(IF(X$2&lt;=$A$1,1,0),IF(X$4="休","",IF(COUNTIF(DATA!Y:Y,$A:$A)=0,"×","√")),""))</f>
        <v/>
      </c>
      <c r="Y14" s="32" t="str">
        <f ca="1">IF($A14="","",IF(IF(Y$2&lt;=$A$1,1,0),IF(Y$4="休","",IF(COUNTIF(DATA!Z:Z,$A:$A)=0,"×","√")),""))</f>
        <v/>
      </c>
      <c r="Z14" s="32" t="str">
        <f ca="1">IF($A14="","",IF(IF(Z$2&lt;=$A$1,1,0),IF(Z$4="休","",IF(COUNTIF(DATA!AA:AA,$A:$A)=0,"×","√")),""))</f>
        <v/>
      </c>
      <c r="AA14" s="32" t="str">
        <f ca="1">IF($A14="","",IF(IF(AA$2&lt;=$A$1,1,0),IF(AA$4="休","",IF(COUNTIF(DATA!AB:AB,$A:$A)=0,"×","√")),""))</f>
        <v/>
      </c>
      <c r="AB14" s="32" t="str">
        <f ca="1">IF($A14="","",IF(IF(AB$2&lt;=$A$1,1,0),IF(AB$4="休","",IF(COUNTIF(DATA!AC:AC,$A:$A)=0,"×","√")),""))</f>
        <v/>
      </c>
      <c r="AC14" s="32" t="str">
        <f ca="1">IF($A14="","",IF(IF(AC$2&lt;=$A$1,1,0),IF(AC$4="休","",IF(COUNTIF(DATA!AD:AD,$A:$A)=0,"×","√")),""))</f>
        <v/>
      </c>
      <c r="AD14" s="32" t="str">
        <f ca="1">IF($A14="","",IF(IF(AD$2&lt;=$A$1,1,0),IF(AD$4="休","",IF(COUNTIF(DATA!AE:AE,$A:$A)=0,"×","√")),""))</f>
        <v/>
      </c>
      <c r="AE14" s="32" t="str">
        <f ca="1">IF($A14="","",IF(IF(AE$2&lt;=$A$1,1,0),IF(AE$4="休","",IF(COUNTIF(DATA!AF:AF,$A:$A)=0,"×","√")),""))</f>
        <v/>
      </c>
      <c r="AF14" s="32" t="str">
        <f ca="1">IF($A14="","",IF(IF(AF$2&lt;=$A$1,1,0),IF(AF$4="休","",IF(COUNTIF(DATA!AG:AG,$A:$A)=0,"×","√")),""))</f>
        <v/>
      </c>
      <c r="AG14" s="32" t="str">
        <f ca="1">IF($A14="","",IF(IF(AG$2&lt;=$A$1,1,0),IF(AG$4="休","",IF(COUNTIF(DATA!AH:AH,$A:$A)=0,"×","√")),""))</f>
        <v/>
      </c>
      <c r="AH14" s="32" t="str">
        <f ca="1">IF($A14="","",IF(IF(AH$2&lt;=$A$1,1,0),IF(AH$4="休","",IF(COUNTIF(DATA!AI:AI,$A:$A)=0,"×","√")),""))</f>
        <v/>
      </c>
      <c r="AI14" s="32" t="str">
        <f ca="1">IF($A14="","",IF(IF(AI$2&lt;=$A$1,1,0),IF(AI$4="休","",IF(COUNTIF(DATA!AJ:AJ,$A:$A)=0,"×","√")),""))</f>
        <v/>
      </c>
      <c r="AJ14" s="32" t="str">
        <f ca="1">IF($A14="","",IF(IF(AJ$2&lt;=$A$1,1,0),IF(AJ$4="休","",IF(COUNTIF(DATA!AK:AK,$A:$A)=0,"×","√")),""))</f>
        <v/>
      </c>
      <c r="AK14" s="32" t="str">
        <f ca="1">IF($A14="","",IF(IF(AK$2&lt;=$A$1,1,0),IF(AK$4="休","",IF(COUNTIF(DATA!AL:AL,$A:$A)=0,"×","√")),""))</f>
        <v/>
      </c>
      <c r="AL14" s="32" t="str">
        <f ca="1">IF($A14="","",IF(IF(AL$2&lt;=$A$1,1,0),IF(AL$4="休","",IF(COUNTIF(DATA!AM:AM,$A:$A)=0,"×","√")),""))</f>
        <v/>
      </c>
      <c r="AM14" s="32" t="str">
        <f ca="1">IF($A14="","",IF(IF(AM$2&lt;=$A$1,1,0),IF(AM$4="休","",IF(COUNTIF(DATA!AN:AN,$A:$A)=0,"×","√")),""))</f>
        <v/>
      </c>
      <c r="AN14" s="32" t="str">
        <f ca="1">IF($A14="","",IF(IF(AN$2&lt;=$A$1,1,0),IF(AN$4="休","",IF(COUNTIF(DATA!AO:AO,$A:$A)=0,"×","√")),""))</f>
        <v/>
      </c>
      <c r="AO14" s="32" t="str">
        <f ca="1">IF($A14="","",IF(IF(AO$2&lt;=$A$1,1,0),IF(AO$4="休","",IF(COUNTIF(DATA!AP:AP,$A:$A)=0,"×","√")),""))</f>
        <v/>
      </c>
      <c r="AP14" s="32" t="str">
        <f ca="1">IF($A14="","",IF(IF(AP$2&lt;=$A$1,1,0),IF(AP$4="休","",IF(COUNTIF(DATA!AQ:AQ,$A:$A)=0,"×","√")),""))</f>
        <v/>
      </c>
      <c r="AQ14" s="32" t="str">
        <f ca="1">IF($A14="","",IF(IF(AQ$2&lt;=$A$1,1,0),IF(AQ$4="休","",IF(COUNTIF(DATA!AR:AR,$A:$A)=0,"×","√")),""))</f>
        <v/>
      </c>
      <c r="AR14" s="32" t="str">
        <f ca="1">IF($A14="","",IF(IF(AR$2&lt;=$A$1,1,0),IF(AR$4="休","",IF(COUNTIF(DATA!AS:AS,$A:$A)=0,"×","√")),""))</f>
        <v/>
      </c>
      <c r="AS14" s="32" t="str">
        <f ca="1">IF($A14="","",IF(IF(AS$2&lt;=$A$1,1,0),IF(AS$4="休","",IF(COUNTIF(DATA!AT:AT,$A:$A)=0,"×","√")),""))</f>
        <v/>
      </c>
      <c r="AT14" s="32" t="str">
        <f ca="1">IF($A14="","",IF(IF(AT$2&lt;=$A$1,1,0),IF(AT$4="休","",IF(COUNTIF(DATA!AU:AU,$A:$A)=0,"×","√")),""))</f>
        <v/>
      </c>
      <c r="AU14" s="32" t="str">
        <f ca="1">IF($A14="","",IF(IF(AU$2&lt;=$A$1,1,0),IF(AU$4="休","",IF(COUNTIF(DATA!AV:AV,$A:$A)=0,"×","√")),""))</f>
        <v/>
      </c>
      <c r="AV14" s="32" t="str">
        <f ca="1">IF($A14="","",IF(IF(AV$2&lt;=$A$1,1,0),IF(AV$4="休","",IF(COUNTIF(DATA!AW:AW,$A:$A)=0,"×","√")),""))</f>
        <v/>
      </c>
      <c r="AW14" s="32" t="str">
        <f ca="1">IF($A14="","",IF(IF(AW$2&lt;=$A$1,1,0),IF(AW$4="休","",IF(COUNTIF(DATA!AX:AX,$A:$A)=0,"×","√")),""))</f>
        <v/>
      </c>
      <c r="AX14" s="32" t="str">
        <f ca="1">IF($A14="","",IF(IF(AX$2&lt;=$A$1,1,0),IF(AX$4="休","",IF(COUNTIF(DATA!AY:AY,$A:$A)=0,"×","√")),""))</f>
        <v/>
      </c>
      <c r="AY14" s="32" t="str">
        <f ca="1">IF($A14="","",IF(IF(AY$2&lt;=$A$1,1,0),IF(AY$4="休","",IF(COUNTIF(DATA!AZ:AZ,$A:$A)=0,"×","√")),""))</f>
        <v/>
      </c>
      <c r="AZ14" s="32" t="str">
        <f ca="1">IF($A14="","",IF(IF(AZ$2&lt;=$A$1,1,0),IF(AZ$4="休","",IF(COUNTIF(DATA!BA:BA,$A:$A)=0,"×","√")),""))</f>
        <v/>
      </c>
      <c r="BA14" s="32" t="str">
        <f ca="1">IF($A14="","",IF(IF(BA$2&lt;=$A$1,1,0),IF(BA$4="休","",IF(COUNTIF(DATA!BB:BB,$A:$A)=0,"×","√")),""))</f>
        <v/>
      </c>
      <c r="BB14" s="32" t="str">
        <f ca="1">IF($A14="","",IF(IF(BB$2&lt;=$A$1,1,0),IF(BB$4="休","",IF(COUNTIF(DATA!BC:BC,$A:$A)=0,"×","√")),""))</f>
        <v/>
      </c>
      <c r="BC14" s="32" t="str">
        <f ca="1">IF($A14="","",IF(IF(BC$2&lt;=$A$1,1,0),IF(BC$4="休","",IF(COUNTIF(DATA!BD:BD,$A:$A)=0,"×","√")),""))</f>
        <v/>
      </c>
      <c r="BD14" s="32" t="str">
        <f ca="1">IF($A14="","",IF(IF(BD$2&lt;=$A$1,1,0),IF(BD$4="休","",IF(COUNTIF(DATA!BE:BE,$A:$A)=0,"×","√")),""))</f>
        <v/>
      </c>
      <c r="BE14" s="32" t="str">
        <f ca="1">IF($A14="","",IF(IF(BE$2&lt;=$A$1,1,0),IF(BE$4="休","",IF(COUNTIF(DATA!BF:BF,$A:$A)=0,"×","√")),""))</f>
        <v/>
      </c>
      <c r="BF14" s="32" t="str">
        <f ca="1">IF($A14="","",IF(IF(BF$2&lt;=$A$1,1,0),IF(BF$4="休","",IF(COUNTIF(DATA!BG:BG,$A:$A)=0,"×","√")),""))</f>
        <v/>
      </c>
      <c r="BG14" s="32" t="str">
        <f ca="1">IF($A14="","",IF(IF(BG$2&lt;=$A$1,1,0),IF(BG$4="休","",IF(COUNTIF(DATA!BH:BH,$A:$A)=0,"×","√")),""))</f>
        <v/>
      </c>
      <c r="BH14" s="32" t="str">
        <f ca="1">IF($A14="","",IF(IF(BH$2&lt;=$A$1,1,0),IF(BH$4="休","",IF(COUNTIF(DATA!BI:BI,$A:$A)=0,"×","√")),""))</f>
        <v/>
      </c>
      <c r="BI14" s="32" t="str">
        <f ca="1">IF($A14="","",IF(IF(BI$2&lt;=$A$1,1,0),IF(BI$4="休","",IF(COUNTIF(DATA!BJ:BJ,$A:$A)=0,"×","√")),""))</f>
        <v/>
      </c>
      <c r="BJ14" s="32" t="str">
        <f ca="1">IF($A14="","",IF(IF(BJ$2&lt;=$A$1,1,0),IF(BJ$4="休","",IF(COUNTIF(DATA!BK:BK,$A:$A)=0,"×","√")),""))</f>
        <v/>
      </c>
      <c r="BK14" s="32" t="str">
        <f ca="1">IF($A14="","",IF(IF(BK$2&lt;=$A$1,1,0),IF(BK$4="休","",IF(COUNTIF(DATA!BL:BL,$A:$A)=0,"×","√")),""))</f>
        <v/>
      </c>
      <c r="BL14" s="32" t="str">
        <f ca="1">IF($A14="","",IF(IF(BL$2&lt;=$A$1,1,0),IF(BL$4="休","",IF(COUNTIF(DATA!BM:BM,$A:$A)=0,"×","√")),""))</f>
        <v/>
      </c>
      <c r="BM14" s="32" t="str">
        <f ca="1">IF($A14="","",IF(IF(BM$2&lt;=$A$1,1,0),IF(BM$4="休","",IF(COUNTIF(DATA!BN:BN,$A:$A)=0,"×","√")),""))</f>
        <v/>
      </c>
      <c r="BN14" s="32" t="str">
        <f ca="1">IF($A14="","",IF(IF(BN$2&lt;=$A$1,1,0),IF(BN$4="休","",IF(COUNTIF(DATA!BO:BO,$A:$A)=0,"×","√")),""))</f>
        <v/>
      </c>
      <c r="BO14" s="32" t="str">
        <f ca="1">IF($A14="","",IF(IF(BO$2&lt;=$A$1,1,0),IF(BO$4="休","",IF(COUNTIF(DATA!BP:BP,$A:$A)=0,"×","√")),""))</f>
        <v/>
      </c>
      <c r="BP14" s="32" t="str">
        <f ca="1">IF($A14="","",IF(IF(BP$2&lt;=$A$1,1,0),IF(BP$4="休","",IF(COUNTIF(DATA!BQ:BQ,$A:$A)=0,"×","√")),""))</f>
        <v/>
      </c>
      <c r="BQ14" s="32" t="str">
        <f ca="1">IF($A14="","",IF(IF(BQ$2&lt;=$A$1,1,0),IF(BQ$4="休","",IF(COUNTIF(DATA!BR:BR,$A:$A)=0,"×","√")),""))</f>
        <v/>
      </c>
      <c r="BR14" s="32" t="str">
        <f ca="1">IF($A14="","",IF(IF(BR$2&lt;=$A$1,1,0),IF(BR$4="休","",IF(COUNTIF(DATA!BS:BS,$A:$A)=0,"×","√")),""))</f>
        <v/>
      </c>
      <c r="BS14" s="32" t="str">
        <f ca="1">IF($A14="","",IF(IF(BS$2&lt;=$A$1,1,0),IF(BS$4="休","",IF(COUNTIF(DATA!BT:BT,$A:$A)=0,"×","√")),""))</f>
        <v/>
      </c>
      <c r="BT14" s="32" t="str">
        <f ca="1">IF($A14="","",IF(IF(BT$2&lt;=$A$1,1,0),IF(BT$4="休","",IF(COUNTIF(DATA!BU:BU,$A:$A)=0,"×","√")),""))</f>
        <v/>
      </c>
      <c r="BU14" s="32" t="str">
        <f ca="1">IF($A14="","",IF(IF(BU$2&lt;=$A$1,1,0),IF(BU$4="休","",IF(COUNTIF(DATA!BV:BV,$A:$A)=0,"×","√")),""))</f>
        <v/>
      </c>
      <c r="BV14" s="32" t="str">
        <f ca="1">IF($A14="","",IF(IF(BV$2&lt;=$A$1,1,0),IF(BV$4="休","",IF(COUNTIF(DATA!BW:BW,$A:$A)=0,"×","√")),""))</f>
        <v/>
      </c>
      <c r="BW14" s="32" t="str">
        <f ca="1">IF($A14="","",IF(IF(BW$2&lt;=$A$1,1,0),IF(BW$4="休","",IF(COUNTIF(DATA!BX:BX,$A:$A)=0,"×","√")),""))</f>
        <v/>
      </c>
      <c r="BX14" s="32" t="str">
        <f ca="1">IF($A14="","",IF(IF(BX$2&lt;=$A$1,1,0),IF(BX$4="休","",IF(COUNTIF(DATA!BY:BY,$A:$A)=0,"×","√")),""))</f>
        <v/>
      </c>
      <c r="BY14" s="32" t="str">
        <f ca="1">IF($A14="","",IF(IF(BY$2&lt;=$A$1,1,0),IF(BY$4="休","",IF(COUNTIF(DATA!BZ:BZ,$A:$A)=0,"×","√")),""))</f>
        <v/>
      </c>
      <c r="BZ14" s="32" t="str">
        <f ca="1">IF($A14="","",IF(IF(BZ$2&lt;=$A$1,1,0),IF(BZ$4="休","",IF(COUNTIF(DATA!CA:CA,$A:$A)=0,"×","√")),""))</f>
        <v/>
      </c>
      <c r="CA14" s="32" t="str">
        <f ca="1">IF($A14="","",IF(IF(CA$2&lt;=$A$1,1,0),IF(CA$4="休","",IF(COUNTIF(DATA!CB:CB,$A:$A)=0,"×","√")),""))</f>
        <v/>
      </c>
      <c r="CB14" s="32" t="str">
        <f ca="1">IF($A14="","",IF(IF(CB$2&lt;=$A$1,1,0),IF(CB$4="休","",IF(COUNTIF(DATA!CC:CC,$A:$A)=0,"×","√")),""))</f>
        <v/>
      </c>
      <c r="CC14" s="32" t="str">
        <f ca="1">IF($A14="","",IF(IF(CC$2&lt;=$A$1,1,0),IF(CC$4="休","",IF(COUNTIF(DATA!CD:CD,$A:$A)=0,"×","√")),""))</f>
        <v/>
      </c>
      <c r="CD14" s="32" t="str">
        <f ca="1">IF($A14="","",IF(IF(CD$2&lt;=$A$1,1,0),IF(CD$4="休","",IF(COUNTIF(DATA!CE:CE,$A:$A)=0,"×","√")),""))</f>
        <v/>
      </c>
      <c r="CE14" s="32" t="str">
        <f ca="1">IF($A14="","",IF(IF(CE$2&lt;=$A$1,1,0),IF(CE$4="休","",IF(COUNTIF(DATA!CF:CF,$A:$A)=0,"×","√")),""))</f>
        <v/>
      </c>
      <c r="CF14" s="32" t="str">
        <f ca="1">IF($A14="","",IF(IF(CF$2&lt;=$A$1,1,0),IF(CF$4="休","",IF(COUNTIF(DATA!CG:CG,$A:$A)=0,"×","√")),""))</f>
        <v/>
      </c>
      <c r="CG14" s="32" t="str">
        <f ca="1">IF($A14="","",IF(IF(CG$2&lt;=$A$1,1,0),IF(CG$4="休","",IF(COUNTIF(DATA!CH:CH,$A:$A)=0,"×","√")),""))</f>
        <v/>
      </c>
      <c r="CH14" s="32" t="str">
        <f ca="1">IF($A14="","",IF(IF(CH$2&lt;=$A$1,1,0),IF(CH$4="休","",IF(COUNTIF(DATA!CI:CI,$A:$A)=0,"×","√")),""))</f>
        <v/>
      </c>
      <c r="CI14" s="32" t="str">
        <f ca="1">IF($A14="","",IF(IF(CI$2&lt;=$A$1,1,0),IF(CI$4="休","",IF(COUNTIF(DATA!CJ:CJ,$A:$A)=0,"×","√")),""))</f>
        <v/>
      </c>
      <c r="CJ14" s="32" t="str">
        <f ca="1">IF($A14="","",IF(IF(CJ$2&lt;=$A$1,1,0),IF(CJ$4="休","",IF(COUNTIF(DATA!CK:CK,$A:$A)=0,"×","√")),""))</f>
        <v/>
      </c>
      <c r="CK14" s="32" t="str">
        <f ca="1">IF($A14="","",IF(IF(CK$2&lt;=$A$1,1,0),IF(CK$4="休","",IF(COUNTIF(DATA!CL:CL,$A:$A)=0,"×","√")),""))</f>
        <v/>
      </c>
      <c r="CL14" s="32" t="str">
        <f ca="1">IF($A14="","",IF(IF(CL$2&lt;=$A$1,1,0),IF(CL$4="休","",IF(COUNTIF(DATA!CM:CM,$A:$A)=0,"×","√")),""))</f>
        <v/>
      </c>
      <c r="CM14" s="32" t="str">
        <f ca="1">IF($A14="","",IF(IF(CM$2&lt;=$A$1,1,0),IF(CM$4="休","",IF(COUNTIF(DATA!CN:CN,$A:$A)=0,"×","√")),""))</f>
        <v/>
      </c>
      <c r="CN14" s="32" t="str">
        <f ca="1">IF($A14="","",IF(IF(CN$2&lt;=$A$1,1,0),IF(CN$4="休","",IF(COUNTIF(DATA!CO:CO,$A:$A)=0,"×","√")),""))</f>
        <v/>
      </c>
      <c r="CO14" s="32" t="str">
        <f ca="1">IF($A14="","",IF(IF(CO$2&lt;=$A$1,1,0),IF(CO$4="休","",IF(COUNTIF(DATA!CP:CP,$A:$A)=0,"×","√")),""))</f>
        <v/>
      </c>
      <c r="CP14" s="32" t="str">
        <f ca="1">IF($A14="","",IF(IF(CP$2&lt;=$A$1,1,0),IF(CP$4="休","",IF(COUNTIF(DATA!CQ:CQ,$A:$A)=0,"×","√")),""))</f>
        <v/>
      </c>
      <c r="CQ14" s="32" t="str">
        <f ca="1">IF($A14="","",IF(IF(CQ$2&lt;=$A$1,1,0),IF(CQ$4="休","",IF(COUNTIF(DATA!CR:CR,$A:$A)=0,"×","√")),""))</f>
        <v/>
      </c>
      <c r="CR14" s="32" t="str">
        <f ca="1">IF($A14="","",IF(IF(CR$2&lt;=$A$1,1,0),IF(CR$4="休","",IF(COUNTIF(DATA!CS:CS,$A:$A)=0,"×","√")),""))</f>
        <v/>
      </c>
    </row>
    <row r="15" s="26" customFormat="1" ht="18.75" spans="1:96">
      <c r="A15" s="32" t="str">
        <f>DATA!$A14&amp;""</f>
        <v>舒成昌</v>
      </c>
      <c r="B15" s="32" t="str">
        <f ca="1">IF($A15="","",IF(IF(B$2&lt;=$A$1,1,0),IF(B$4="休","",IF(COUNTIF(DATA!C:C,$A:$A)=0,"×","√")),""))</f>
        <v>√</v>
      </c>
      <c r="C15" s="32" t="str">
        <f ca="1">IF($A15="","",IF(IF(C$2&lt;=$A$1,1,0),IF(C$4="休","",IF(COUNTIF(DATA!D:D,$A:$A)=0,"×","√")),""))</f>
        <v>√</v>
      </c>
      <c r="D15" s="32" t="str">
        <f ca="1">IF($A15="","",IF(IF(D$2&lt;=$A$1,1,0),IF(D$4="休","",IF(COUNTIF(DATA!E:E,$A:$A)=0,"×","√")),""))</f>
        <v>√</v>
      </c>
      <c r="E15" s="32" t="str">
        <f ca="1">IF($A15="","",IF(IF(E$2&lt;=$A$1,1,0),IF(E$4="休","",IF(COUNTIF(DATA!F:F,$A:$A)=0,"×","√")),""))</f>
        <v>√</v>
      </c>
      <c r="F15" s="32" t="str">
        <f ca="1">IF($A15="","",IF(IF(F$2&lt;=$A$1,1,0),IF(F$4="休","",IF(COUNTIF(DATA!G:G,$A:$A)=0,"×","√")),""))</f>
        <v>√</v>
      </c>
      <c r="G15" s="32" t="str">
        <f ca="1">IF($A15="","",IF(IF(G$2&lt;=$A$1,1,0),IF(G$4="休","",IF(COUNTIF(DATA!H:H,$A:$A)=0,"×","√")),""))</f>
        <v>√</v>
      </c>
      <c r="H15" s="32" t="str">
        <f ca="1">IF($A15="","",IF(IF(H$2&lt;=$A$1,1,0),IF(H$4="休","",IF(COUNTIF(DATA!I:I,$A:$A)=0,"×","√")),""))</f>
        <v>√</v>
      </c>
      <c r="I15" s="32" t="str">
        <f ca="1">IF($A15="","",IF(IF(I$2&lt;=$A$1,1,0),IF(I$4="休","",IF(COUNTIF(DATA!J:J,$A:$A)=0,"×","√")),""))</f>
        <v>√</v>
      </c>
      <c r="J15" s="32" t="str">
        <f ca="1">IF($A15="","",IF(IF(J$2&lt;=$A$1,1,0),IF(J$4="休","",IF(COUNTIF(DATA!K:K,$A:$A)=0,"×","√")),""))</f>
        <v/>
      </c>
      <c r="K15" s="32" t="str">
        <f ca="1">IF($A15="","",IF(IF(K$2&lt;=$A$1,1,0),IF(K$4="休","",IF(COUNTIF(DATA!L:L,$A:$A)=0,"×","√")),""))</f>
        <v/>
      </c>
      <c r="L15" s="32" t="str">
        <f ca="1">IF($A15="","",IF(IF(L$2&lt;=$A$1,1,0),IF(L$4="休","",IF(COUNTIF(DATA!M:M,$A:$A)=0,"×","√")),""))</f>
        <v/>
      </c>
      <c r="M15" s="32" t="str">
        <f ca="1">IF($A15="","",IF(IF(M$2&lt;=$A$1,1,0),IF(M$4="休","",IF(COUNTIF(DATA!N:N,$A:$A)=0,"×","√")),""))</f>
        <v/>
      </c>
      <c r="N15" s="32" t="str">
        <f ca="1">IF($A15="","",IF(IF(N$2&lt;=$A$1,1,0),IF(N$4="休","",IF(COUNTIF(DATA!O:O,$A:$A)=0,"×","√")),""))</f>
        <v/>
      </c>
      <c r="O15" s="32" t="str">
        <f ca="1">IF($A15="","",IF(IF(O$2&lt;=$A$1,1,0),IF(O$4="休","",IF(COUNTIF(DATA!P:P,$A:$A)=0,"×","√")),""))</f>
        <v/>
      </c>
      <c r="P15" s="32" t="str">
        <f ca="1">IF($A15="","",IF(IF(P$2&lt;=$A$1,1,0),IF(P$4="休","",IF(COUNTIF(DATA!Q:Q,$A:$A)=0,"×","√")),""))</f>
        <v/>
      </c>
      <c r="Q15" s="32" t="str">
        <f ca="1">IF($A15="","",IF(IF(Q$2&lt;=$A$1,1,0),IF(Q$4="休","",IF(COUNTIF(DATA!R:R,$A:$A)=0,"×","√")),""))</f>
        <v/>
      </c>
      <c r="R15" s="32" t="str">
        <f ca="1">IF($A15="","",IF(IF(R$2&lt;=$A$1,1,0),IF(R$4="休","",IF(COUNTIF(DATA!S:S,$A:$A)=0,"×","√")),""))</f>
        <v/>
      </c>
      <c r="S15" s="32" t="str">
        <f ca="1">IF($A15="","",IF(IF(S$2&lt;=$A$1,1,0),IF(S$4="休","",IF(COUNTIF(DATA!T:T,$A:$A)=0,"×","√")),""))</f>
        <v/>
      </c>
      <c r="T15" s="32" t="str">
        <f ca="1">IF($A15="","",IF(IF(T$2&lt;=$A$1,1,0),IF(T$4="休","",IF(COUNTIF(DATA!U:U,$A:$A)=0,"×","√")),""))</f>
        <v/>
      </c>
      <c r="U15" s="32" t="str">
        <f ca="1">IF($A15="","",IF(IF(U$2&lt;=$A$1,1,0),IF(U$4="休","",IF(COUNTIF(DATA!V:V,$A:$A)=0,"×","√")),""))</f>
        <v/>
      </c>
      <c r="V15" s="32" t="str">
        <f ca="1">IF($A15="","",IF(IF(V$2&lt;=$A$1,1,0),IF(V$4="休","",IF(COUNTIF(DATA!W:W,$A:$A)=0,"×","√")),""))</f>
        <v/>
      </c>
      <c r="W15" s="32" t="str">
        <f ca="1">IF($A15="","",IF(IF(W$2&lt;=$A$1,1,0),IF(W$4="休","",IF(COUNTIF(DATA!X:X,$A:$A)=0,"×","√")),""))</f>
        <v/>
      </c>
      <c r="X15" s="32" t="str">
        <f ca="1">IF($A15="","",IF(IF(X$2&lt;=$A$1,1,0),IF(X$4="休","",IF(COUNTIF(DATA!Y:Y,$A:$A)=0,"×","√")),""))</f>
        <v/>
      </c>
      <c r="Y15" s="32" t="str">
        <f ca="1">IF($A15="","",IF(IF(Y$2&lt;=$A$1,1,0),IF(Y$4="休","",IF(COUNTIF(DATA!Z:Z,$A:$A)=0,"×","√")),""))</f>
        <v/>
      </c>
      <c r="Z15" s="32" t="str">
        <f ca="1">IF($A15="","",IF(IF(Z$2&lt;=$A$1,1,0),IF(Z$4="休","",IF(COUNTIF(DATA!AA:AA,$A:$A)=0,"×","√")),""))</f>
        <v/>
      </c>
      <c r="AA15" s="32" t="str">
        <f ca="1">IF($A15="","",IF(IF(AA$2&lt;=$A$1,1,0),IF(AA$4="休","",IF(COUNTIF(DATA!AB:AB,$A:$A)=0,"×","√")),""))</f>
        <v/>
      </c>
      <c r="AB15" s="32" t="str">
        <f ca="1">IF($A15="","",IF(IF(AB$2&lt;=$A$1,1,0),IF(AB$4="休","",IF(COUNTIF(DATA!AC:AC,$A:$A)=0,"×","√")),""))</f>
        <v/>
      </c>
      <c r="AC15" s="32" t="str">
        <f ca="1">IF($A15="","",IF(IF(AC$2&lt;=$A$1,1,0),IF(AC$4="休","",IF(COUNTIF(DATA!AD:AD,$A:$A)=0,"×","√")),""))</f>
        <v/>
      </c>
      <c r="AD15" s="32" t="str">
        <f ca="1">IF($A15="","",IF(IF(AD$2&lt;=$A$1,1,0),IF(AD$4="休","",IF(COUNTIF(DATA!AE:AE,$A:$A)=0,"×","√")),""))</f>
        <v/>
      </c>
      <c r="AE15" s="32" t="str">
        <f ca="1">IF($A15="","",IF(IF(AE$2&lt;=$A$1,1,0),IF(AE$4="休","",IF(COUNTIF(DATA!AF:AF,$A:$A)=0,"×","√")),""))</f>
        <v/>
      </c>
      <c r="AF15" s="32" t="str">
        <f ca="1">IF($A15="","",IF(IF(AF$2&lt;=$A$1,1,0),IF(AF$4="休","",IF(COUNTIF(DATA!AG:AG,$A:$A)=0,"×","√")),""))</f>
        <v/>
      </c>
      <c r="AG15" s="32" t="str">
        <f ca="1">IF($A15="","",IF(IF(AG$2&lt;=$A$1,1,0),IF(AG$4="休","",IF(COUNTIF(DATA!AH:AH,$A:$A)=0,"×","√")),""))</f>
        <v/>
      </c>
      <c r="AH15" s="32" t="str">
        <f ca="1">IF($A15="","",IF(IF(AH$2&lt;=$A$1,1,0),IF(AH$4="休","",IF(COUNTIF(DATA!AI:AI,$A:$A)=0,"×","√")),""))</f>
        <v/>
      </c>
      <c r="AI15" s="32" t="str">
        <f ca="1">IF($A15="","",IF(IF(AI$2&lt;=$A$1,1,0),IF(AI$4="休","",IF(COUNTIF(DATA!AJ:AJ,$A:$A)=0,"×","√")),""))</f>
        <v/>
      </c>
      <c r="AJ15" s="32" t="str">
        <f ca="1">IF($A15="","",IF(IF(AJ$2&lt;=$A$1,1,0),IF(AJ$4="休","",IF(COUNTIF(DATA!AK:AK,$A:$A)=0,"×","√")),""))</f>
        <v/>
      </c>
      <c r="AK15" s="32" t="str">
        <f ca="1">IF($A15="","",IF(IF(AK$2&lt;=$A$1,1,0),IF(AK$4="休","",IF(COUNTIF(DATA!AL:AL,$A:$A)=0,"×","√")),""))</f>
        <v/>
      </c>
      <c r="AL15" s="32" t="str">
        <f ca="1">IF($A15="","",IF(IF(AL$2&lt;=$A$1,1,0),IF(AL$4="休","",IF(COUNTIF(DATA!AM:AM,$A:$A)=0,"×","√")),""))</f>
        <v/>
      </c>
      <c r="AM15" s="32" t="str">
        <f ca="1">IF($A15="","",IF(IF(AM$2&lt;=$A$1,1,0),IF(AM$4="休","",IF(COUNTIF(DATA!AN:AN,$A:$A)=0,"×","√")),""))</f>
        <v/>
      </c>
      <c r="AN15" s="32" t="str">
        <f ca="1">IF($A15="","",IF(IF(AN$2&lt;=$A$1,1,0),IF(AN$4="休","",IF(COUNTIF(DATA!AO:AO,$A:$A)=0,"×","√")),""))</f>
        <v/>
      </c>
      <c r="AO15" s="32" t="str">
        <f ca="1">IF($A15="","",IF(IF(AO$2&lt;=$A$1,1,0),IF(AO$4="休","",IF(COUNTIF(DATA!AP:AP,$A:$A)=0,"×","√")),""))</f>
        <v/>
      </c>
      <c r="AP15" s="32" t="str">
        <f ca="1">IF($A15="","",IF(IF(AP$2&lt;=$A$1,1,0),IF(AP$4="休","",IF(COUNTIF(DATA!AQ:AQ,$A:$A)=0,"×","√")),""))</f>
        <v/>
      </c>
      <c r="AQ15" s="32" t="str">
        <f ca="1">IF($A15="","",IF(IF(AQ$2&lt;=$A$1,1,0),IF(AQ$4="休","",IF(COUNTIF(DATA!AR:AR,$A:$A)=0,"×","√")),""))</f>
        <v/>
      </c>
      <c r="AR15" s="32" t="str">
        <f ca="1">IF($A15="","",IF(IF(AR$2&lt;=$A$1,1,0),IF(AR$4="休","",IF(COUNTIF(DATA!AS:AS,$A:$A)=0,"×","√")),""))</f>
        <v/>
      </c>
      <c r="AS15" s="32" t="str">
        <f ca="1">IF($A15="","",IF(IF(AS$2&lt;=$A$1,1,0),IF(AS$4="休","",IF(COUNTIF(DATA!AT:AT,$A:$A)=0,"×","√")),""))</f>
        <v/>
      </c>
      <c r="AT15" s="32" t="str">
        <f ca="1">IF($A15="","",IF(IF(AT$2&lt;=$A$1,1,0),IF(AT$4="休","",IF(COUNTIF(DATA!AU:AU,$A:$A)=0,"×","√")),""))</f>
        <v/>
      </c>
      <c r="AU15" s="32" t="str">
        <f ca="1">IF($A15="","",IF(IF(AU$2&lt;=$A$1,1,0),IF(AU$4="休","",IF(COUNTIF(DATA!AV:AV,$A:$A)=0,"×","√")),""))</f>
        <v/>
      </c>
      <c r="AV15" s="32" t="str">
        <f ca="1">IF($A15="","",IF(IF(AV$2&lt;=$A$1,1,0),IF(AV$4="休","",IF(COUNTIF(DATA!AW:AW,$A:$A)=0,"×","√")),""))</f>
        <v/>
      </c>
      <c r="AW15" s="32" t="str">
        <f ca="1">IF($A15="","",IF(IF(AW$2&lt;=$A$1,1,0),IF(AW$4="休","",IF(COUNTIF(DATA!AX:AX,$A:$A)=0,"×","√")),""))</f>
        <v/>
      </c>
      <c r="AX15" s="32" t="str">
        <f ca="1">IF($A15="","",IF(IF(AX$2&lt;=$A$1,1,0),IF(AX$4="休","",IF(COUNTIF(DATA!AY:AY,$A:$A)=0,"×","√")),""))</f>
        <v/>
      </c>
      <c r="AY15" s="32" t="str">
        <f ca="1">IF($A15="","",IF(IF(AY$2&lt;=$A$1,1,0),IF(AY$4="休","",IF(COUNTIF(DATA!AZ:AZ,$A:$A)=0,"×","√")),""))</f>
        <v/>
      </c>
      <c r="AZ15" s="32" t="str">
        <f ca="1">IF($A15="","",IF(IF(AZ$2&lt;=$A$1,1,0),IF(AZ$4="休","",IF(COUNTIF(DATA!BA:BA,$A:$A)=0,"×","√")),""))</f>
        <v/>
      </c>
      <c r="BA15" s="32" t="str">
        <f ca="1">IF($A15="","",IF(IF(BA$2&lt;=$A$1,1,0),IF(BA$4="休","",IF(COUNTIF(DATA!BB:BB,$A:$A)=0,"×","√")),""))</f>
        <v/>
      </c>
      <c r="BB15" s="32" t="str">
        <f ca="1">IF($A15="","",IF(IF(BB$2&lt;=$A$1,1,0),IF(BB$4="休","",IF(COUNTIF(DATA!BC:BC,$A:$A)=0,"×","√")),""))</f>
        <v/>
      </c>
      <c r="BC15" s="32" t="str">
        <f ca="1">IF($A15="","",IF(IF(BC$2&lt;=$A$1,1,0),IF(BC$4="休","",IF(COUNTIF(DATA!BD:BD,$A:$A)=0,"×","√")),""))</f>
        <v/>
      </c>
      <c r="BD15" s="32" t="str">
        <f ca="1">IF($A15="","",IF(IF(BD$2&lt;=$A$1,1,0),IF(BD$4="休","",IF(COUNTIF(DATA!BE:BE,$A:$A)=0,"×","√")),""))</f>
        <v/>
      </c>
      <c r="BE15" s="32" t="str">
        <f ca="1">IF($A15="","",IF(IF(BE$2&lt;=$A$1,1,0),IF(BE$4="休","",IF(COUNTIF(DATA!BF:BF,$A:$A)=0,"×","√")),""))</f>
        <v/>
      </c>
      <c r="BF15" s="32" t="str">
        <f ca="1">IF($A15="","",IF(IF(BF$2&lt;=$A$1,1,0),IF(BF$4="休","",IF(COUNTIF(DATA!BG:BG,$A:$A)=0,"×","√")),""))</f>
        <v/>
      </c>
      <c r="BG15" s="32" t="str">
        <f ca="1">IF($A15="","",IF(IF(BG$2&lt;=$A$1,1,0),IF(BG$4="休","",IF(COUNTIF(DATA!BH:BH,$A:$A)=0,"×","√")),""))</f>
        <v/>
      </c>
      <c r="BH15" s="32" t="str">
        <f ca="1">IF($A15="","",IF(IF(BH$2&lt;=$A$1,1,0),IF(BH$4="休","",IF(COUNTIF(DATA!BI:BI,$A:$A)=0,"×","√")),""))</f>
        <v/>
      </c>
      <c r="BI15" s="32" t="str">
        <f ca="1">IF($A15="","",IF(IF(BI$2&lt;=$A$1,1,0),IF(BI$4="休","",IF(COUNTIF(DATA!BJ:BJ,$A:$A)=0,"×","√")),""))</f>
        <v/>
      </c>
      <c r="BJ15" s="32" t="str">
        <f ca="1">IF($A15="","",IF(IF(BJ$2&lt;=$A$1,1,0),IF(BJ$4="休","",IF(COUNTIF(DATA!BK:BK,$A:$A)=0,"×","√")),""))</f>
        <v/>
      </c>
      <c r="BK15" s="32" t="str">
        <f ca="1">IF($A15="","",IF(IF(BK$2&lt;=$A$1,1,0),IF(BK$4="休","",IF(COUNTIF(DATA!BL:BL,$A:$A)=0,"×","√")),""))</f>
        <v/>
      </c>
      <c r="BL15" s="32" t="str">
        <f ca="1">IF($A15="","",IF(IF(BL$2&lt;=$A$1,1,0),IF(BL$4="休","",IF(COUNTIF(DATA!BM:BM,$A:$A)=0,"×","√")),""))</f>
        <v/>
      </c>
      <c r="BM15" s="32" t="str">
        <f ca="1">IF($A15="","",IF(IF(BM$2&lt;=$A$1,1,0),IF(BM$4="休","",IF(COUNTIF(DATA!BN:BN,$A:$A)=0,"×","√")),""))</f>
        <v/>
      </c>
      <c r="BN15" s="32" t="str">
        <f ca="1">IF($A15="","",IF(IF(BN$2&lt;=$A$1,1,0),IF(BN$4="休","",IF(COUNTIF(DATA!BO:BO,$A:$A)=0,"×","√")),""))</f>
        <v/>
      </c>
      <c r="BO15" s="32" t="str">
        <f ca="1">IF($A15="","",IF(IF(BO$2&lt;=$A$1,1,0),IF(BO$4="休","",IF(COUNTIF(DATA!BP:BP,$A:$A)=0,"×","√")),""))</f>
        <v/>
      </c>
      <c r="BP15" s="32" t="str">
        <f ca="1">IF($A15="","",IF(IF(BP$2&lt;=$A$1,1,0),IF(BP$4="休","",IF(COUNTIF(DATA!BQ:BQ,$A:$A)=0,"×","√")),""))</f>
        <v/>
      </c>
      <c r="BQ15" s="32" t="str">
        <f ca="1">IF($A15="","",IF(IF(BQ$2&lt;=$A$1,1,0),IF(BQ$4="休","",IF(COUNTIF(DATA!BR:BR,$A:$A)=0,"×","√")),""))</f>
        <v/>
      </c>
      <c r="BR15" s="32" t="str">
        <f ca="1">IF($A15="","",IF(IF(BR$2&lt;=$A$1,1,0),IF(BR$4="休","",IF(COUNTIF(DATA!BS:BS,$A:$A)=0,"×","√")),""))</f>
        <v/>
      </c>
      <c r="BS15" s="32" t="str">
        <f ca="1">IF($A15="","",IF(IF(BS$2&lt;=$A$1,1,0),IF(BS$4="休","",IF(COUNTIF(DATA!BT:BT,$A:$A)=0,"×","√")),""))</f>
        <v/>
      </c>
      <c r="BT15" s="32" t="str">
        <f ca="1">IF($A15="","",IF(IF(BT$2&lt;=$A$1,1,0),IF(BT$4="休","",IF(COUNTIF(DATA!BU:BU,$A:$A)=0,"×","√")),""))</f>
        <v/>
      </c>
      <c r="BU15" s="32" t="str">
        <f ca="1">IF($A15="","",IF(IF(BU$2&lt;=$A$1,1,0),IF(BU$4="休","",IF(COUNTIF(DATA!BV:BV,$A:$A)=0,"×","√")),""))</f>
        <v/>
      </c>
      <c r="BV15" s="32" t="str">
        <f ca="1">IF($A15="","",IF(IF(BV$2&lt;=$A$1,1,0),IF(BV$4="休","",IF(COUNTIF(DATA!BW:BW,$A:$A)=0,"×","√")),""))</f>
        <v/>
      </c>
      <c r="BW15" s="32" t="str">
        <f ca="1">IF($A15="","",IF(IF(BW$2&lt;=$A$1,1,0),IF(BW$4="休","",IF(COUNTIF(DATA!BX:BX,$A:$A)=0,"×","√")),""))</f>
        <v/>
      </c>
      <c r="BX15" s="32" t="str">
        <f ca="1">IF($A15="","",IF(IF(BX$2&lt;=$A$1,1,0),IF(BX$4="休","",IF(COUNTIF(DATA!BY:BY,$A:$A)=0,"×","√")),""))</f>
        <v/>
      </c>
      <c r="BY15" s="32" t="str">
        <f ca="1">IF($A15="","",IF(IF(BY$2&lt;=$A$1,1,0),IF(BY$4="休","",IF(COUNTIF(DATA!BZ:BZ,$A:$A)=0,"×","√")),""))</f>
        <v/>
      </c>
      <c r="BZ15" s="32" t="str">
        <f ca="1">IF($A15="","",IF(IF(BZ$2&lt;=$A$1,1,0),IF(BZ$4="休","",IF(COUNTIF(DATA!CA:CA,$A:$A)=0,"×","√")),""))</f>
        <v/>
      </c>
      <c r="CA15" s="32" t="str">
        <f ca="1">IF($A15="","",IF(IF(CA$2&lt;=$A$1,1,0),IF(CA$4="休","",IF(COUNTIF(DATA!CB:CB,$A:$A)=0,"×","√")),""))</f>
        <v/>
      </c>
      <c r="CB15" s="32" t="str">
        <f ca="1">IF($A15="","",IF(IF(CB$2&lt;=$A$1,1,0),IF(CB$4="休","",IF(COUNTIF(DATA!CC:CC,$A:$A)=0,"×","√")),""))</f>
        <v/>
      </c>
      <c r="CC15" s="32" t="str">
        <f ca="1">IF($A15="","",IF(IF(CC$2&lt;=$A$1,1,0),IF(CC$4="休","",IF(COUNTIF(DATA!CD:CD,$A:$A)=0,"×","√")),""))</f>
        <v/>
      </c>
      <c r="CD15" s="32" t="str">
        <f ca="1">IF($A15="","",IF(IF(CD$2&lt;=$A$1,1,0),IF(CD$4="休","",IF(COUNTIF(DATA!CE:CE,$A:$A)=0,"×","√")),""))</f>
        <v/>
      </c>
      <c r="CE15" s="32" t="str">
        <f ca="1">IF($A15="","",IF(IF(CE$2&lt;=$A$1,1,0),IF(CE$4="休","",IF(COUNTIF(DATA!CF:CF,$A:$A)=0,"×","√")),""))</f>
        <v/>
      </c>
      <c r="CF15" s="32" t="str">
        <f ca="1">IF($A15="","",IF(IF(CF$2&lt;=$A$1,1,0),IF(CF$4="休","",IF(COUNTIF(DATA!CG:CG,$A:$A)=0,"×","√")),""))</f>
        <v/>
      </c>
      <c r="CG15" s="32" t="str">
        <f ca="1">IF($A15="","",IF(IF(CG$2&lt;=$A$1,1,0),IF(CG$4="休","",IF(COUNTIF(DATA!CH:CH,$A:$A)=0,"×","√")),""))</f>
        <v/>
      </c>
      <c r="CH15" s="32" t="str">
        <f ca="1">IF($A15="","",IF(IF(CH$2&lt;=$A$1,1,0),IF(CH$4="休","",IF(COUNTIF(DATA!CI:CI,$A:$A)=0,"×","√")),""))</f>
        <v/>
      </c>
      <c r="CI15" s="32" t="str">
        <f ca="1">IF($A15="","",IF(IF(CI$2&lt;=$A$1,1,0),IF(CI$4="休","",IF(COUNTIF(DATA!CJ:CJ,$A:$A)=0,"×","√")),""))</f>
        <v/>
      </c>
      <c r="CJ15" s="32" t="str">
        <f ca="1">IF($A15="","",IF(IF(CJ$2&lt;=$A$1,1,0),IF(CJ$4="休","",IF(COUNTIF(DATA!CK:CK,$A:$A)=0,"×","√")),""))</f>
        <v/>
      </c>
      <c r="CK15" s="32" t="str">
        <f ca="1">IF($A15="","",IF(IF(CK$2&lt;=$A$1,1,0),IF(CK$4="休","",IF(COUNTIF(DATA!CL:CL,$A:$A)=0,"×","√")),""))</f>
        <v/>
      </c>
      <c r="CL15" s="32" t="str">
        <f ca="1">IF($A15="","",IF(IF(CL$2&lt;=$A$1,1,0),IF(CL$4="休","",IF(COUNTIF(DATA!CM:CM,$A:$A)=0,"×","√")),""))</f>
        <v/>
      </c>
      <c r="CM15" s="32" t="str">
        <f ca="1">IF($A15="","",IF(IF(CM$2&lt;=$A$1,1,0),IF(CM$4="休","",IF(COUNTIF(DATA!CN:CN,$A:$A)=0,"×","√")),""))</f>
        <v/>
      </c>
      <c r="CN15" s="32" t="str">
        <f ca="1">IF($A15="","",IF(IF(CN$2&lt;=$A$1,1,0),IF(CN$4="休","",IF(COUNTIF(DATA!CO:CO,$A:$A)=0,"×","√")),""))</f>
        <v/>
      </c>
      <c r="CO15" s="32" t="str">
        <f ca="1">IF($A15="","",IF(IF(CO$2&lt;=$A$1,1,0),IF(CO$4="休","",IF(COUNTIF(DATA!CP:CP,$A:$A)=0,"×","√")),""))</f>
        <v/>
      </c>
      <c r="CP15" s="32" t="str">
        <f ca="1">IF($A15="","",IF(IF(CP$2&lt;=$A$1,1,0),IF(CP$4="休","",IF(COUNTIF(DATA!CQ:CQ,$A:$A)=0,"×","√")),""))</f>
        <v/>
      </c>
      <c r="CQ15" s="32" t="str">
        <f ca="1">IF($A15="","",IF(IF(CQ$2&lt;=$A$1,1,0),IF(CQ$4="休","",IF(COUNTIF(DATA!CR:CR,$A:$A)=0,"×","√")),""))</f>
        <v/>
      </c>
      <c r="CR15" s="32" t="str">
        <f ca="1">IF($A15="","",IF(IF(CR$2&lt;=$A$1,1,0),IF(CR$4="休","",IF(COUNTIF(DATA!CS:CS,$A:$A)=0,"×","√")),""))</f>
        <v/>
      </c>
    </row>
    <row r="16" s="26" customFormat="1" ht="18.75" spans="1:96">
      <c r="A16" s="32" t="str">
        <f>DATA!$A15&amp;""</f>
        <v>刘腾</v>
      </c>
      <c r="B16" s="32" t="str">
        <f ca="1">IF($A16="","",IF(IF(B$2&lt;=$A$1,1,0),IF(B$4="休","",IF(COUNTIF(DATA!C:C,$A:$A)=0,"×","√")),""))</f>
        <v>√</v>
      </c>
      <c r="C16" s="32" t="str">
        <f ca="1">IF($A16="","",IF(IF(C$2&lt;=$A$1,1,0),IF(C$4="休","",IF(COUNTIF(DATA!D:D,$A:$A)=0,"×","√")),""))</f>
        <v>√</v>
      </c>
      <c r="D16" s="32" t="str">
        <f ca="1">IF($A16="","",IF(IF(D$2&lt;=$A$1,1,0),IF(D$4="休","",IF(COUNTIF(DATA!E:E,$A:$A)=0,"×","√")),""))</f>
        <v>√</v>
      </c>
      <c r="E16" s="32" t="str">
        <f ca="1">IF($A16="","",IF(IF(E$2&lt;=$A$1,1,0),IF(E$4="休","",IF(COUNTIF(DATA!F:F,$A:$A)=0,"×","√")),""))</f>
        <v>√</v>
      </c>
      <c r="F16" s="32" t="str">
        <f ca="1">IF($A16="","",IF(IF(F$2&lt;=$A$1,1,0),IF(F$4="休","",IF(COUNTIF(DATA!G:G,$A:$A)=0,"×","√")),""))</f>
        <v>√</v>
      </c>
      <c r="G16" s="32" t="str">
        <f ca="1">IF($A16="","",IF(IF(G$2&lt;=$A$1,1,0),IF(G$4="休","",IF(COUNTIF(DATA!H:H,$A:$A)=0,"×","√")),""))</f>
        <v>√</v>
      </c>
      <c r="H16" s="32" t="str">
        <f ca="1">IF($A16="","",IF(IF(H$2&lt;=$A$1,1,0),IF(H$4="休","",IF(COUNTIF(DATA!I:I,$A:$A)=0,"×","√")),""))</f>
        <v>√</v>
      </c>
      <c r="I16" s="32" t="str">
        <f ca="1">IF($A16="","",IF(IF(I$2&lt;=$A$1,1,0),IF(I$4="休","",IF(COUNTIF(DATA!J:J,$A:$A)=0,"×","√")),""))</f>
        <v>√</v>
      </c>
      <c r="J16" s="32" t="str">
        <f ca="1">IF($A16="","",IF(IF(J$2&lt;=$A$1,1,0),IF(J$4="休","",IF(COUNTIF(DATA!K:K,$A:$A)=0,"×","√")),""))</f>
        <v/>
      </c>
      <c r="K16" s="32" t="str">
        <f ca="1">IF($A16="","",IF(IF(K$2&lt;=$A$1,1,0),IF(K$4="休","",IF(COUNTIF(DATA!L:L,$A:$A)=0,"×","√")),""))</f>
        <v/>
      </c>
      <c r="L16" s="32" t="str">
        <f ca="1">IF($A16="","",IF(IF(L$2&lt;=$A$1,1,0),IF(L$4="休","",IF(COUNTIF(DATA!M:M,$A:$A)=0,"×","√")),""))</f>
        <v/>
      </c>
      <c r="M16" s="32" t="str">
        <f ca="1">IF($A16="","",IF(IF(M$2&lt;=$A$1,1,0),IF(M$4="休","",IF(COUNTIF(DATA!N:N,$A:$A)=0,"×","√")),""))</f>
        <v/>
      </c>
      <c r="N16" s="32" t="str">
        <f ca="1">IF($A16="","",IF(IF(N$2&lt;=$A$1,1,0),IF(N$4="休","",IF(COUNTIF(DATA!O:O,$A:$A)=0,"×","√")),""))</f>
        <v/>
      </c>
      <c r="O16" s="32" t="str">
        <f ca="1">IF($A16="","",IF(IF(O$2&lt;=$A$1,1,0),IF(O$4="休","",IF(COUNTIF(DATA!P:P,$A:$A)=0,"×","√")),""))</f>
        <v/>
      </c>
      <c r="P16" s="32" t="str">
        <f ca="1">IF($A16="","",IF(IF(P$2&lt;=$A$1,1,0),IF(P$4="休","",IF(COUNTIF(DATA!Q:Q,$A:$A)=0,"×","√")),""))</f>
        <v/>
      </c>
      <c r="Q16" s="32" t="str">
        <f ca="1">IF($A16="","",IF(IF(Q$2&lt;=$A$1,1,0),IF(Q$4="休","",IF(COUNTIF(DATA!R:R,$A:$A)=0,"×","√")),""))</f>
        <v/>
      </c>
      <c r="R16" s="32" t="str">
        <f ca="1">IF($A16="","",IF(IF(R$2&lt;=$A$1,1,0),IF(R$4="休","",IF(COUNTIF(DATA!S:S,$A:$A)=0,"×","√")),""))</f>
        <v/>
      </c>
      <c r="S16" s="32" t="str">
        <f ca="1">IF($A16="","",IF(IF(S$2&lt;=$A$1,1,0),IF(S$4="休","",IF(COUNTIF(DATA!T:T,$A:$A)=0,"×","√")),""))</f>
        <v/>
      </c>
      <c r="T16" s="32" t="str">
        <f ca="1">IF($A16="","",IF(IF(T$2&lt;=$A$1,1,0),IF(T$4="休","",IF(COUNTIF(DATA!U:U,$A:$A)=0,"×","√")),""))</f>
        <v/>
      </c>
      <c r="U16" s="32" t="str">
        <f ca="1">IF($A16="","",IF(IF(U$2&lt;=$A$1,1,0),IF(U$4="休","",IF(COUNTIF(DATA!V:V,$A:$A)=0,"×","√")),""))</f>
        <v/>
      </c>
      <c r="V16" s="32" t="str">
        <f ca="1">IF($A16="","",IF(IF(V$2&lt;=$A$1,1,0),IF(V$4="休","",IF(COUNTIF(DATA!W:W,$A:$A)=0,"×","√")),""))</f>
        <v/>
      </c>
      <c r="W16" s="32" t="str">
        <f ca="1">IF($A16="","",IF(IF(W$2&lt;=$A$1,1,0),IF(W$4="休","",IF(COUNTIF(DATA!X:X,$A:$A)=0,"×","√")),""))</f>
        <v/>
      </c>
      <c r="X16" s="32" t="str">
        <f ca="1">IF($A16="","",IF(IF(X$2&lt;=$A$1,1,0),IF(X$4="休","",IF(COUNTIF(DATA!Y:Y,$A:$A)=0,"×","√")),""))</f>
        <v/>
      </c>
      <c r="Y16" s="32" t="str">
        <f ca="1">IF($A16="","",IF(IF(Y$2&lt;=$A$1,1,0),IF(Y$4="休","",IF(COUNTIF(DATA!Z:Z,$A:$A)=0,"×","√")),""))</f>
        <v/>
      </c>
      <c r="Z16" s="32" t="str">
        <f ca="1">IF($A16="","",IF(IF(Z$2&lt;=$A$1,1,0),IF(Z$4="休","",IF(COUNTIF(DATA!AA:AA,$A:$A)=0,"×","√")),""))</f>
        <v/>
      </c>
      <c r="AA16" s="32" t="str">
        <f ca="1">IF($A16="","",IF(IF(AA$2&lt;=$A$1,1,0),IF(AA$4="休","",IF(COUNTIF(DATA!AB:AB,$A:$A)=0,"×","√")),""))</f>
        <v/>
      </c>
      <c r="AB16" s="32" t="str">
        <f ca="1">IF($A16="","",IF(IF(AB$2&lt;=$A$1,1,0),IF(AB$4="休","",IF(COUNTIF(DATA!AC:AC,$A:$A)=0,"×","√")),""))</f>
        <v/>
      </c>
      <c r="AC16" s="32" t="str">
        <f ca="1">IF($A16="","",IF(IF(AC$2&lt;=$A$1,1,0),IF(AC$4="休","",IF(COUNTIF(DATA!AD:AD,$A:$A)=0,"×","√")),""))</f>
        <v/>
      </c>
      <c r="AD16" s="32" t="str">
        <f ca="1">IF($A16="","",IF(IF(AD$2&lt;=$A$1,1,0),IF(AD$4="休","",IF(COUNTIF(DATA!AE:AE,$A:$A)=0,"×","√")),""))</f>
        <v/>
      </c>
      <c r="AE16" s="32" t="str">
        <f ca="1">IF($A16="","",IF(IF(AE$2&lt;=$A$1,1,0),IF(AE$4="休","",IF(COUNTIF(DATA!AF:AF,$A:$A)=0,"×","√")),""))</f>
        <v/>
      </c>
      <c r="AF16" s="32" t="str">
        <f ca="1">IF($A16="","",IF(IF(AF$2&lt;=$A$1,1,0),IF(AF$4="休","",IF(COUNTIF(DATA!AG:AG,$A:$A)=0,"×","√")),""))</f>
        <v/>
      </c>
      <c r="AG16" s="32" t="str">
        <f ca="1">IF($A16="","",IF(IF(AG$2&lt;=$A$1,1,0),IF(AG$4="休","",IF(COUNTIF(DATA!AH:AH,$A:$A)=0,"×","√")),""))</f>
        <v/>
      </c>
      <c r="AH16" s="32" t="str">
        <f ca="1">IF($A16="","",IF(IF(AH$2&lt;=$A$1,1,0),IF(AH$4="休","",IF(COUNTIF(DATA!AI:AI,$A:$A)=0,"×","√")),""))</f>
        <v/>
      </c>
      <c r="AI16" s="32" t="str">
        <f ca="1">IF($A16="","",IF(IF(AI$2&lt;=$A$1,1,0),IF(AI$4="休","",IF(COUNTIF(DATA!AJ:AJ,$A:$A)=0,"×","√")),""))</f>
        <v/>
      </c>
      <c r="AJ16" s="32" t="str">
        <f ca="1">IF($A16="","",IF(IF(AJ$2&lt;=$A$1,1,0),IF(AJ$4="休","",IF(COUNTIF(DATA!AK:AK,$A:$A)=0,"×","√")),""))</f>
        <v/>
      </c>
      <c r="AK16" s="32" t="str">
        <f ca="1">IF($A16="","",IF(IF(AK$2&lt;=$A$1,1,0),IF(AK$4="休","",IF(COUNTIF(DATA!AL:AL,$A:$A)=0,"×","√")),""))</f>
        <v/>
      </c>
      <c r="AL16" s="32" t="str">
        <f ca="1">IF($A16="","",IF(IF(AL$2&lt;=$A$1,1,0),IF(AL$4="休","",IF(COUNTIF(DATA!AM:AM,$A:$A)=0,"×","√")),""))</f>
        <v/>
      </c>
      <c r="AM16" s="32" t="str">
        <f ca="1">IF($A16="","",IF(IF(AM$2&lt;=$A$1,1,0),IF(AM$4="休","",IF(COUNTIF(DATA!AN:AN,$A:$A)=0,"×","√")),""))</f>
        <v/>
      </c>
      <c r="AN16" s="32" t="str">
        <f ca="1">IF($A16="","",IF(IF(AN$2&lt;=$A$1,1,0),IF(AN$4="休","",IF(COUNTIF(DATA!AO:AO,$A:$A)=0,"×","√")),""))</f>
        <v/>
      </c>
      <c r="AO16" s="32" t="str">
        <f ca="1">IF($A16="","",IF(IF(AO$2&lt;=$A$1,1,0),IF(AO$4="休","",IF(COUNTIF(DATA!AP:AP,$A:$A)=0,"×","√")),""))</f>
        <v/>
      </c>
      <c r="AP16" s="32" t="str">
        <f ca="1">IF($A16="","",IF(IF(AP$2&lt;=$A$1,1,0),IF(AP$4="休","",IF(COUNTIF(DATA!AQ:AQ,$A:$A)=0,"×","√")),""))</f>
        <v/>
      </c>
      <c r="AQ16" s="32" t="str">
        <f ca="1">IF($A16="","",IF(IF(AQ$2&lt;=$A$1,1,0),IF(AQ$4="休","",IF(COUNTIF(DATA!AR:AR,$A:$A)=0,"×","√")),""))</f>
        <v/>
      </c>
      <c r="AR16" s="32" t="str">
        <f ca="1">IF($A16="","",IF(IF(AR$2&lt;=$A$1,1,0),IF(AR$4="休","",IF(COUNTIF(DATA!AS:AS,$A:$A)=0,"×","√")),""))</f>
        <v/>
      </c>
      <c r="AS16" s="32" t="str">
        <f ca="1">IF($A16="","",IF(IF(AS$2&lt;=$A$1,1,0),IF(AS$4="休","",IF(COUNTIF(DATA!AT:AT,$A:$A)=0,"×","√")),""))</f>
        <v/>
      </c>
      <c r="AT16" s="32" t="str">
        <f ca="1">IF($A16="","",IF(IF(AT$2&lt;=$A$1,1,0),IF(AT$4="休","",IF(COUNTIF(DATA!AU:AU,$A:$A)=0,"×","√")),""))</f>
        <v/>
      </c>
      <c r="AU16" s="32" t="str">
        <f ca="1">IF($A16="","",IF(IF(AU$2&lt;=$A$1,1,0),IF(AU$4="休","",IF(COUNTIF(DATA!AV:AV,$A:$A)=0,"×","√")),""))</f>
        <v/>
      </c>
      <c r="AV16" s="32" t="str">
        <f ca="1">IF($A16="","",IF(IF(AV$2&lt;=$A$1,1,0),IF(AV$4="休","",IF(COUNTIF(DATA!AW:AW,$A:$A)=0,"×","√")),""))</f>
        <v/>
      </c>
      <c r="AW16" s="32" t="str">
        <f ca="1">IF($A16="","",IF(IF(AW$2&lt;=$A$1,1,0),IF(AW$4="休","",IF(COUNTIF(DATA!AX:AX,$A:$A)=0,"×","√")),""))</f>
        <v/>
      </c>
      <c r="AX16" s="32" t="str">
        <f ca="1">IF($A16="","",IF(IF(AX$2&lt;=$A$1,1,0),IF(AX$4="休","",IF(COUNTIF(DATA!AY:AY,$A:$A)=0,"×","√")),""))</f>
        <v/>
      </c>
      <c r="AY16" s="32" t="str">
        <f ca="1">IF($A16="","",IF(IF(AY$2&lt;=$A$1,1,0),IF(AY$4="休","",IF(COUNTIF(DATA!AZ:AZ,$A:$A)=0,"×","√")),""))</f>
        <v/>
      </c>
      <c r="AZ16" s="32" t="str">
        <f ca="1">IF($A16="","",IF(IF(AZ$2&lt;=$A$1,1,0),IF(AZ$4="休","",IF(COUNTIF(DATA!BA:BA,$A:$A)=0,"×","√")),""))</f>
        <v/>
      </c>
      <c r="BA16" s="32" t="str">
        <f ca="1">IF($A16="","",IF(IF(BA$2&lt;=$A$1,1,0),IF(BA$4="休","",IF(COUNTIF(DATA!BB:BB,$A:$A)=0,"×","√")),""))</f>
        <v/>
      </c>
      <c r="BB16" s="32" t="str">
        <f ca="1">IF($A16="","",IF(IF(BB$2&lt;=$A$1,1,0),IF(BB$4="休","",IF(COUNTIF(DATA!BC:BC,$A:$A)=0,"×","√")),""))</f>
        <v/>
      </c>
      <c r="BC16" s="32" t="str">
        <f ca="1">IF($A16="","",IF(IF(BC$2&lt;=$A$1,1,0),IF(BC$4="休","",IF(COUNTIF(DATA!BD:BD,$A:$A)=0,"×","√")),""))</f>
        <v/>
      </c>
      <c r="BD16" s="32" t="str">
        <f ca="1">IF($A16="","",IF(IF(BD$2&lt;=$A$1,1,0),IF(BD$4="休","",IF(COUNTIF(DATA!BE:BE,$A:$A)=0,"×","√")),""))</f>
        <v/>
      </c>
      <c r="BE16" s="32" t="str">
        <f ca="1">IF($A16="","",IF(IF(BE$2&lt;=$A$1,1,0),IF(BE$4="休","",IF(COUNTIF(DATA!BF:BF,$A:$A)=0,"×","√")),""))</f>
        <v/>
      </c>
      <c r="BF16" s="32" t="str">
        <f ca="1">IF($A16="","",IF(IF(BF$2&lt;=$A$1,1,0),IF(BF$4="休","",IF(COUNTIF(DATA!BG:BG,$A:$A)=0,"×","√")),""))</f>
        <v/>
      </c>
      <c r="BG16" s="32" t="str">
        <f ca="1">IF($A16="","",IF(IF(BG$2&lt;=$A$1,1,0),IF(BG$4="休","",IF(COUNTIF(DATA!BH:BH,$A:$A)=0,"×","√")),""))</f>
        <v/>
      </c>
      <c r="BH16" s="32" t="str">
        <f ca="1">IF($A16="","",IF(IF(BH$2&lt;=$A$1,1,0),IF(BH$4="休","",IF(COUNTIF(DATA!BI:BI,$A:$A)=0,"×","√")),""))</f>
        <v/>
      </c>
      <c r="BI16" s="32" t="str">
        <f ca="1">IF($A16="","",IF(IF(BI$2&lt;=$A$1,1,0),IF(BI$4="休","",IF(COUNTIF(DATA!BJ:BJ,$A:$A)=0,"×","√")),""))</f>
        <v/>
      </c>
      <c r="BJ16" s="32" t="str">
        <f ca="1">IF($A16="","",IF(IF(BJ$2&lt;=$A$1,1,0),IF(BJ$4="休","",IF(COUNTIF(DATA!BK:BK,$A:$A)=0,"×","√")),""))</f>
        <v/>
      </c>
      <c r="BK16" s="32" t="str">
        <f ca="1">IF($A16="","",IF(IF(BK$2&lt;=$A$1,1,0),IF(BK$4="休","",IF(COUNTIF(DATA!BL:BL,$A:$A)=0,"×","√")),""))</f>
        <v/>
      </c>
      <c r="BL16" s="32" t="str">
        <f ca="1">IF($A16="","",IF(IF(BL$2&lt;=$A$1,1,0),IF(BL$4="休","",IF(COUNTIF(DATA!BM:BM,$A:$A)=0,"×","√")),""))</f>
        <v/>
      </c>
      <c r="BM16" s="32" t="str">
        <f ca="1">IF($A16="","",IF(IF(BM$2&lt;=$A$1,1,0),IF(BM$4="休","",IF(COUNTIF(DATA!BN:BN,$A:$A)=0,"×","√")),""))</f>
        <v/>
      </c>
      <c r="BN16" s="32" t="str">
        <f ca="1">IF($A16="","",IF(IF(BN$2&lt;=$A$1,1,0),IF(BN$4="休","",IF(COUNTIF(DATA!BO:BO,$A:$A)=0,"×","√")),""))</f>
        <v/>
      </c>
      <c r="BO16" s="32" t="str">
        <f ca="1">IF($A16="","",IF(IF(BO$2&lt;=$A$1,1,0),IF(BO$4="休","",IF(COUNTIF(DATA!BP:BP,$A:$A)=0,"×","√")),""))</f>
        <v/>
      </c>
      <c r="BP16" s="32" t="str">
        <f ca="1">IF($A16="","",IF(IF(BP$2&lt;=$A$1,1,0),IF(BP$4="休","",IF(COUNTIF(DATA!BQ:BQ,$A:$A)=0,"×","√")),""))</f>
        <v/>
      </c>
      <c r="BQ16" s="32" t="str">
        <f ca="1">IF($A16="","",IF(IF(BQ$2&lt;=$A$1,1,0),IF(BQ$4="休","",IF(COUNTIF(DATA!BR:BR,$A:$A)=0,"×","√")),""))</f>
        <v/>
      </c>
      <c r="BR16" s="32" t="str">
        <f ca="1">IF($A16="","",IF(IF(BR$2&lt;=$A$1,1,0),IF(BR$4="休","",IF(COUNTIF(DATA!BS:BS,$A:$A)=0,"×","√")),""))</f>
        <v/>
      </c>
      <c r="BS16" s="32" t="str">
        <f ca="1">IF($A16="","",IF(IF(BS$2&lt;=$A$1,1,0),IF(BS$4="休","",IF(COUNTIF(DATA!BT:BT,$A:$A)=0,"×","√")),""))</f>
        <v/>
      </c>
      <c r="BT16" s="32" t="str">
        <f ca="1">IF($A16="","",IF(IF(BT$2&lt;=$A$1,1,0),IF(BT$4="休","",IF(COUNTIF(DATA!BU:BU,$A:$A)=0,"×","√")),""))</f>
        <v/>
      </c>
      <c r="BU16" s="32" t="str">
        <f ca="1">IF($A16="","",IF(IF(BU$2&lt;=$A$1,1,0),IF(BU$4="休","",IF(COUNTIF(DATA!BV:BV,$A:$A)=0,"×","√")),""))</f>
        <v/>
      </c>
      <c r="BV16" s="32" t="str">
        <f ca="1">IF($A16="","",IF(IF(BV$2&lt;=$A$1,1,0),IF(BV$4="休","",IF(COUNTIF(DATA!BW:BW,$A:$A)=0,"×","√")),""))</f>
        <v/>
      </c>
      <c r="BW16" s="32" t="str">
        <f ca="1">IF($A16="","",IF(IF(BW$2&lt;=$A$1,1,0),IF(BW$4="休","",IF(COUNTIF(DATA!BX:BX,$A:$A)=0,"×","√")),""))</f>
        <v/>
      </c>
      <c r="BX16" s="32" t="str">
        <f ca="1">IF($A16="","",IF(IF(BX$2&lt;=$A$1,1,0),IF(BX$4="休","",IF(COUNTIF(DATA!BY:BY,$A:$A)=0,"×","√")),""))</f>
        <v/>
      </c>
      <c r="BY16" s="32" t="str">
        <f ca="1">IF($A16="","",IF(IF(BY$2&lt;=$A$1,1,0),IF(BY$4="休","",IF(COUNTIF(DATA!BZ:BZ,$A:$A)=0,"×","√")),""))</f>
        <v/>
      </c>
      <c r="BZ16" s="32" t="str">
        <f ca="1">IF($A16="","",IF(IF(BZ$2&lt;=$A$1,1,0),IF(BZ$4="休","",IF(COUNTIF(DATA!CA:CA,$A:$A)=0,"×","√")),""))</f>
        <v/>
      </c>
      <c r="CA16" s="32" t="str">
        <f ca="1">IF($A16="","",IF(IF(CA$2&lt;=$A$1,1,0),IF(CA$4="休","",IF(COUNTIF(DATA!CB:CB,$A:$A)=0,"×","√")),""))</f>
        <v/>
      </c>
      <c r="CB16" s="32" t="str">
        <f ca="1">IF($A16="","",IF(IF(CB$2&lt;=$A$1,1,0),IF(CB$4="休","",IF(COUNTIF(DATA!CC:CC,$A:$A)=0,"×","√")),""))</f>
        <v/>
      </c>
      <c r="CC16" s="32" t="str">
        <f ca="1">IF($A16="","",IF(IF(CC$2&lt;=$A$1,1,0),IF(CC$4="休","",IF(COUNTIF(DATA!CD:CD,$A:$A)=0,"×","√")),""))</f>
        <v/>
      </c>
      <c r="CD16" s="32" t="str">
        <f ca="1">IF($A16="","",IF(IF(CD$2&lt;=$A$1,1,0),IF(CD$4="休","",IF(COUNTIF(DATA!CE:CE,$A:$A)=0,"×","√")),""))</f>
        <v/>
      </c>
      <c r="CE16" s="32" t="str">
        <f ca="1">IF($A16="","",IF(IF(CE$2&lt;=$A$1,1,0),IF(CE$4="休","",IF(COUNTIF(DATA!CF:CF,$A:$A)=0,"×","√")),""))</f>
        <v/>
      </c>
      <c r="CF16" s="32" t="str">
        <f ca="1">IF($A16="","",IF(IF(CF$2&lt;=$A$1,1,0),IF(CF$4="休","",IF(COUNTIF(DATA!CG:CG,$A:$A)=0,"×","√")),""))</f>
        <v/>
      </c>
      <c r="CG16" s="32" t="str">
        <f ca="1">IF($A16="","",IF(IF(CG$2&lt;=$A$1,1,0),IF(CG$4="休","",IF(COUNTIF(DATA!CH:CH,$A:$A)=0,"×","√")),""))</f>
        <v/>
      </c>
      <c r="CH16" s="32" t="str">
        <f ca="1">IF($A16="","",IF(IF(CH$2&lt;=$A$1,1,0),IF(CH$4="休","",IF(COUNTIF(DATA!CI:CI,$A:$A)=0,"×","√")),""))</f>
        <v/>
      </c>
      <c r="CI16" s="32" t="str">
        <f ca="1">IF($A16="","",IF(IF(CI$2&lt;=$A$1,1,0),IF(CI$4="休","",IF(COUNTIF(DATA!CJ:CJ,$A:$A)=0,"×","√")),""))</f>
        <v/>
      </c>
      <c r="CJ16" s="32" t="str">
        <f ca="1">IF($A16="","",IF(IF(CJ$2&lt;=$A$1,1,0),IF(CJ$4="休","",IF(COUNTIF(DATA!CK:CK,$A:$A)=0,"×","√")),""))</f>
        <v/>
      </c>
      <c r="CK16" s="32" t="str">
        <f ca="1">IF($A16="","",IF(IF(CK$2&lt;=$A$1,1,0),IF(CK$4="休","",IF(COUNTIF(DATA!CL:CL,$A:$A)=0,"×","√")),""))</f>
        <v/>
      </c>
      <c r="CL16" s="32" t="str">
        <f ca="1">IF($A16="","",IF(IF(CL$2&lt;=$A$1,1,0),IF(CL$4="休","",IF(COUNTIF(DATA!CM:CM,$A:$A)=0,"×","√")),""))</f>
        <v/>
      </c>
      <c r="CM16" s="32" t="str">
        <f ca="1">IF($A16="","",IF(IF(CM$2&lt;=$A$1,1,0),IF(CM$4="休","",IF(COUNTIF(DATA!CN:CN,$A:$A)=0,"×","√")),""))</f>
        <v/>
      </c>
      <c r="CN16" s="32" t="str">
        <f ca="1">IF($A16="","",IF(IF(CN$2&lt;=$A$1,1,0),IF(CN$4="休","",IF(COUNTIF(DATA!CO:CO,$A:$A)=0,"×","√")),""))</f>
        <v/>
      </c>
      <c r="CO16" s="32" t="str">
        <f ca="1">IF($A16="","",IF(IF(CO$2&lt;=$A$1,1,0),IF(CO$4="休","",IF(COUNTIF(DATA!CP:CP,$A:$A)=0,"×","√")),""))</f>
        <v/>
      </c>
      <c r="CP16" s="32" t="str">
        <f ca="1">IF($A16="","",IF(IF(CP$2&lt;=$A$1,1,0),IF(CP$4="休","",IF(COUNTIF(DATA!CQ:CQ,$A:$A)=0,"×","√")),""))</f>
        <v/>
      </c>
      <c r="CQ16" s="32" t="str">
        <f ca="1">IF($A16="","",IF(IF(CQ$2&lt;=$A$1,1,0),IF(CQ$4="休","",IF(COUNTIF(DATA!CR:CR,$A:$A)=0,"×","√")),""))</f>
        <v/>
      </c>
      <c r="CR16" s="32" t="str">
        <f ca="1">IF($A16="","",IF(IF(CR$2&lt;=$A$1,1,0),IF(CR$4="休","",IF(COUNTIF(DATA!CS:CS,$A:$A)=0,"×","√")),""))</f>
        <v/>
      </c>
    </row>
    <row r="17" s="26" customFormat="1" ht="18.75" spans="1:96">
      <c r="A17" s="32" t="str">
        <f>DATA!$A16&amp;""</f>
        <v>项康乐</v>
      </c>
      <c r="B17" s="32" t="str">
        <f ca="1">IF($A17="","",IF(IF(B$2&lt;=$A$1,1,0),IF(B$4="休","",IF(COUNTIF(DATA!C:C,$A:$A)=0,"×","√")),""))</f>
        <v>√</v>
      </c>
      <c r="C17" s="32" t="str">
        <f ca="1">IF($A17="","",IF(IF(C$2&lt;=$A$1,1,0),IF(C$4="休","",IF(COUNTIF(DATA!D:D,$A:$A)=0,"×","√")),""))</f>
        <v>√</v>
      </c>
      <c r="D17" s="32" t="str">
        <f ca="1">IF($A17="","",IF(IF(D$2&lt;=$A$1,1,0),IF(D$4="休","",IF(COUNTIF(DATA!E:E,$A:$A)=0,"×","√")),""))</f>
        <v>√</v>
      </c>
      <c r="E17" s="32" t="str">
        <f ca="1">IF($A17="","",IF(IF(E$2&lt;=$A$1,1,0),IF(E$4="休","",IF(COUNTIF(DATA!F:F,$A:$A)=0,"×","√")),""))</f>
        <v>√</v>
      </c>
      <c r="F17" s="32" t="str">
        <f ca="1">IF($A17="","",IF(IF(F$2&lt;=$A$1,1,0),IF(F$4="休","",IF(COUNTIF(DATA!G:G,$A:$A)=0,"×","√")),""))</f>
        <v>√</v>
      </c>
      <c r="G17" s="32" t="str">
        <f ca="1">IF($A17="","",IF(IF(G$2&lt;=$A$1,1,0),IF(G$4="休","",IF(COUNTIF(DATA!H:H,$A:$A)=0,"×","√")),""))</f>
        <v>√</v>
      </c>
      <c r="H17" s="32" t="str">
        <f ca="1">IF($A17="","",IF(IF(H$2&lt;=$A$1,1,0),IF(H$4="休","",IF(COUNTIF(DATA!I:I,$A:$A)=0,"×","√")),""))</f>
        <v>√</v>
      </c>
      <c r="I17" s="32" t="str">
        <f ca="1">IF($A17="","",IF(IF(I$2&lt;=$A$1,1,0),IF(I$4="休","",IF(COUNTIF(DATA!J:J,$A:$A)=0,"×","√")),""))</f>
        <v>√</v>
      </c>
      <c r="J17" s="32" t="str">
        <f ca="1">IF($A17="","",IF(IF(J$2&lt;=$A$1,1,0),IF(J$4="休","",IF(COUNTIF(DATA!K:K,$A:$A)=0,"×","√")),""))</f>
        <v/>
      </c>
      <c r="K17" s="32" t="str">
        <f ca="1">IF($A17="","",IF(IF(K$2&lt;=$A$1,1,0),IF(K$4="休","",IF(COUNTIF(DATA!L:L,$A:$A)=0,"×","√")),""))</f>
        <v/>
      </c>
      <c r="L17" s="32" t="str">
        <f ca="1">IF($A17="","",IF(IF(L$2&lt;=$A$1,1,0),IF(L$4="休","",IF(COUNTIF(DATA!M:M,$A:$A)=0,"×","√")),""))</f>
        <v/>
      </c>
      <c r="M17" s="32" t="str">
        <f ca="1">IF($A17="","",IF(IF(M$2&lt;=$A$1,1,0),IF(M$4="休","",IF(COUNTIF(DATA!N:N,$A:$A)=0,"×","√")),""))</f>
        <v/>
      </c>
      <c r="N17" s="32" t="str">
        <f ca="1">IF($A17="","",IF(IF(N$2&lt;=$A$1,1,0),IF(N$4="休","",IF(COUNTIF(DATA!O:O,$A:$A)=0,"×","√")),""))</f>
        <v/>
      </c>
      <c r="O17" s="32" t="str">
        <f ca="1">IF($A17="","",IF(IF(O$2&lt;=$A$1,1,0),IF(O$4="休","",IF(COUNTIF(DATA!P:P,$A:$A)=0,"×","√")),""))</f>
        <v/>
      </c>
      <c r="P17" s="32" t="str">
        <f ca="1">IF($A17="","",IF(IF(P$2&lt;=$A$1,1,0),IF(P$4="休","",IF(COUNTIF(DATA!Q:Q,$A:$A)=0,"×","√")),""))</f>
        <v/>
      </c>
      <c r="Q17" s="32" t="str">
        <f ca="1">IF($A17="","",IF(IF(Q$2&lt;=$A$1,1,0),IF(Q$4="休","",IF(COUNTIF(DATA!R:R,$A:$A)=0,"×","√")),""))</f>
        <v/>
      </c>
      <c r="R17" s="32" t="str">
        <f ca="1">IF($A17="","",IF(IF(R$2&lt;=$A$1,1,0),IF(R$4="休","",IF(COUNTIF(DATA!S:S,$A:$A)=0,"×","√")),""))</f>
        <v/>
      </c>
      <c r="S17" s="32" t="str">
        <f ca="1">IF($A17="","",IF(IF(S$2&lt;=$A$1,1,0),IF(S$4="休","",IF(COUNTIF(DATA!T:T,$A:$A)=0,"×","√")),""))</f>
        <v/>
      </c>
      <c r="T17" s="32" t="str">
        <f ca="1">IF($A17="","",IF(IF(T$2&lt;=$A$1,1,0),IF(T$4="休","",IF(COUNTIF(DATA!U:U,$A:$A)=0,"×","√")),""))</f>
        <v/>
      </c>
      <c r="U17" s="32" t="str">
        <f ca="1">IF($A17="","",IF(IF(U$2&lt;=$A$1,1,0),IF(U$4="休","",IF(COUNTIF(DATA!V:V,$A:$A)=0,"×","√")),""))</f>
        <v/>
      </c>
      <c r="V17" s="32" t="str">
        <f ca="1">IF($A17="","",IF(IF(V$2&lt;=$A$1,1,0),IF(V$4="休","",IF(COUNTIF(DATA!W:W,$A:$A)=0,"×","√")),""))</f>
        <v/>
      </c>
      <c r="W17" s="32" t="str">
        <f ca="1">IF($A17="","",IF(IF(W$2&lt;=$A$1,1,0),IF(W$4="休","",IF(COUNTIF(DATA!X:X,$A:$A)=0,"×","√")),""))</f>
        <v/>
      </c>
      <c r="X17" s="32" t="str">
        <f ca="1">IF($A17="","",IF(IF(X$2&lt;=$A$1,1,0),IF(X$4="休","",IF(COUNTIF(DATA!Y:Y,$A:$A)=0,"×","√")),""))</f>
        <v/>
      </c>
      <c r="Y17" s="32" t="str">
        <f ca="1">IF($A17="","",IF(IF(Y$2&lt;=$A$1,1,0),IF(Y$4="休","",IF(COUNTIF(DATA!Z:Z,$A:$A)=0,"×","√")),""))</f>
        <v/>
      </c>
      <c r="Z17" s="32" t="str">
        <f ca="1">IF($A17="","",IF(IF(Z$2&lt;=$A$1,1,0),IF(Z$4="休","",IF(COUNTIF(DATA!AA:AA,$A:$A)=0,"×","√")),""))</f>
        <v/>
      </c>
      <c r="AA17" s="32" t="str">
        <f ca="1">IF($A17="","",IF(IF(AA$2&lt;=$A$1,1,0),IF(AA$4="休","",IF(COUNTIF(DATA!AB:AB,$A:$A)=0,"×","√")),""))</f>
        <v/>
      </c>
      <c r="AB17" s="32" t="str">
        <f ca="1">IF($A17="","",IF(IF(AB$2&lt;=$A$1,1,0),IF(AB$4="休","",IF(COUNTIF(DATA!AC:AC,$A:$A)=0,"×","√")),""))</f>
        <v/>
      </c>
      <c r="AC17" s="32" t="str">
        <f ca="1">IF($A17="","",IF(IF(AC$2&lt;=$A$1,1,0),IF(AC$4="休","",IF(COUNTIF(DATA!AD:AD,$A:$A)=0,"×","√")),""))</f>
        <v/>
      </c>
      <c r="AD17" s="32" t="str">
        <f ca="1">IF($A17="","",IF(IF(AD$2&lt;=$A$1,1,0),IF(AD$4="休","",IF(COUNTIF(DATA!AE:AE,$A:$A)=0,"×","√")),""))</f>
        <v/>
      </c>
      <c r="AE17" s="32" t="str">
        <f ca="1">IF($A17="","",IF(IF(AE$2&lt;=$A$1,1,0),IF(AE$4="休","",IF(COUNTIF(DATA!AF:AF,$A:$A)=0,"×","√")),""))</f>
        <v/>
      </c>
      <c r="AF17" s="32" t="str">
        <f ca="1">IF($A17="","",IF(IF(AF$2&lt;=$A$1,1,0),IF(AF$4="休","",IF(COUNTIF(DATA!AG:AG,$A:$A)=0,"×","√")),""))</f>
        <v/>
      </c>
      <c r="AG17" s="32" t="str">
        <f ca="1">IF($A17="","",IF(IF(AG$2&lt;=$A$1,1,0),IF(AG$4="休","",IF(COUNTIF(DATA!AH:AH,$A:$A)=0,"×","√")),""))</f>
        <v/>
      </c>
      <c r="AH17" s="32" t="str">
        <f ca="1">IF($A17="","",IF(IF(AH$2&lt;=$A$1,1,0),IF(AH$4="休","",IF(COUNTIF(DATA!AI:AI,$A:$A)=0,"×","√")),""))</f>
        <v/>
      </c>
      <c r="AI17" s="32" t="str">
        <f ca="1">IF($A17="","",IF(IF(AI$2&lt;=$A$1,1,0),IF(AI$4="休","",IF(COUNTIF(DATA!AJ:AJ,$A:$A)=0,"×","√")),""))</f>
        <v/>
      </c>
      <c r="AJ17" s="32" t="str">
        <f ca="1">IF($A17="","",IF(IF(AJ$2&lt;=$A$1,1,0),IF(AJ$4="休","",IF(COUNTIF(DATA!AK:AK,$A:$A)=0,"×","√")),""))</f>
        <v/>
      </c>
      <c r="AK17" s="32" t="str">
        <f ca="1">IF($A17="","",IF(IF(AK$2&lt;=$A$1,1,0),IF(AK$4="休","",IF(COUNTIF(DATA!AL:AL,$A:$A)=0,"×","√")),""))</f>
        <v/>
      </c>
      <c r="AL17" s="32" t="str">
        <f ca="1">IF($A17="","",IF(IF(AL$2&lt;=$A$1,1,0),IF(AL$4="休","",IF(COUNTIF(DATA!AM:AM,$A:$A)=0,"×","√")),""))</f>
        <v/>
      </c>
      <c r="AM17" s="32" t="str">
        <f ca="1">IF($A17="","",IF(IF(AM$2&lt;=$A$1,1,0),IF(AM$4="休","",IF(COUNTIF(DATA!AN:AN,$A:$A)=0,"×","√")),""))</f>
        <v/>
      </c>
      <c r="AN17" s="32" t="str">
        <f ca="1">IF($A17="","",IF(IF(AN$2&lt;=$A$1,1,0),IF(AN$4="休","",IF(COUNTIF(DATA!AO:AO,$A:$A)=0,"×","√")),""))</f>
        <v/>
      </c>
      <c r="AO17" s="32" t="str">
        <f ca="1">IF($A17="","",IF(IF(AO$2&lt;=$A$1,1,0),IF(AO$4="休","",IF(COUNTIF(DATA!AP:AP,$A:$A)=0,"×","√")),""))</f>
        <v/>
      </c>
      <c r="AP17" s="32" t="str">
        <f ca="1">IF($A17="","",IF(IF(AP$2&lt;=$A$1,1,0),IF(AP$4="休","",IF(COUNTIF(DATA!AQ:AQ,$A:$A)=0,"×","√")),""))</f>
        <v/>
      </c>
      <c r="AQ17" s="32" t="str">
        <f ca="1">IF($A17="","",IF(IF(AQ$2&lt;=$A$1,1,0),IF(AQ$4="休","",IF(COUNTIF(DATA!AR:AR,$A:$A)=0,"×","√")),""))</f>
        <v/>
      </c>
      <c r="AR17" s="32" t="str">
        <f ca="1">IF($A17="","",IF(IF(AR$2&lt;=$A$1,1,0),IF(AR$4="休","",IF(COUNTIF(DATA!AS:AS,$A:$A)=0,"×","√")),""))</f>
        <v/>
      </c>
      <c r="AS17" s="32" t="str">
        <f ca="1">IF($A17="","",IF(IF(AS$2&lt;=$A$1,1,0),IF(AS$4="休","",IF(COUNTIF(DATA!AT:AT,$A:$A)=0,"×","√")),""))</f>
        <v/>
      </c>
      <c r="AT17" s="32" t="str">
        <f ca="1">IF($A17="","",IF(IF(AT$2&lt;=$A$1,1,0),IF(AT$4="休","",IF(COUNTIF(DATA!AU:AU,$A:$A)=0,"×","√")),""))</f>
        <v/>
      </c>
      <c r="AU17" s="32" t="str">
        <f ca="1">IF($A17="","",IF(IF(AU$2&lt;=$A$1,1,0),IF(AU$4="休","",IF(COUNTIF(DATA!AV:AV,$A:$A)=0,"×","√")),""))</f>
        <v/>
      </c>
      <c r="AV17" s="32" t="str">
        <f ca="1">IF($A17="","",IF(IF(AV$2&lt;=$A$1,1,0),IF(AV$4="休","",IF(COUNTIF(DATA!AW:AW,$A:$A)=0,"×","√")),""))</f>
        <v/>
      </c>
      <c r="AW17" s="32" t="str">
        <f ca="1">IF($A17="","",IF(IF(AW$2&lt;=$A$1,1,0),IF(AW$4="休","",IF(COUNTIF(DATA!AX:AX,$A:$A)=0,"×","√")),""))</f>
        <v/>
      </c>
      <c r="AX17" s="32" t="str">
        <f ca="1">IF($A17="","",IF(IF(AX$2&lt;=$A$1,1,0),IF(AX$4="休","",IF(COUNTIF(DATA!AY:AY,$A:$A)=0,"×","√")),""))</f>
        <v/>
      </c>
      <c r="AY17" s="32" t="str">
        <f ca="1">IF($A17="","",IF(IF(AY$2&lt;=$A$1,1,0),IF(AY$4="休","",IF(COUNTIF(DATA!AZ:AZ,$A:$A)=0,"×","√")),""))</f>
        <v/>
      </c>
      <c r="AZ17" s="32" t="str">
        <f ca="1">IF($A17="","",IF(IF(AZ$2&lt;=$A$1,1,0),IF(AZ$4="休","",IF(COUNTIF(DATA!BA:BA,$A:$A)=0,"×","√")),""))</f>
        <v/>
      </c>
      <c r="BA17" s="32" t="str">
        <f ca="1">IF($A17="","",IF(IF(BA$2&lt;=$A$1,1,0),IF(BA$4="休","",IF(COUNTIF(DATA!BB:BB,$A:$A)=0,"×","√")),""))</f>
        <v/>
      </c>
      <c r="BB17" s="32" t="str">
        <f ca="1">IF($A17="","",IF(IF(BB$2&lt;=$A$1,1,0),IF(BB$4="休","",IF(COUNTIF(DATA!BC:BC,$A:$A)=0,"×","√")),""))</f>
        <v/>
      </c>
      <c r="BC17" s="32" t="str">
        <f ca="1">IF($A17="","",IF(IF(BC$2&lt;=$A$1,1,0),IF(BC$4="休","",IF(COUNTIF(DATA!BD:BD,$A:$A)=0,"×","√")),""))</f>
        <v/>
      </c>
      <c r="BD17" s="32" t="str">
        <f ca="1">IF($A17="","",IF(IF(BD$2&lt;=$A$1,1,0),IF(BD$4="休","",IF(COUNTIF(DATA!BE:BE,$A:$A)=0,"×","√")),""))</f>
        <v/>
      </c>
      <c r="BE17" s="32" t="str">
        <f ca="1">IF($A17="","",IF(IF(BE$2&lt;=$A$1,1,0),IF(BE$4="休","",IF(COUNTIF(DATA!BF:BF,$A:$A)=0,"×","√")),""))</f>
        <v/>
      </c>
      <c r="BF17" s="32" t="str">
        <f ca="1">IF($A17="","",IF(IF(BF$2&lt;=$A$1,1,0),IF(BF$4="休","",IF(COUNTIF(DATA!BG:BG,$A:$A)=0,"×","√")),""))</f>
        <v/>
      </c>
      <c r="BG17" s="32" t="str">
        <f ca="1">IF($A17="","",IF(IF(BG$2&lt;=$A$1,1,0),IF(BG$4="休","",IF(COUNTIF(DATA!BH:BH,$A:$A)=0,"×","√")),""))</f>
        <v/>
      </c>
      <c r="BH17" s="32" t="str">
        <f ca="1">IF($A17="","",IF(IF(BH$2&lt;=$A$1,1,0),IF(BH$4="休","",IF(COUNTIF(DATA!BI:BI,$A:$A)=0,"×","√")),""))</f>
        <v/>
      </c>
      <c r="BI17" s="32" t="str">
        <f ca="1">IF($A17="","",IF(IF(BI$2&lt;=$A$1,1,0),IF(BI$4="休","",IF(COUNTIF(DATA!BJ:BJ,$A:$A)=0,"×","√")),""))</f>
        <v/>
      </c>
      <c r="BJ17" s="32" t="str">
        <f ca="1">IF($A17="","",IF(IF(BJ$2&lt;=$A$1,1,0),IF(BJ$4="休","",IF(COUNTIF(DATA!BK:BK,$A:$A)=0,"×","√")),""))</f>
        <v/>
      </c>
      <c r="BK17" s="32" t="str">
        <f ca="1">IF($A17="","",IF(IF(BK$2&lt;=$A$1,1,0),IF(BK$4="休","",IF(COUNTIF(DATA!BL:BL,$A:$A)=0,"×","√")),""))</f>
        <v/>
      </c>
      <c r="BL17" s="32" t="str">
        <f ca="1">IF($A17="","",IF(IF(BL$2&lt;=$A$1,1,0),IF(BL$4="休","",IF(COUNTIF(DATA!BM:BM,$A:$A)=0,"×","√")),""))</f>
        <v/>
      </c>
      <c r="BM17" s="32" t="str">
        <f ca="1">IF($A17="","",IF(IF(BM$2&lt;=$A$1,1,0),IF(BM$4="休","",IF(COUNTIF(DATA!BN:BN,$A:$A)=0,"×","√")),""))</f>
        <v/>
      </c>
      <c r="BN17" s="32" t="str">
        <f ca="1">IF($A17="","",IF(IF(BN$2&lt;=$A$1,1,0),IF(BN$4="休","",IF(COUNTIF(DATA!BO:BO,$A:$A)=0,"×","√")),""))</f>
        <v/>
      </c>
      <c r="BO17" s="32" t="str">
        <f ca="1">IF($A17="","",IF(IF(BO$2&lt;=$A$1,1,0),IF(BO$4="休","",IF(COUNTIF(DATA!BP:BP,$A:$A)=0,"×","√")),""))</f>
        <v/>
      </c>
      <c r="BP17" s="32" t="str">
        <f ca="1">IF($A17="","",IF(IF(BP$2&lt;=$A$1,1,0),IF(BP$4="休","",IF(COUNTIF(DATA!BQ:BQ,$A:$A)=0,"×","√")),""))</f>
        <v/>
      </c>
      <c r="BQ17" s="32" t="str">
        <f ca="1">IF($A17="","",IF(IF(BQ$2&lt;=$A$1,1,0),IF(BQ$4="休","",IF(COUNTIF(DATA!BR:BR,$A:$A)=0,"×","√")),""))</f>
        <v/>
      </c>
      <c r="BR17" s="32" t="str">
        <f ca="1">IF($A17="","",IF(IF(BR$2&lt;=$A$1,1,0),IF(BR$4="休","",IF(COUNTIF(DATA!BS:BS,$A:$A)=0,"×","√")),""))</f>
        <v/>
      </c>
      <c r="BS17" s="32" t="str">
        <f ca="1">IF($A17="","",IF(IF(BS$2&lt;=$A$1,1,0),IF(BS$4="休","",IF(COUNTIF(DATA!BT:BT,$A:$A)=0,"×","√")),""))</f>
        <v/>
      </c>
      <c r="BT17" s="32" t="str">
        <f ca="1">IF($A17="","",IF(IF(BT$2&lt;=$A$1,1,0),IF(BT$4="休","",IF(COUNTIF(DATA!BU:BU,$A:$A)=0,"×","√")),""))</f>
        <v/>
      </c>
      <c r="BU17" s="32" t="str">
        <f ca="1">IF($A17="","",IF(IF(BU$2&lt;=$A$1,1,0),IF(BU$4="休","",IF(COUNTIF(DATA!BV:BV,$A:$A)=0,"×","√")),""))</f>
        <v/>
      </c>
      <c r="BV17" s="32" t="str">
        <f ca="1">IF($A17="","",IF(IF(BV$2&lt;=$A$1,1,0),IF(BV$4="休","",IF(COUNTIF(DATA!BW:BW,$A:$A)=0,"×","√")),""))</f>
        <v/>
      </c>
      <c r="BW17" s="32" t="str">
        <f ca="1">IF($A17="","",IF(IF(BW$2&lt;=$A$1,1,0),IF(BW$4="休","",IF(COUNTIF(DATA!BX:BX,$A:$A)=0,"×","√")),""))</f>
        <v/>
      </c>
      <c r="BX17" s="32" t="str">
        <f ca="1">IF($A17="","",IF(IF(BX$2&lt;=$A$1,1,0),IF(BX$4="休","",IF(COUNTIF(DATA!BY:BY,$A:$A)=0,"×","√")),""))</f>
        <v/>
      </c>
      <c r="BY17" s="32" t="str">
        <f ca="1">IF($A17="","",IF(IF(BY$2&lt;=$A$1,1,0),IF(BY$4="休","",IF(COUNTIF(DATA!BZ:BZ,$A:$A)=0,"×","√")),""))</f>
        <v/>
      </c>
      <c r="BZ17" s="32" t="str">
        <f ca="1">IF($A17="","",IF(IF(BZ$2&lt;=$A$1,1,0),IF(BZ$4="休","",IF(COUNTIF(DATA!CA:CA,$A:$A)=0,"×","√")),""))</f>
        <v/>
      </c>
      <c r="CA17" s="32" t="str">
        <f ca="1">IF($A17="","",IF(IF(CA$2&lt;=$A$1,1,0),IF(CA$4="休","",IF(COUNTIF(DATA!CB:CB,$A:$A)=0,"×","√")),""))</f>
        <v/>
      </c>
      <c r="CB17" s="32" t="str">
        <f ca="1">IF($A17="","",IF(IF(CB$2&lt;=$A$1,1,0),IF(CB$4="休","",IF(COUNTIF(DATA!CC:CC,$A:$A)=0,"×","√")),""))</f>
        <v/>
      </c>
      <c r="CC17" s="32" t="str">
        <f ca="1">IF($A17="","",IF(IF(CC$2&lt;=$A$1,1,0),IF(CC$4="休","",IF(COUNTIF(DATA!CD:CD,$A:$A)=0,"×","√")),""))</f>
        <v/>
      </c>
      <c r="CD17" s="32" t="str">
        <f ca="1">IF($A17="","",IF(IF(CD$2&lt;=$A$1,1,0),IF(CD$4="休","",IF(COUNTIF(DATA!CE:CE,$A:$A)=0,"×","√")),""))</f>
        <v/>
      </c>
      <c r="CE17" s="32" t="str">
        <f ca="1">IF($A17="","",IF(IF(CE$2&lt;=$A$1,1,0),IF(CE$4="休","",IF(COUNTIF(DATA!CF:CF,$A:$A)=0,"×","√")),""))</f>
        <v/>
      </c>
      <c r="CF17" s="32" t="str">
        <f ca="1">IF($A17="","",IF(IF(CF$2&lt;=$A$1,1,0),IF(CF$4="休","",IF(COUNTIF(DATA!CG:CG,$A:$A)=0,"×","√")),""))</f>
        <v/>
      </c>
      <c r="CG17" s="32" t="str">
        <f ca="1">IF($A17="","",IF(IF(CG$2&lt;=$A$1,1,0),IF(CG$4="休","",IF(COUNTIF(DATA!CH:CH,$A:$A)=0,"×","√")),""))</f>
        <v/>
      </c>
      <c r="CH17" s="32" t="str">
        <f ca="1">IF($A17="","",IF(IF(CH$2&lt;=$A$1,1,0),IF(CH$4="休","",IF(COUNTIF(DATA!CI:CI,$A:$A)=0,"×","√")),""))</f>
        <v/>
      </c>
      <c r="CI17" s="32" t="str">
        <f ca="1">IF($A17="","",IF(IF(CI$2&lt;=$A$1,1,0),IF(CI$4="休","",IF(COUNTIF(DATA!CJ:CJ,$A:$A)=0,"×","√")),""))</f>
        <v/>
      </c>
      <c r="CJ17" s="32" t="str">
        <f ca="1">IF($A17="","",IF(IF(CJ$2&lt;=$A$1,1,0),IF(CJ$4="休","",IF(COUNTIF(DATA!CK:CK,$A:$A)=0,"×","√")),""))</f>
        <v/>
      </c>
      <c r="CK17" s="32" t="str">
        <f ca="1">IF($A17="","",IF(IF(CK$2&lt;=$A$1,1,0),IF(CK$4="休","",IF(COUNTIF(DATA!CL:CL,$A:$A)=0,"×","√")),""))</f>
        <v/>
      </c>
      <c r="CL17" s="32" t="str">
        <f ca="1">IF($A17="","",IF(IF(CL$2&lt;=$A$1,1,0),IF(CL$4="休","",IF(COUNTIF(DATA!CM:CM,$A:$A)=0,"×","√")),""))</f>
        <v/>
      </c>
      <c r="CM17" s="32" t="str">
        <f ca="1">IF($A17="","",IF(IF(CM$2&lt;=$A$1,1,0),IF(CM$4="休","",IF(COUNTIF(DATA!CN:CN,$A:$A)=0,"×","√")),""))</f>
        <v/>
      </c>
      <c r="CN17" s="32" t="str">
        <f ca="1">IF($A17="","",IF(IF(CN$2&lt;=$A$1,1,0),IF(CN$4="休","",IF(COUNTIF(DATA!CO:CO,$A:$A)=0,"×","√")),""))</f>
        <v/>
      </c>
      <c r="CO17" s="32" t="str">
        <f ca="1">IF($A17="","",IF(IF(CO$2&lt;=$A$1,1,0),IF(CO$4="休","",IF(COUNTIF(DATA!CP:CP,$A:$A)=0,"×","√")),""))</f>
        <v/>
      </c>
      <c r="CP17" s="32" t="str">
        <f ca="1">IF($A17="","",IF(IF(CP$2&lt;=$A$1,1,0),IF(CP$4="休","",IF(COUNTIF(DATA!CQ:CQ,$A:$A)=0,"×","√")),""))</f>
        <v/>
      </c>
      <c r="CQ17" s="32" t="str">
        <f ca="1">IF($A17="","",IF(IF(CQ$2&lt;=$A$1,1,0),IF(CQ$4="休","",IF(COUNTIF(DATA!CR:CR,$A:$A)=0,"×","√")),""))</f>
        <v/>
      </c>
      <c r="CR17" s="32" t="str">
        <f ca="1">IF($A17="","",IF(IF(CR$2&lt;=$A$1,1,0),IF(CR$4="休","",IF(COUNTIF(DATA!CS:CS,$A:$A)=0,"×","√")),""))</f>
        <v/>
      </c>
    </row>
    <row r="18" s="26" customFormat="1" ht="18.75" spans="1:96">
      <c r="A18" s="32" t="str">
        <f>DATA!$A17&amp;""</f>
        <v>朱磊</v>
      </c>
      <c r="B18" s="32" t="str">
        <f ca="1">IF($A18="","",IF(IF(B$2&lt;=$A$1,1,0),IF(B$4="休","",IF(COUNTIF(DATA!C:C,$A:$A)=0,"×","√")),""))</f>
        <v>√</v>
      </c>
      <c r="C18" s="32" t="str">
        <f ca="1">IF($A18="","",IF(IF(C$2&lt;=$A$1,1,0),IF(C$4="休","",IF(COUNTIF(DATA!D:D,$A:$A)=0,"×","√")),""))</f>
        <v>√</v>
      </c>
      <c r="D18" s="32" t="str">
        <f ca="1">IF($A18="","",IF(IF(D$2&lt;=$A$1,1,0),IF(D$4="休","",IF(COUNTIF(DATA!E:E,$A:$A)=0,"×","√")),""))</f>
        <v>√</v>
      </c>
      <c r="E18" s="32" t="str">
        <f ca="1">IF($A18="","",IF(IF(E$2&lt;=$A$1,1,0),IF(E$4="休","",IF(COUNTIF(DATA!F:F,$A:$A)=0,"×","√")),""))</f>
        <v>√</v>
      </c>
      <c r="F18" s="32" t="str">
        <f ca="1">IF($A18="","",IF(IF(F$2&lt;=$A$1,1,0),IF(F$4="休","",IF(COUNTIF(DATA!G:G,$A:$A)=0,"×","√")),""))</f>
        <v>√</v>
      </c>
      <c r="G18" s="32" t="str">
        <f ca="1">IF($A18="","",IF(IF(G$2&lt;=$A$1,1,0),IF(G$4="休","",IF(COUNTIF(DATA!H:H,$A:$A)=0,"×","√")),""))</f>
        <v>√</v>
      </c>
      <c r="H18" s="32" t="str">
        <f ca="1">IF($A18="","",IF(IF(H$2&lt;=$A$1,1,0),IF(H$4="休","",IF(COUNTIF(DATA!I:I,$A:$A)=0,"×","√")),""))</f>
        <v>√</v>
      </c>
      <c r="I18" s="32" t="str">
        <f ca="1">IF($A18="","",IF(IF(I$2&lt;=$A$1,1,0),IF(I$4="休","",IF(COUNTIF(DATA!J:J,$A:$A)=0,"×","√")),""))</f>
        <v>√</v>
      </c>
      <c r="J18" s="32" t="str">
        <f ca="1">IF($A18="","",IF(IF(J$2&lt;=$A$1,1,0),IF(J$4="休","",IF(COUNTIF(DATA!K:K,$A:$A)=0,"×","√")),""))</f>
        <v/>
      </c>
      <c r="K18" s="32" t="str">
        <f ca="1">IF($A18="","",IF(IF(K$2&lt;=$A$1,1,0),IF(K$4="休","",IF(COUNTIF(DATA!L:L,$A:$A)=0,"×","√")),""))</f>
        <v/>
      </c>
      <c r="L18" s="32" t="str">
        <f ca="1">IF($A18="","",IF(IF(L$2&lt;=$A$1,1,0),IF(L$4="休","",IF(COUNTIF(DATA!M:M,$A:$A)=0,"×","√")),""))</f>
        <v/>
      </c>
      <c r="M18" s="32" t="str">
        <f ca="1">IF($A18="","",IF(IF(M$2&lt;=$A$1,1,0),IF(M$4="休","",IF(COUNTIF(DATA!N:N,$A:$A)=0,"×","√")),""))</f>
        <v/>
      </c>
      <c r="N18" s="32" t="str">
        <f ca="1">IF($A18="","",IF(IF(N$2&lt;=$A$1,1,0),IF(N$4="休","",IF(COUNTIF(DATA!O:O,$A:$A)=0,"×","√")),""))</f>
        <v/>
      </c>
      <c r="O18" s="32" t="str">
        <f ca="1">IF($A18="","",IF(IF(O$2&lt;=$A$1,1,0),IF(O$4="休","",IF(COUNTIF(DATA!P:P,$A:$A)=0,"×","√")),""))</f>
        <v/>
      </c>
      <c r="P18" s="32" t="str">
        <f ca="1">IF($A18="","",IF(IF(P$2&lt;=$A$1,1,0),IF(P$4="休","",IF(COUNTIF(DATA!Q:Q,$A:$A)=0,"×","√")),""))</f>
        <v/>
      </c>
      <c r="Q18" s="32" t="str">
        <f ca="1">IF($A18="","",IF(IF(Q$2&lt;=$A$1,1,0),IF(Q$4="休","",IF(COUNTIF(DATA!R:R,$A:$A)=0,"×","√")),""))</f>
        <v/>
      </c>
      <c r="R18" s="32" t="str">
        <f ca="1">IF($A18="","",IF(IF(R$2&lt;=$A$1,1,0),IF(R$4="休","",IF(COUNTIF(DATA!S:S,$A:$A)=0,"×","√")),""))</f>
        <v/>
      </c>
      <c r="S18" s="32" t="str">
        <f ca="1">IF($A18="","",IF(IF(S$2&lt;=$A$1,1,0),IF(S$4="休","",IF(COUNTIF(DATA!T:T,$A:$A)=0,"×","√")),""))</f>
        <v/>
      </c>
      <c r="T18" s="32" t="str">
        <f ca="1">IF($A18="","",IF(IF(T$2&lt;=$A$1,1,0),IF(T$4="休","",IF(COUNTIF(DATA!U:U,$A:$A)=0,"×","√")),""))</f>
        <v/>
      </c>
      <c r="U18" s="32" t="str">
        <f ca="1">IF($A18="","",IF(IF(U$2&lt;=$A$1,1,0),IF(U$4="休","",IF(COUNTIF(DATA!V:V,$A:$A)=0,"×","√")),""))</f>
        <v/>
      </c>
      <c r="V18" s="32" t="str">
        <f ca="1">IF($A18="","",IF(IF(V$2&lt;=$A$1,1,0),IF(V$4="休","",IF(COUNTIF(DATA!W:W,$A:$A)=0,"×","√")),""))</f>
        <v/>
      </c>
      <c r="W18" s="32" t="str">
        <f ca="1">IF($A18="","",IF(IF(W$2&lt;=$A$1,1,0),IF(W$4="休","",IF(COUNTIF(DATA!X:X,$A:$A)=0,"×","√")),""))</f>
        <v/>
      </c>
      <c r="X18" s="32" t="str">
        <f ca="1">IF($A18="","",IF(IF(X$2&lt;=$A$1,1,0),IF(X$4="休","",IF(COUNTIF(DATA!Y:Y,$A:$A)=0,"×","√")),""))</f>
        <v/>
      </c>
      <c r="Y18" s="32" t="str">
        <f ca="1">IF($A18="","",IF(IF(Y$2&lt;=$A$1,1,0),IF(Y$4="休","",IF(COUNTIF(DATA!Z:Z,$A:$A)=0,"×","√")),""))</f>
        <v/>
      </c>
      <c r="Z18" s="32" t="str">
        <f ca="1">IF($A18="","",IF(IF(Z$2&lt;=$A$1,1,0),IF(Z$4="休","",IF(COUNTIF(DATA!AA:AA,$A:$A)=0,"×","√")),""))</f>
        <v/>
      </c>
      <c r="AA18" s="32" t="str">
        <f ca="1">IF($A18="","",IF(IF(AA$2&lt;=$A$1,1,0),IF(AA$4="休","",IF(COUNTIF(DATA!AB:AB,$A:$A)=0,"×","√")),""))</f>
        <v/>
      </c>
      <c r="AB18" s="32" t="str">
        <f ca="1">IF($A18="","",IF(IF(AB$2&lt;=$A$1,1,0),IF(AB$4="休","",IF(COUNTIF(DATA!AC:AC,$A:$A)=0,"×","√")),""))</f>
        <v/>
      </c>
      <c r="AC18" s="32" t="str">
        <f ca="1">IF($A18="","",IF(IF(AC$2&lt;=$A$1,1,0),IF(AC$4="休","",IF(COUNTIF(DATA!AD:AD,$A:$A)=0,"×","√")),""))</f>
        <v/>
      </c>
      <c r="AD18" s="32" t="str">
        <f ca="1">IF($A18="","",IF(IF(AD$2&lt;=$A$1,1,0),IF(AD$4="休","",IF(COUNTIF(DATA!AE:AE,$A:$A)=0,"×","√")),""))</f>
        <v/>
      </c>
      <c r="AE18" s="32" t="str">
        <f ca="1">IF($A18="","",IF(IF(AE$2&lt;=$A$1,1,0),IF(AE$4="休","",IF(COUNTIF(DATA!AF:AF,$A:$A)=0,"×","√")),""))</f>
        <v/>
      </c>
      <c r="AF18" s="32" t="str">
        <f ca="1">IF($A18="","",IF(IF(AF$2&lt;=$A$1,1,0),IF(AF$4="休","",IF(COUNTIF(DATA!AG:AG,$A:$A)=0,"×","√")),""))</f>
        <v/>
      </c>
      <c r="AG18" s="32" t="str">
        <f ca="1">IF($A18="","",IF(IF(AG$2&lt;=$A$1,1,0),IF(AG$4="休","",IF(COUNTIF(DATA!AH:AH,$A:$A)=0,"×","√")),""))</f>
        <v/>
      </c>
      <c r="AH18" s="32" t="str">
        <f ca="1">IF($A18="","",IF(IF(AH$2&lt;=$A$1,1,0),IF(AH$4="休","",IF(COUNTIF(DATA!AI:AI,$A:$A)=0,"×","√")),""))</f>
        <v/>
      </c>
      <c r="AI18" s="32" t="str">
        <f ca="1">IF($A18="","",IF(IF(AI$2&lt;=$A$1,1,0),IF(AI$4="休","",IF(COUNTIF(DATA!AJ:AJ,$A:$A)=0,"×","√")),""))</f>
        <v/>
      </c>
      <c r="AJ18" s="32" t="str">
        <f ca="1">IF($A18="","",IF(IF(AJ$2&lt;=$A$1,1,0),IF(AJ$4="休","",IF(COUNTIF(DATA!AK:AK,$A:$A)=0,"×","√")),""))</f>
        <v/>
      </c>
      <c r="AK18" s="32" t="str">
        <f ca="1">IF($A18="","",IF(IF(AK$2&lt;=$A$1,1,0),IF(AK$4="休","",IF(COUNTIF(DATA!AL:AL,$A:$A)=0,"×","√")),""))</f>
        <v/>
      </c>
      <c r="AL18" s="32" t="str">
        <f ca="1">IF($A18="","",IF(IF(AL$2&lt;=$A$1,1,0),IF(AL$4="休","",IF(COUNTIF(DATA!AM:AM,$A:$A)=0,"×","√")),""))</f>
        <v/>
      </c>
      <c r="AM18" s="32" t="str">
        <f ca="1">IF($A18="","",IF(IF(AM$2&lt;=$A$1,1,0),IF(AM$4="休","",IF(COUNTIF(DATA!AN:AN,$A:$A)=0,"×","√")),""))</f>
        <v/>
      </c>
      <c r="AN18" s="32" t="str">
        <f ca="1">IF($A18="","",IF(IF(AN$2&lt;=$A$1,1,0),IF(AN$4="休","",IF(COUNTIF(DATA!AO:AO,$A:$A)=0,"×","√")),""))</f>
        <v/>
      </c>
      <c r="AO18" s="32" t="str">
        <f ca="1">IF($A18="","",IF(IF(AO$2&lt;=$A$1,1,0),IF(AO$4="休","",IF(COUNTIF(DATA!AP:AP,$A:$A)=0,"×","√")),""))</f>
        <v/>
      </c>
      <c r="AP18" s="32" t="str">
        <f ca="1">IF($A18="","",IF(IF(AP$2&lt;=$A$1,1,0),IF(AP$4="休","",IF(COUNTIF(DATA!AQ:AQ,$A:$A)=0,"×","√")),""))</f>
        <v/>
      </c>
      <c r="AQ18" s="32" t="str">
        <f ca="1">IF($A18="","",IF(IF(AQ$2&lt;=$A$1,1,0),IF(AQ$4="休","",IF(COUNTIF(DATA!AR:AR,$A:$A)=0,"×","√")),""))</f>
        <v/>
      </c>
      <c r="AR18" s="32" t="str">
        <f ca="1">IF($A18="","",IF(IF(AR$2&lt;=$A$1,1,0),IF(AR$4="休","",IF(COUNTIF(DATA!AS:AS,$A:$A)=0,"×","√")),""))</f>
        <v/>
      </c>
      <c r="AS18" s="32" t="str">
        <f ca="1">IF($A18="","",IF(IF(AS$2&lt;=$A$1,1,0),IF(AS$4="休","",IF(COUNTIF(DATA!AT:AT,$A:$A)=0,"×","√")),""))</f>
        <v/>
      </c>
      <c r="AT18" s="32" t="str">
        <f ca="1">IF($A18="","",IF(IF(AT$2&lt;=$A$1,1,0),IF(AT$4="休","",IF(COUNTIF(DATA!AU:AU,$A:$A)=0,"×","√")),""))</f>
        <v/>
      </c>
      <c r="AU18" s="32" t="str">
        <f ca="1">IF($A18="","",IF(IF(AU$2&lt;=$A$1,1,0),IF(AU$4="休","",IF(COUNTIF(DATA!AV:AV,$A:$A)=0,"×","√")),""))</f>
        <v/>
      </c>
      <c r="AV18" s="32" t="str">
        <f ca="1">IF($A18="","",IF(IF(AV$2&lt;=$A$1,1,0),IF(AV$4="休","",IF(COUNTIF(DATA!AW:AW,$A:$A)=0,"×","√")),""))</f>
        <v/>
      </c>
      <c r="AW18" s="32" t="str">
        <f ca="1">IF($A18="","",IF(IF(AW$2&lt;=$A$1,1,0),IF(AW$4="休","",IF(COUNTIF(DATA!AX:AX,$A:$A)=0,"×","√")),""))</f>
        <v/>
      </c>
      <c r="AX18" s="32" t="str">
        <f ca="1">IF($A18="","",IF(IF(AX$2&lt;=$A$1,1,0),IF(AX$4="休","",IF(COUNTIF(DATA!AY:AY,$A:$A)=0,"×","√")),""))</f>
        <v/>
      </c>
      <c r="AY18" s="32" t="str">
        <f ca="1">IF($A18="","",IF(IF(AY$2&lt;=$A$1,1,0),IF(AY$4="休","",IF(COUNTIF(DATA!AZ:AZ,$A:$A)=0,"×","√")),""))</f>
        <v/>
      </c>
      <c r="AZ18" s="32" t="str">
        <f ca="1">IF($A18="","",IF(IF(AZ$2&lt;=$A$1,1,0),IF(AZ$4="休","",IF(COUNTIF(DATA!BA:BA,$A:$A)=0,"×","√")),""))</f>
        <v/>
      </c>
      <c r="BA18" s="32" t="str">
        <f ca="1">IF($A18="","",IF(IF(BA$2&lt;=$A$1,1,0),IF(BA$4="休","",IF(COUNTIF(DATA!BB:BB,$A:$A)=0,"×","√")),""))</f>
        <v/>
      </c>
      <c r="BB18" s="32" t="str">
        <f ca="1">IF($A18="","",IF(IF(BB$2&lt;=$A$1,1,0),IF(BB$4="休","",IF(COUNTIF(DATA!BC:BC,$A:$A)=0,"×","√")),""))</f>
        <v/>
      </c>
      <c r="BC18" s="32" t="str">
        <f ca="1">IF($A18="","",IF(IF(BC$2&lt;=$A$1,1,0),IF(BC$4="休","",IF(COUNTIF(DATA!BD:BD,$A:$A)=0,"×","√")),""))</f>
        <v/>
      </c>
      <c r="BD18" s="32" t="str">
        <f ca="1">IF($A18="","",IF(IF(BD$2&lt;=$A$1,1,0),IF(BD$4="休","",IF(COUNTIF(DATA!BE:BE,$A:$A)=0,"×","√")),""))</f>
        <v/>
      </c>
      <c r="BE18" s="32" t="str">
        <f ca="1">IF($A18="","",IF(IF(BE$2&lt;=$A$1,1,0),IF(BE$4="休","",IF(COUNTIF(DATA!BF:BF,$A:$A)=0,"×","√")),""))</f>
        <v/>
      </c>
      <c r="BF18" s="32" t="str">
        <f ca="1">IF($A18="","",IF(IF(BF$2&lt;=$A$1,1,0),IF(BF$4="休","",IF(COUNTIF(DATA!BG:BG,$A:$A)=0,"×","√")),""))</f>
        <v/>
      </c>
      <c r="BG18" s="32" t="str">
        <f ca="1">IF($A18="","",IF(IF(BG$2&lt;=$A$1,1,0),IF(BG$4="休","",IF(COUNTIF(DATA!BH:BH,$A:$A)=0,"×","√")),""))</f>
        <v/>
      </c>
      <c r="BH18" s="32" t="str">
        <f ca="1">IF($A18="","",IF(IF(BH$2&lt;=$A$1,1,0),IF(BH$4="休","",IF(COUNTIF(DATA!BI:BI,$A:$A)=0,"×","√")),""))</f>
        <v/>
      </c>
      <c r="BI18" s="32" t="str">
        <f ca="1">IF($A18="","",IF(IF(BI$2&lt;=$A$1,1,0),IF(BI$4="休","",IF(COUNTIF(DATA!BJ:BJ,$A:$A)=0,"×","√")),""))</f>
        <v/>
      </c>
      <c r="BJ18" s="32" t="str">
        <f ca="1">IF($A18="","",IF(IF(BJ$2&lt;=$A$1,1,0),IF(BJ$4="休","",IF(COUNTIF(DATA!BK:BK,$A:$A)=0,"×","√")),""))</f>
        <v/>
      </c>
      <c r="BK18" s="32" t="str">
        <f ca="1">IF($A18="","",IF(IF(BK$2&lt;=$A$1,1,0),IF(BK$4="休","",IF(COUNTIF(DATA!BL:BL,$A:$A)=0,"×","√")),""))</f>
        <v/>
      </c>
      <c r="BL18" s="32" t="str">
        <f ca="1">IF($A18="","",IF(IF(BL$2&lt;=$A$1,1,0),IF(BL$4="休","",IF(COUNTIF(DATA!BM:BM,$A:$A)=0,"×","√")),""))</f>
        <v/>
      </c>
      <c r="BM18" s="32" t="str">
        <f ca="1">IF($A18="","",IF(IF(BM$2&lt;=$A$1,1,0),IF(BM$4="休","",IF(COUNTIF(DATA!BN:BN,$A:$A)=0,"×","√")),""))</f>
        <v/>
      </c>
      <c r="BN18" s="32" t="str">
        <f ca="1">IF($A18="","",IF(IF(BN$2&lt;=$A$1,1,0),IF(BN$4="休","",IF(COUNTIF(DATA!BO:BO,$A:$A)=0,"×","√")),""))</f>
        <v/>
      </c>
      <c r="BO18" s="32" t="str">
        <f ca="1">IF($A18="","",IF(IF(BO$2&lt;=$A$1,1,0),IF(BO$4="休","",IF(COUNTIF(DATA!BP:BP,$A:$A)=0,"×","√")),""))</f>
        <v/>
      </c>
      <c r="BP18" s="32" t="str">
        <f ca="1">IF($A18="","",IF(IF(BP$2&lt;=$A$1,1,0),IF(BP$4="休","",IF(COUNTIF(DATA!BQ:BQ,$A:$A)=0,"×","√")),""))</f>
        <v/>
      </c>
      <c r="BQ18" s="32" t="str">
        <f ca="1">IF($A18="","",IF(IF(BQ$2&lt;=$A$1,1,0),IF(BQ$4="休","",IF(COUNTIF(DATA!BR:BR,$A:$A)=0,"×","√")),""))</f>
        <v/>
      </c>
      <c r="BR18" s="32" t="str">
        <f ca="1">IF($A18="","",IF(IF(BR$2&lt;=$A$1,1,0),IF(BR$4="休","",IF(COUNTIF(DATA!BS:BS,$A:$A)=0,"×","√")),""))</f>
        <v/>
      </c>
      <c r="BS18" s="32" t="str">
        <f ca="1">IF($A18="","",IF(IF(BS$2&lt;=$A$1,1,0),IF(BS$4="休","",IF(COUNTIF(DATA!BT:BT,$A:$A)=0,"×","√")),""))</f>
        <v/>
      </c>
      <c r="BT18" s="32" t="str">
        <f ca="1">IF($A18="","",IF(IF(BT$2&lt;=$A$1,1,0),IF(BT$4="休","",IF(COUNTIF(DATA!BU:BU,$A:$A)=0,"×","√")),""))</f>
        <v/>
      </c>
      <c r="BU18" s="32" t="str">
        <f ca="1">IF($A18="","",IF(IF(BU$2&lt;=$A$1,1,0),IF(BU$4="休","",IF(COUNTIF(DATA!BV:BV,$A:$A)=0,"×","√")),""))</f>
        <v/>
      </c>
      <c r="BV18" s="32" t="str">
        <f ca="1">IF($A18="","",IF(IF(BV$2&lt;=$A$1,1,0),IF(BV$4="休","",IF(COUNTIF(DATA!BW:BW,$A:$A)=0,"×","√")),""))</f>
        <v/>
      </c>
      <c r="BW18" s="32" t="str">
        <f ca="1">IF($A18="","",IF(IF(BW$2&lt;=$A$1,1,0),IF(BW$4="休","",IF(COUNTIF(DATA!BX:BX,$A:$A)=0,"×","√")),""))</f>
        <v/>
      </c>
      <c r="BX18" s="32" t="str">
        <f ca="1">IF($A18="","",IF(IF(BX$2&lt;=$A$1,1,0),IF(BX$4="休","",IF(COUNTIF(DATA!BY:BY,$A:$A)=0,"×","√")),""))</f>
        <v/>
      </c>
      <c r="BY18" s="32" t="str">
        <f ca="1">IF($A18="","",IF(IF(BY$2&lt;=$A$1,1,0),IF(BY$4="休","",IF(COUNTIF(DATA!BZ:BZ,$A:$A)=0,"×","√")),""))</f>
        <v/>
      </c>
      <c r="BZ18" s="32" t="str">
        <f ca="1">IF($A18="","",IF(IF(BZ$2&lt;=$A$1,1,0),IF(BZ$4="休","",IF(COUNTIF(DATA!CA:CA,$A:$A)=0,"×","√")),""))</f>
        <v/>
      </c>
      <c r="CA18" s="32" t="str">
        <f ca="1">IF($A18="","",IF(IF(CA$2&lt;=$A$1,1,0),IF(CA$4="休","",IF(COUNTIF(DATA!CB:CB,$A:$A)=0,"×","√")),""))</f>
        <v/>
      </c>
      <c r="CB18" s="32" t="str">
        <f ca="1">IF($A18="","",IF(IF(CB$2&lt;=$A$1,1,0),IF(CB$4="休","",IF(COUNTIF(DATA!CC:CC,$A:$A)=0,"×","√")),""))</f>
        <v/>
      </c>
      <c r="CC18" s="32" t="str">
        <f ca="1">IF($A18="","",IF(IF(CC$2&lt;=$A$1,1,0),IF(CC$4="休","",IF(COUNTIF(DATA!CD:CD,$A:$A)=0,"×","√")),""))</f>
        <v/>
      </c>
      <c r="CD18" s="32" t="str">
        <f ca="1">IF($A18="","",IF(IF(CD$2&lt;=$A$1,1,0),IF(CD$4="休","",IF(COUNTIF(DATA!CE:CE,$A:$A)=0,"×","√")),""))</f>
        <v/>
      </c>
      <c r="CE18" s="32" t="str">
        <f ca="1">IF($A18="","",IF(IF(CE$2&lt;=$A$1,1,0),IF(CE$4="休","",IF(COUNTIF(DATA!CF:CF,$A:$A)=0,"×","√")),""))</f>
        <v/>
      </c>
      <c r="CF18" s="32" t="str">
        <f ca="1">IF($A18="","",IF(IF(CF$2&lt;=$A$1,1,0),IF(CF$4="休","",IF(COUNTIF(DATA!CG:CG,$A:$A)=0,"×","√")),""))</f>
        <v/>
      </c>
      <c r="CG18" s="32" t="str">
        <f ca="1">IF($A18="","",IF(IF(CG$2&lt;=$A$1,1,0),IF(CG$4="休","",IF(COUNTIF(DATA!CH:CH,$A:$A)=0,"×","√")),""))</f>
        <v/>
      </c>
      <c r="CH18" s="32" t="str">
        <f ca="1">IF($A18="","",IF(IF(CH$2&lt;=$A$1,1,0),IF(CH$4="休","",IF(COUNTIF(DATA!CI:CI,$A:$A)=0,"×","√")),""))</f>
        <v/>
      </c>
      <c r="CI18" s="32" t="str">
        <f ca="1">IF($A18="","",IF(IF(CI$2&lt;=$A$1,1,0),IF(CI$4="休","",IF(COUNTIF(DATA!CJ:CJ,$A:$A)=0,"×","√")),""))</f>
        <v/>
      </c>
      <c r="CJ18" s="32" t="str">
        <f ca="1">IF($A18="","",IF(IF(CJ$2&lt;=$A$1,1,0),IF(CJ$4="休","",IF(COUNTIF(DATA!CK:CK,$A:$A)=0,"×","√")),""))</f>
        <v/>
      </c>
      <c r="CK18" s="32" t="str">
        <f ca="1">IF($A18="","",IF(IF(CK$2&lt;=$A$1,1,0),IF(CK$4="休","",IF(COUNTIF(DATA!CL:CL,$A:$A)=0,"×","√")),""))</f>
        <v/>
      </c>
      <c r="CL18" s="32" t="str">
        <f ca="1">IF($A18="","",IF(IF(CL$2&lt;=$A$1,1,0),IF(CL$4="休","",IF(COUNTIF(DATA!CM:CM,$A:$A)=0,"×","√")),""))</f>
        <v/>
      </c>
      <c r="CM18" s="32" t="str">
        <f ca="1">IF($A18="","",IF(IF(CM$2&lt;=$A$1,1,0),IF(CM$4="休","",IF(COUNTIF(DATA!CN:CN,$A:$A)=0,"×","√")),""))</f>
        <v/>
      </c>
      <c r="CN18" s="32" t="str">
        <f ca="1">IF($A18="","",IF(IF(CN$2&lt;=$A$1,1,0),IF(CN$4="休","",IF(COUNTIF(DATA!CO:CO,$A:$A)=0,"×","√")),""))</f>
        <v/>
      </c>
      <c r="CO18" s="32" t="str">
        <f ca="1">IF($A18="","",IF(IF(CO$2&lt;=$A$1,1,0),IF(CO$4="休","",IF(COUNTIF(DATA!CP:CP,$A:$A)=0,"×","√")),""))</f>
        <v/>
      </c>
      <c r="CP18" s="32" t="str">
        <f ca="1">IF($A18="","",IF(IF(CP$2&lt;=$A$1,1,0),IF(CP$4="休","",IF(COUNTIF(DATA!CQ:CQ,$A:$A)=0,"×","√")),""))</f>
        <v/>
      </c>
      <c r="CQ18" s="32" t="str">
        <f ca="1">IF($A18="","",IF(IF(CQ$2&lt;=$A$1,1,0),IF(CQ$4="休","",IF(COUNTIF(DATA!CR:CR,$A:$A)=0,"×","√")),""))</f>
        <v/>
      </c>
      <c r="CR18" s="32" t="str">
        <f ca="1">IF($A18="","",IF(IF(CR$2&lt;=$A$1,1,0),IF(CR$4="休","",IF(COUNTIF(DATA!CS:CS,$A:$A)=0,"×","√")),""))</f>
        <v/>
      </c>
    </row>
    <row r="19" s="26" customFormat="1" ht="18.75" spans="1:96">
      <c r="A19" s="32" t="str">
        <f>DATA!$A18&amp;""</f>
        <v>乔坤</v>
      </c>
      <c r="B19" s="32" t="str">
        <f ca="1">IF($A19="","",IF(IF(B$2&lt;=$A$1,1,0),IF(B$4="休","",IF(COUNTIF(DATA!C:C,$A:$A)=0,"×","√")),""))</f>
        <v>√</v>
      </c>
      <c r="C19" s="32" t="str">
        <f ca="1">IF($A19="","",IF(IF(C$2&lt;=$A$1,1,0),IF(C$4="休","",IF(COUNTIF(DATA!D:D,$A:$A)=0,"×","√")),""))</f>
        <v>√</v>
      </c>
      <c r="D19" s="32" t="str">
        <f ca="1">IF($A19="","",IF(IF(D$2&lt;=$A$1,1,0),IF(D$4="休","",IF(COUNTIF(DATA!E:E,$A:$A)=0,"×","√")),""))</f>
        <v>√</v>
      </c>
      <c r="E19" s="32" t="str">
        <f ca="1">IF($A19="","",IF(IF(E$2&lt;=$A$1,1,0),IF(E$4="休","",IF(COUNTIF(DATA!F:F,$A:$A)=0,"×","√")),""))</f>
        <v>√</v>
      </c>
      <c r="F19" s="32" t="str">
        <f ca="1">IF($A19="","",IF(IF(F$2&lt;=$A$1,1,0),IF(F$4="休","",IF(COUNTIF(DATA!G:G,$A:$A)=0,"×","√")),""))</f>
        <v>√</v>
      </c>
      <c r="G19" s="32" t="str">
        <f ca="1">IF($A19="","",IF(IF(G$2&lt;=$A$1,1,0),IF(G$4="休","",IF(COUNTIF(DATA!H:H,$A:$A)=0,"×","√")),""))</f>
        <v>√</v>
      </c>
      <c r="H19" s="32" t="str">
        <f ca="1">IF($A19="","",IF(IF(H$2&lt;=$A$1,1,0),IF(H$4="休","",IF(COUNTIF(DATA!I:I,$A:$A)=0,"×","√")),""))</f>
        <v>√</v>
      </c>
      <c r="I19" s="32" t="str">
        <f ca="1">IF($A19="","",IF(IF(I$2&lt;=$A$1,1,0),IF(I$4="休","",IF(COUNTIF(DATA!J:J,$A:$A)=0,"×","√")),""))</f>
        <v>√</v>
      </c>
      <c r="J19" s="32" t="str">
        <f ca="1">IF($A19="","",IF(IF(J$2&lt;=$A$1,1,0),IF(J$4="休","",IF(COUNTIF(DATA!K:K,$A:$A)=0,"×","√")),""))</f>
        <v/>
      </c>
      <c r="K19" s="32" t="str">
        <f ca="1">IF($A19="","",IF(IF(K$2&lt;=$A$1,1,0),IF(K$4="休","",IF(COUNTIF(DATA!L:L,$A:$A)=0,"×","√")),""))</f>
        <v/>
      </c>
      <c r="L19" s="32" t="str">
        <f ca="1">IF($A19="","",IF(IF(L$2&lt;=$A$1,1,0),IF(L$4="休","",IF(COUNTIF(DATA!M:M,$A:$A)=0,"×","√")),""))</f>
        <v/>
      </c>
      <c r="M19" s="32" t="str">
        <f ca="1">IF($A19="","",IF(IF(M$2&lt;=$A$1,1,0),IF(M$4="休","",IF(COUNTIF(DATA!N:N,$A:$A)=0,"×","√")),""))</f>
        <v/>
      </c>
      <c r="N19" s="32" t="str">
        <f ca="1">IF($A19="","",IF(IF(N$2&lt;=$A$1,1,0),IF(N$4="休","",IF(COUNTIF(DATA!O:O,$A:$A)=0,"×","√")),""))</f>
        <v/>
      </c>
      <c r="O19" s="32" t="str">
        <f ca="1">IF($A19="","",IF(IF(O$2&lt;=$A$1,1,0),IF(O$4="休","",IF(COUNTIF(DATA!P:P,$A:$A)=0,"×","√")),""))</f>
        <v/>
      </c>
      <c r="P19" s="32" t="str">
        <f ca="1">IF($A19="","",IF(IF(P$2&lt;=$A$1,1,0),IF(P$4="休","",IF(COUNTIF(DATA!Q:Q,$A:$A)=0,"×","√")),""))</f>
        <v/>
      </c>
      <c r="Q19" s="32" t="str">
        <f ca="1">IF($A19="","",IF(IF(Q$2&lt;=$A$1,1,0),IF(Q$4="休","",IF(COUNTIF(DATA!R:R,$A:$A)=0,"×","√")),""))</f>
        <v/>
      </c>
      <c r="R19" s="32" t="str">
        <f ca="1">IF($A19="","",IF(IF(R$2&lt;=$A$1,1,0),IF(R$4="休","",IF(COUNTIF(DATA!S:S,$A:$A)=0,"×","√")),""))</f>
        <v/>
      </c>
      <c r="S19" s="32" t="str">
        <f ca="1">IF($A19="","",IF(IF(S$2&lt;=$A$1,1,0),IF(S$4="休","",IF(COUNTIF(DATA!T:T,$A:$A)=0,"×","√")),""))</f>
        <v/>
      </c>
      <c r="T19" s="32" t="str">
        <f ca="1">IF($A19="","",IF(IF(T$2&lt;=$A$1,1,0),IF(T$4="休","",IF(COUNTIF(DATA!U:U,$A:$A)=0,"×","√")),""))</f>
        <v/>
      </c>
      <c r="U19" s="32" t="str">
        <f ca="1">IF($A19="","",IF(IF(U$2&lt;=$A$1,1,0),IF(U$4="休","",IF(COUNTIF(DATA!V:V,$A:$A)=0,"×","√")),""))</f>
        <v/>
      </c>
      <c r="V19" s="32" t="str">
        <f ca="1">IF($A19="","",IF(IF(V$2&lt;=$A$1,1,0),IF(V$4="休","",IF(COUNTIF(DATA!W:W,$A:$A)=0,"×","√")),""))</f>
        <v/>
      </c>
      <c r="W19" s="32" t="str">
        <f ca="1">IF($A19="","",IF(IF(W$2&lt;=$A$1,1,0),IF(W$4="休","",IF(COUNTIF(DATA!X:X,$A:$A)=0,"×","√")),""))</f>
        <v/>
      </c>
      <c r="X19" s="32" t="str">
        <f ca="1">IF($A19="","",IF(IF(X$2&lt;=$A$1,1,0),IF(X$4="休","",IF(COUNTIF(DATA!Y:Y,$A:$A)=0,"×","√")),""))</f>
        <v/>
      </c>
      <c r="Y19" s="32" t="str">
        <f ca="1">IF($A19="","",IF(IF(Y$2&lt;=$A$1,1,0),IF(Y$4="休","",IF(COUNTIF(DATA!Z:Z,$A:$A)=0,"×","√")),""))</f>
        <v/>
      </c>
      <c r="Z19" s="32" t="str">
        <f ca="1">IF($A19="","",IF(IF(Z$2&lt;=$A$1,1,0),IF(Z$4="休","",IF(COUNTIF(DATA!AA:AA,$A:$A)=0,"×","√")),""))</f>
        <v/>
      </c>
      <c r="AA19" s="32" t="str">
        <f ca="1">IF($A19="","",IF(IF(AA$2&lt;=$A$1,1,0),IF(AA$4="休","",IF(COUNTIF(DATA!AB:AB,$A:$A)=0,"×","√")),""))</f>
        <v/>
      </c>
      <c r="AB19" s="32" t="str">
        <f ca="1">IF($A19="","",IF(IF(AB$2&lt;=$A$1,1,0),IF(AB$4="休","",IF(COUNTIF(DATA!AC:AC,$A:$A)=0,"×","√")),""))</f>
        <v/>
      </c>
      <c r="AC19" s="32" t="str">
        <f ca="1">IF($A19="","",IF(IF(AC$2&lt;=$A$1,1,0),IF(AC$4="休","",IF(COUNTIF(DATA!AD:AD,$A:$A)=0,"×","√")),""))</f>
        <v/>
      </c>
      <c r="AD19" s="32" t="str">
        <f ca="1">IF($A19="","",IF(IF(AD$2&lt;=$A$1,1,0),IF(AD$4="休","",IF(COUNTIF(DATA!AE:AE,$A:$A)=0,"×","√")),""))</f>
        <v/>
      </c>
      <c r="AE19" s="32" t="str">
        <f ca="1">IF($A19="","",IF(IF(AE$2&lt;=$A$1,1,0),IF(AE$4="休","",IF(COUNTIF(DATA!AF:AF,$A:$A)=0,"×","√")),""))</f>
        <v/>
      </c>
      <c r="AF19" s="32" t="str">
        <f ca="1">IF($A19="","",IF(IF(AF$2&lt;=$A$1,1,0),IF(AF$4="休","",IF(COUNTIF(DATA!AG:AG,$A:$A)=0,"×","√")),""))</f>
        <v/>
      </c>
      <c r="AG19" s="32" t="str">
        <f ca="1">IF($A19="","",IF(IF(AG$2&lt;=$A$1,1,0),IF(AG$4="休","",IF(COUNTIF(DATA!AH:AH,$A:$A)=0,"×","√")),""))</f>
        <v/>
      </c>
      <c r="AH19" s="32" t="str">
        <f ca="1">IF($A19="","",IF(IF(AH$2&lt;=$A$1,1,0),IF(AH$4="休","",IF(COUNTIF(DATA!AI:AI,$A:$A)=0,"×","√")),""))</f>
        <v/>
      </c>
      <c r="AI19" s="32" t="str">
        <f ca="1">IF($A19="","",IF(IF(AI$2&lt;=$A$1,1,0),IF(AI$4="休","",IF(COUNTIF(DATA!AJ:AJ,$A:$A)=0,"×","√")),""))</f>
        <v/>
      </c>
      <c r="AJ19" s="32" t="str">
        <f ca="1">IF($A19="","",IF(IF(AJ$2&lt;=$A$1,1,0),IF(AJ$4="休","",IF(COUNTIF(DATA!AK:AK,$A:$A)=0,"×","√")),""))</f>
        <v/>
      </c>
      <c r="AK19" s="32" t="str">
        <f ca="1">IF($A19="","",IF(IF(AK$2&lt;=$A$1,1,0),IF(AK$4="休","",IF(COUNTIF(DATA!AL:AL,$A:$A)=0,"×","√")),""))</f>
        <v/>
      </c>
      <c r="AL19" s="32" t="str">
        <f ca="1">IF($A19="","",IF(IF(AL$2&lt;=$A$1,1,0),IF(AL$4="休","",IF(COUNTIF(DATA!AM:AM,$A:$A)=0,"×","√")),""))</f>
        <v/>
      </c>
      <c r="AM19" s="32" t="str">
        <f ca="1">IF($A19="","",IF(IF(AM$2&lt;=$A$1,1,0),IF(AM$4="休","",IF(COUNTIF(DATA!AN:AN,$A:$A)=0,"×","√")),""))</f>
        <v/>
      </c>
      <c r="AN19" s="32" t="str">
        <f ca="1">IF($A19="","",IF(IF(AN$2&lt;=$A$1,1,0),IF(AN$4="休","",IF(COUNTIF(DATA!AO:AO,$A:$A)=0,"×","√")),""))</f>
        <v/>
      </c>
      <c r="AO19" s="32" t="str">
        <f ca="1">IF($A19="","",IF(IF(AO$2&lt;=$A$1,1,0),IF(AO$4="休","",IF(COUNTIF(DATA!AP:AP,$A:$A)=0,"×","√")),""))</f>
        <v/>
      </c>
      <c r="AP19" s="32" t="str">
        <f ca="1">IF($A19="","",IF(IF(AP$2&lt;=$A$1,1,0),IF(AP$4="休","",IF(COUNTIF(DATA!AQ:AQ,$A:$A)=0,"×","√")),""))</f>
        <v/>
      </c>
      <c r="AQ19" s="32" t="str">
        <f ca="1">IF($A19="","",IF(IF(AQ$2&lt;=$A$1,1,0),IF(AQ$4="休","",IF(COUNTIF(DATA!AR:AR,$A:$A)=0,"×","√")),""))</f>
        <v/>
      </c>
      <c r="AR19" s="32" t="str">
        <f ca="1">IF($A19="","",IF(IF(AR$2&lt;=$A$1,1,0),IF(AR$4="休","",IF(COUNTIF(DATA!AS:AS,$A:$A)=0,"×","√")),""))</f>
        <v/>
      </c>
      <c r="AS19" s="32" t="str">
        <f ca="1">IF($A19="","",IF(IF(AS$2&lt;=$A$1,1,0),IF(AS$4="休","",IF(COUNTIF(DATA!AT:AT,$A:$A)=0,"×","√")),""))</f>
        <v/>
      </c>
      <c r="AT19" s="32" t="str">
        <f ca="1">IF($A19="","",IF(IF(AT$2&lt;=$A$1,1,0),IF(AT$4="休","",IF(COUNTIF(DATA!AU:AU,$A:$A)=0,"×","√")),""))</f>
        <v/>
      </c>
      <c r="AU19" s="32" t="str">
        <f ca="1">IF($A19="","",IF(IF(AU$2&lt;=$A$1,1,0),IF(AU$4="休","",IF(COUNTIF(DATA!AV:AV,$A:$A)=0,"×","√")),""))</f>
        <v/>
      </c>
      <c r="AV19" s="32" t="str">
        <f ca="1">IF($A19="","",IF(IF(AV$2&lt;=$A$1,1,0),IF(AV$4="休","",IF(COUNTIF(DATA!AW:AW,$A:$A)=0,"×","√")),""))</f>
        <v/>
      </c>
      <c r="AW19" s="32" t="str">
        <f ca="1">IF($A19="","",IF(IF(AW$2&lt;=$A$1,1,0),IF(AW$4="休","",IF(COUNTIF(DATA!AX:AX,$A:$A)=0,"×","√")),""))</f>
        <v/>
      </c>
      <c r="AX19" s="32" t="str">
        <f ca="1">IF($A19="","",IF(IF(AX$2&lt;=$A$1,1,0),IF(AX$4="休","",IF(COUNTIF(DATA!AY:AY,$A:$A)=0,"×","√")),""))</f>
        <v/>
      </c>
      <c r="AY19" s="32" t="str">
        <f ca="1">IF($A19="","",IF(IF(AY$2&lt;=$A$1,1,0),IF(AY$4="休","",IF(COUNTIF(DATA!AZ:AZ,$A:$A)=0,"×","√")),""))</f>
        <v/>
      </c>
      <c r="AZ19" s="32" t="str">
        <f ca="1">IF($A19="","",IF(IF(AZ$2&lt;=$A$1,1,0),IF(AZ$4="休","",IF(COUNTIF(DATA!BA:BA,$A:$A)=0,"×","√")),""))</f>
        <v/>
      </c>
      <c r="BA19" s="32" t="str">
        <f ca="1">IF($A19="","",IF(IF(BA$2&lt;=$A$1,1,0),IF(BA$4="休","",IF(COUNTIF(DATA!BB:BB,$A:$A)=0,"×","√")),""))</f>
        <v/>
      </c>
      <c r="BB19" s="32" t="str">
        <f ca="1">IF($A19="","",IF(IF(BB$2&lt;=$A$1,1,0),IF(BB$4="休","",IF(COUNTIF(DATA!BC:BC,$A:$A)=0,"×","√")),""))</f>
        <v/>
      </c>
      <c r="BC19" s="32" t="str">
        <f ca="1">IF($A19="","",IF(IF(BC$2&lt;=$A$1,1,0),IF(BC$4="休","",IF(COUNTIF(DATA!BD:BD,$A:$A)=0,"×","√")),""))</f>
        <v/>
      </c>
      <c r="BD19" s="32" t="str">
        <f ca="1">IF($A19="","",IF(IF(BD$2&lt;=$A$1,1,0),IF(BD$4="休","",IF(COUNTIF(DATA!BE:BE,$A:$A)=0,"×","√")),""))</f>
        <v/>
      </c>
      <c r="BE19" s="32" t="str">
        <f ca="1">IF($A19="","",IF(IF(BE$2&lt;=$A$1,1,0),IF(BE$4="休","",IF(COUNTIF(DATA!BF:BF,$A:$A)=0,"×","√")),""))</f>
        <v/>
      </c>
      <c r="BF19" s="32" t="str">
        <f ca="1">IF($A19="","",IF(IF(BF$2&lt;=$A$1,1,0),IF(BF$4="休","",IF(COUNTIF(DATA!BG:BG,$A:$A)=0,"×","√")),""))</f>
        <v/>
      </c>
      <c r="BG19" s="32" t="str">
        <f ca="1">IF($A19="","",IF(IF(BG$2&lt;=$A$1,1,0),IF(BG$4="休","",IF(COUNTIF(DATA!BH:BH,$A:$A)=0,"×","√")),""))</f>
        <v/>
      </c>
      <c r="BH19" s="32" t="str">
        <f ca="1">IF($A19="","",IF(IF(BH$2&lt;=$A$1,1,0),IF(BH$4="休","",IF(COUNTIF(DATA!BI:BI,$A:$A)=0,"×","√")),""))</f>
        <v/>
      </c>
      <c r="BI19" s="32" t="str">
        <f ca="1">IF($A19="","",IF(IF(BI$2&lt;=$A$1,1,0),IF(BI$4="休","",IF(COUNTIF(DATA!BJ:BJ,$A:$A)=0,"×","√")),""))</f>
        <v/>
      </c>
      <c r="BJ19" s="32" t="str">
        <f ca="1">IF($A19="","",IF(IF(BJ$2&lt;=$A$1,1,0),IF(BJ$4="休","",IF(COUNTIF(DATA!BK:BK,$A:$A)=0,"×","√")),""))</f>
        <v/>
      </c>
      <c r="BK19" s="32" t="str">
        <f ca="1">IF($A19="","",IF(IF(BK$2&lt;=$A$1,1,0),IF(BK$4="休","",IF(COUNTIF(DATA!BL:BL,$A:$A)=0,"×","√")),""))</f>
        <v/>
      </c>
      <c r="BL19" s="32" t="str">
        <f ca="1">IF($A19="","",IF(IF(BL$2&lt;=$A$1,1,0),IF(BL$4="休","",IF(COUNTIF(DATA!BM:BM,$A:$A)=0,"×","√")),""))</f>
        <v/>
      </c>
      <c r="BM19" s="32" t="str">
        <f ca="1">IF($A19="","",IF(IF(BM$2&lt;=$A$1,1,0),IF(BM$4="休","",IF(COUNTIF(DATA!BN:BN,$A:$A)=0,"×","√")),""))</f>
        <v/>
      </c>
      <c r="BN19" s="32" t="str">
        <f ca="1">IF($A19="","",IF(IF(BN$2&lt;=$A$1,1,0),IF(BN$4="休","",IF(COUNTIF(DATA!BO:BO,$A:$A)=0,"×","√")),""))</f>
        <v/>
      </c>
      <c r="BO19" s="32" t="str">
        <f ca="1">IF($A19="","",IF(IF(BO$2&lt;=$A$1,1,0),IF(BO$4="休","",IF(COUNTIF(DATA!BP:BP,$A:$A)=0,"×","√")),""))</f>
        <v/>
      </c>
      <c r="BP19" s="32" t="str">
        <f ca="1">IF($A19="","",IF(IF(BP$2&lt;=$A$1,1,0),IF(BP$4="休","",IF(COUNTIF(DATA!BQ:BQ,$A:$A)=0,"×","√")),""))</f>
        <v/>
      </c>
      <c r="BQ19" s="32" t="str">
        <f ca="1">IF($A19="","",IF(IF(BQ$2&lt;=$A$1,1,0),IF(BQ$4="休","",IF(COUNTIF(DATA!BR:BR,$A:$A)=0,"×","√")),""))</f>
        <v/>
      </c>
      <c r="BR19" s="32" t="str">
        <f ca="1">IF($A19="","",IF(IF(BR$2&lt;=$A$1,1,0),IF(BR$4="休","",IF(COUNTIF(DATA!BS:BS,$A:$A)=0,"×","√")),""))</f>
        <v/>
      </c>
      <c r="BS19" s="32" t="str">
        <f ca="1">IF($A19="","",IF(IF(BS$2&lt;=$A$1,1,0),IF(BS$4="休","",IF(COUNTIF(DATA!BT:BT,$A:$A)=0,"×","√")),""))</f>
        <v/>
      </c>
      <c r="BT19" s="32" t="str">
        <f ca="1">IF($A19="","",IF(IF(BT$2&lt;=$A$1,1,0),IF(BT$4="休","",IF(COUNTIF(DATA!BU:BU,$A:$A)=0,"×","√")),""))</f>
        <v/>
      </c>
      <c r="BU19" s="32" t="str">
        <f ca="1">IF($A19="","",IF(IF(BU$2&lt;=$A$1,1,0),IF(BU$4="休","",IF(COUNTIF(DATA!BV:BV,$A:$A)=0,"×","√")),""))</f>
        <v/>
      </c>
      <c r="BV19" s="32" t="str">
        <f ca="1">IF($A19="","",IF(IF(BV$2&lt;=$A$1,1,0),IF(BV$4="休","",IF(COUNTIF(DATA!BW:BW,$A:$A)=0,"×","√")),""))</f>
        <v/>
      </c>
      <c r="BW19" s="32" t="str">
        <f ca="1">IF($A19="","",IF(IF(BW$2&lt;=$A$1,1,0),IF(BW$4="休","",IF(COUNTIF(DATA!BX:BX,$A:$A)=0,"×","√")),""))</f>
        <v/>
      </c>
      <c r="BX19" s="32" t="str">
        <f ca="1">IF($A19="","",IF(IF(BX$2&lt;=$A$1,1,0),IF(BX$4="休","",IF(COUNTIF(DATA!BY:BY,$A:$A)=0,"×","√")),""))</f>
        <v/>
      </c>
      <c r="BY19" s="32" t="str">
        <f ca="1">IF($A19="","",IF(IF(BY$2&lt;=$A$1,1,0),IF(BY$4="休","",IF(COUNTIF(DATA!BZ:BZ,$A:$A)=0,"×","√")),""))</f>
        <v/>
      </c>
      <c r="BZ19" s="32" t="str">
        <f ca="1">IF($A19="","",IF(IF(BZ$2&lt;=$A$1,1,0),IF(BZ$4="休","",IF(COUNTIF(DATA!CA:CA,$A:$A)=0,"×","√")),""))</f>
        <v/>
      </c>
      <c r="CA19" s="32" t="str">
        <f ca="1">IF($A19="","",IF(IF(CA$2&lt;=$A$1,1,0),IF(CA$4="休","",IF(COUNTIF(DATA!CB:CB,$A:$A)=0,"×","√")),""))</f>
        <v/>
      </c>
      <c r="CB19" s="32" t="str">
        <f ca="1">IF($A19="","",IF(IF(CB$2&lt;=$A$1,1,0),IF(CB$4="休","",IF(COUNTIF(DATA!CC:CC,$A:$A)=0,"×","√")),""))</f>
        <v/>
      </c>
      <c r="CC19" s="32" t="str">
        <f ca="1">IF($A19="","",IF(IF(CC$2&lt;=$A$1,1,0),IF(CC$4="休","",IF(COUNTIF(DATA!CD:CD,$A:$A)=0,"×","√")),""))</f>
        <v/>
      </c>
      <c r="CD19" s="32" t="str">
        <f ca="1">IF($A19="","",IF(IF(CD$2&lt;=$A$1,1,0),IF(CD$4="休","",IF(COUNTIF(DATA!CE:CE,$A:$A)=0,"×","√")),""))</f>
        <v/>
      </c>
      <c r="CE19" s="32" t="str">
        <f ca="1">IF($A19="","",IF(IF(CE$2&lt;=$A$1,1,0),IF(CE$4="休","",IF(COUNTIF(DATA!CF:CF,$A:$A)=0,"×","√")),""))</f>
        <v/>
      </c>
      <c r="CF19" s="32" t="str">
        <f ca="1">IF($A19="","",IF(IF(CF$2&lt;=$A$1,1,0),IF(CF$4="休","",IF(COUNTIF(DATA!CG:CG,$A:$A)=0,"×","√")),""))</f>
        <v/>
      </c>
      <c r="CG19" s="32" t="str">
        <f ca="1">IF($A19="","",IF(IF(CG$2&lt;=$A$1,1,0),IF(CG$4="休","",IF(COUNTIF(DATA!CH:CH,$A:$A)=0,"×","√")),""))</f>
        <v/>
      </c>
      <c r="CH19" s="32" t="str">
        <f ca="1">IF($A19="","",IF(IF(CH$2&lt;=$A$1,1,0),IF(CH$4="休","",IF(COUNTIF(DATA!CI:CI,$A:$A)=0,"×","√")),""))</f>
        <v/>
      </c>
      <c r="CI19" s="32" t="str">
        <f ca="1">IF($A19="","",IF(IF(CI$2&lt;=$A$1,1,0),IF(CI$4="休","",IF(COUNTIF(DATA!CJ:CJ,$A:$A)=0,"×","√")),""))</f>
        <v/>
      </c>
      <c r="CJ19" s="32" t="str">
        <f ca="1">IF($A19="","",IF(IF(CJ$2&lt;=$A$1,1,0),IF(CJ$4="休","",IF(COUNTIF(DATA!CK:CK,$A:$A)=0,"×","√")),""))</f>
        <v/>
      </c>
      <c r="CK19" s="32" t="str">
        <f ca="1">IF($A19="","",IF(IF(CK$2&lt;=$A$1,1,0),IF(CK$4="休","",IF(COUNTIF(DATA!CL:CL,$A:$A)=0,"×","√")),""))</f>
        <v/>
      </c>
      <c r="CL19" s="32" t="str">
        <f ca="1">IF($A19="","",IF(IF(CL$2&lt;=$A$1,1,0),IF(CL$4="休","",IF(COUNTIF(DATA!CM:CM,$A:$A)=0,"×","√")),""))</f>
        <v/>
      </c>
      <c r="CM19" s="32" t="str">
        <f ca="1">IF($A19="","",IF(IF(CM$2&lt;=$A$1,1,0),IF(CM$4="休","",IF(COUNTIF(DATA!CN:CN,$A:$A)=0,"×","√")),""))</f>
        <v/>
      </c>
      <c r="CN19" s="32" t="str">
        <f ca="1">IF($A19="","",IF(IF(CN$2&lt;=$A$1,1,0),IF(CN$4="休","",IF(COUNTIF(DATA!CO:CO,$A:$A)=0,"×","√")),""))</f>
        <v/>
      </c>
      <c r="CO19" s="32" t="str">
        <f ca="1">IF($A19="","",IF(IF(CO$2&lt;=$A$1,1,0),IF(CO$4="休","",IF(COUNTIF(DATA!CP:CP,$A:$A)=0,"×","√")),""))</f>
        <v/>
      </c>
      <c r="CP19" s="32" t="str">
        <f ca="1">IF($A19="","",IF(IF(CP$2&lt;=$A$1,1,0),IF(CP$4="休","",IF(COUNTIF(DATA!CQ:CQ,$A:$A)=0,"×","√")),""))</f>
        <v/>
      </c>
      <c r="CQ19" s="32" t="str">
        <f ca="1">IF($A19="","",IF(IF(CQ$2&lt;=$A$1,1,0),IF(CQ$4="休","",IF(COUNTIF(DATA!CR:CR,$A:$A)=0,"×","√")),""))</f>
        <v/>
      </c>
      <c r="CR19" s="32" t="str">
        <f ca="1">IF($A19="","",IF(IF(CR$2&lt;=$A$1,1,0),IF(CR$4="休","",IF(COUNTIF(DATA!CS:CS,$A:$A)=0,"×","√")),""))</f>
        <v/>
      </c>
    </row>
    <row r="20" s="26" customFormat="1" ht="18.75" spans="1:96">
      <c r="A20" s="32" t="str">
        <f>DATA!$A19&amp;""</f>
        <v>吴自强</v>
      </c>
      <c r="B20" s="32" t="str">
        <f ca="1">IF($A20="","",IF(IF(B$2&lt;=$A$1,1,0),IF(B$4="休","",IF(COUNTIF(DATA!C:C,$A:$A)=0,"×","√")),""))</f>
        <v>√</v>
      </c>
      <c r="C20" s="32" t="str">
        <f ca="1">IF($A20="","",IF(IF(C$2&lt;=$A$1,1,0),IF(C$4="休","",IF(COUNTIF(DATA!D:D,$A:$A)=0,"×","√")),""))</f>
        <v>√</v>
      </c>
      <c r="D20" s="32" t="str">
        <f ca="1">IF($A20="","",IF(IF(D$2&lt;=$A$1,1,0),IF(D$4="休","",IF(COUNTIF(DATA!E:E,$A:$A)=0,"×","√")),""))</f>
        <v>√</v>
      </c>
      <c r="E20" s="32" t="str">
        <f ca="1">IF($A20="","",IF(IF(E$2&lt;=$A$1,1,0),IF(E$4="休","",IF(COUNTIF(DATA!F:F,$A:$A)=0,"×","√")),""))</f>
        <v>√</v>
      </c>
      <c r="F20" s="32" t="str">
        <f ca="1">IF($A20="","",IF(IF(F$2&lt;=$A$1,1,0),IF(F$4="休","",IF(COUNTIF(DATA!G:G,$A:$A)=0,"×","√")),""))</f>
        <v>√</v>
      </c>
      <c r="G20" s="32" t="str">
        <f ca="1">IF($A20="","",IF(IF(G$2&lt;=$A$1,1,0),IF(G$4="休","",IF(COUNTIF(DATA!H:H,$A:$A)=0,"×","√")),""))</f>
        <v>√</v>
      </c>
      <c r="H20" s="32" t="str">
        <f ca="1">IF($A20="","",IF(IF(H$2&lt;=$A$1,1,0),IF(H$4="休","",IF(COUNTIF(DATA!I:I,$A:$A)=0,"×","√")),""))</f>
        <v>√</v>
      </c>
      <c r="I20" s="32" t="str">
        <f ca="1">IF($A20="","",IF(IF(I$2&lt;=$A$1,1,0),IF(I$4="休","",IF(COUNTIF(DATA!J:J,$A:$A)=0,"×","√")),""))</f>
        <v>√</v>
      </c>
      <c r="J20" s="32" t="str">
        <f ca="1">IF($A20="","",IF(IF(J$2&lt;=$A$1,1,0),IF(J$4="休","",IF(COUNTIF(DATA!K:K,$A:$A)=0,"×","√")),""))</f>
        <v/>
      </c>
      <c r="K20" s="32" t="str">
        <f ca="1">IF($A20="","",IF(IF(K$2&lt;=$A$1,1,0),IF(K$4="休","",IF(COUNTIF(DATA!L:L,$A:$A)=0,"×","√")),""))</f>
        <v/>
      </c>
      <c r="L20" s="32" t="str">
        <f ca="1">IF($A20="","",IF(IF(L$2&lt;=$A$1,1,0),IF(L$4="休","",IF(COUNTIF(DATA!M:M,$A:$A)=0,"×","√")),""))</f>
        <v/>
      </c>
      <c r="M20" s="32" t="str">
        <f ca="1">IF($A20="","",IF(IF(M$2&lt;=$A$1,1,0),IF(M$4="休","",IF(COUNTIF(DATA!N:N,$A:$A)=0,"×","√")),""))</f>
        <v/>
      </c>
      <c r="N20" s="32" t="str">
        <f ca="1">IF($A20="","",IF(IF(N$2&lt;=$A$1,1,0),IF(N$4="休","",IF(COUNTIF(DATA!O:O,$A:$A)=0,"×","√")),""))</f>
        <v/>
      </c>
      <c r="O20" s="32" t="str">
        <f ca="1">IF($A20="","",IF(IF(O$2&lt;=$A$1,1,0),IF(O$4="休","",IF(COUNTIF(DATA!P:P,$A:$A)=0,"×","√")),""))</f>
        <v/>
      </c>
      <c r="P20" s="32" t="str">
        <f ca="1">IF($A20="","",IF(IF(P$2&lt;=$A$1,1,0),IF(P$4="休","",IF(COUNTIF(DATA!Q:Q,$A:$A)=0,"×","√")),""))</f>
        <v/>
      </c>
      <c r="Q20" s="32" t="str">
        <f ca="1">IF($A20="","",IF(IF(Q$2&lt;=$A$1,1,0),IF(Q$4="休","",IF(COUNTIF(DATA!R:R,$A:$A)=0,"×","√")),""))</f>
        <v/>
      </c>
      <c r="R20" s="32" t="str">
        <f ca="1">IF($A20="","",IF(IF(R$2&lt;=$A$1,1,0),IF(R$4="休","",IF(COUNTIF(DATA!S:S,$A:$A)=0,"×","√")),""))</f>
        <v/>
      </c>
      <c r="S20" s="32" t="str">
        <f ca="1">IF($A20="","",IF(IF(S$2&lt;=$A$1,1,0),IF(S$4="休","",IF(COUNTIF(DATA!T:T,$A:$A)=0,"×","√")),""))</f>
        <v/>
      </c>
      <c r="T20" s="32" t="str">
        <f ca="1">IF($A20="","",IF(IF(T$2&lt;=$A$1,1,0),IF(T$4="休","",IF(COUNTIF(DATA!U:U,$A:$A)=0,"×","√")),""))</f>
        <v/>
      </c>
      <c r="U20" s="32" t="str">
        <f ca="1">IF($A20="","",IF(IF(U$2&lt;=$A$1,1,0),IF(U$4="休","",IF(COUNTIF(DATA!V:V,$A:$A)=0,"×","√")),""))</f>
        <v/>
      </c>
      <c r="V20" s="32" t="str">
        <f ca="1">IF($A20="","",IF(IF(V$2&lt;=$A$1,1,0),IF(V$4="休","",IF(COUNTIF(DATA!W:W,$A:$A)=0,"×","√")),""))</f>
        <v/>
      </c>
      <c r="W20" s="32" t="str">
        <f ca="1">IF($A20="","",IF(IF(W$2&lt;=$A$1,1,0),IF(W$4="休","",IF(COUNTIF(DATA!X:X,$A:$A)=0,"×","√")),""))</f>
        <v/>
      </c>
      <c r="X20" s="32" t="str">
        <f ca="1">IF($A20="","",IF(IF(X$2&lt;=$A$1,1,0),IF(X$4="休","",IF(COUNTIF(DATA!Y:Y,$A:$A)=0,"×","√")),""))</f>
        <v/>
      </c>
      <c r="Y20" s="32" t="str">
        <f ca="1">IF($A20="","",IF(IF(Y$2&lt;=$A$1,1,0),IF(Y$4="休","",IF(COUNTIF(DATA!Z:Z,$A:$A)=0,"×","√")),""))</f>
        <v/>
      </c>
      <c r="Z20" s="32" t="str">
        <f ca="1">IF($A20="","",IF(IF(Z$2&lt;=$A$1,1,0),IF(Z$4="休","",IF(COUNTIF(DATA!AA:AA,$A:$A)=0,"×","√")),""))</f>
        <v/>
      </c>
      <c r="AA20" s="32" t="str">
        <f ca="1">IF($A20="","",IF(IF(AA$2&lt;=$A$1,1,0),IF(AA$4="休","",IF(COUNTIF(DATA!AB:AB,$A:$A)=0,"×","√")),""))</f>
        <v/>
      </c>
      <c r="AB20" s="32" t="str">
        <f ca="1">IF($A20="","",IF(IF(AB$2&lt;=$A$1,1,0),IF(AB$4="休","",IF(COUNTIF(DATA!AC:AC,$A:$A)=0,"×","√")),""))</f>
        <v/>
      </c>
      <c r="AC20" s="32" t="str">
        <f ca="1">IF($A20="","",IF(IF(AC$2&lt;=$A$1,1,0),IF(AC$4="休","",IF(COUNTIF(DATA!AD:AD,$A:$A)=0,"×","√")),""))</f>
        <v/>
      </c>
      <c r="AD20" s="32" t="str">
        <f ca="1">IF($A20="","",IF(IF(AD$2&lt;=$A$1,1,0),IF(AD$4="休","",IF(COUNTIF(DATA!AE:AE,$A:$A)=0,"×","√")),""))</f>
        <v/>
      </c>
      <c r="AE20" s="32" t="str">
        <f ca="1">IF($A20="","",IF(IF(AE$2&lt;=$A$1,1,0),IF(AE$4="休","",IF(COUNTIF(DATA!AF:AF,$A:$A)=0,"×","√")),""))</f>
        <v/>
      </c>
      <c r="AF20" s="32" t="str">
        <f ca="1">IF($A20="","",IF(IF(AF$2&lt;=$A$1,1,0),IF(AF$4="休","",IF(COUNTIF(DATA!AG:AG,$A:$A)=0,"×","√")),""))</f>
        <v/>
      </c>
      <c r="AG20" s="32" t="str">
        <f ca="1">IF($A20="","",IF(IF(AG$2&lt;=$A$1,1,0),IF(AG$4="休","",IF(COUNTIF(DATA!AH:AH,$A:$A)=0,"×","√")),""))</f>
        <v/>
      </c>
      <c r="AH20" s="32" t="str">
        <f ca="1">IF($A20="","",IF(IF(AH$2&lt;=$A$1,1,0),IF(AH$4="休","",IF(COUNTIF(DATA!AI:AI,$A:$A)=0,"×","√")),""))</f>
        <v/>
      </c>
      <c r="AI20" s="32" t="str">
        <f ca="1">IF($A20="","",IF(IF(AI$2&lt;=$A$1,1,0),IF(AI$4="休","",IF(COUNTIF(DATA!AJ:AJ,$A:$A)=0,"×","√")),""))</f>
        <v/>
      </c>
      <c r="AJ20" s="32" t="str">
        <f ca="1">IF($A20="","",IF(IF(AJ$2&lt;=$A$1,1,0),IF(AJ$4="休","",IF(COUNTIF(DATA!AK:AK,$A:$A)=0,"×","√")),""))</f>
        <v/>
      </c>
      <c r="AK20" s="32" t="str">
        <f ca="1">IF($A20="","",IF(IF(AK$2&lt;=$A$1,1,0),IF(AK$4="休","",IF(COUNTIF(DATA!AL:AL,$A:$A)=0,"×","√")),""))</f>
        <v/>
      </c>
      <c r="AL20" s="32" t="str">
        <f ca="1">IF($A20="","",IF(IF(AL$2&lt;=$A$1,1,0),IF(AL$4="休","",IF(COUNTIF(DATA!AM:AM,$A:$A)=0,"×","√")),""))</f>
        <v/>
      </c>
      <c r="AM20" s="32" t="str">
        <f ca="1">IF($A20="","",IF(IF(AM$2&lt;=$A$1,1,0),IF(AM$4="休","",IF(COUNTIF(DATA!AN:AN,$A:$A)=0,"×","√")),""))</f>
        <v/>
      </c>
      <c r="AN20" s="32" t="str">
        <f ca="1">IF($A20="","",IF(IF(AN$2&lt;=$A$1,1,0),IF(AN$4="休","",IF(COUNTIF(DATA!AO:AO,$A:$A)=0,"×","√")),""))</f>
        <v/>
      </c>
      <c r="AO20" s="32" t="str">
        <f ca="1">IF($A20="","",IF(IF(AO$2&lt;=$A$1,1,0),IF(AO$4="休","",IF(COUNTIF(DATA!AP:AP,$A:$A)=0,"×","√")),""))</f>
        <v/>
      </c>
      <c r="AP20" s="32" t="str">
        <f ca="1">IF($A20="","",IF(IF(AP$2&lt;=$A$1,1,0),IF(AP$4="休","",IF(COUNTIF(DATA!AQ:AQ,$A:$A)=0,"×","√")),""))</f>
        <v/>
      </c>
      <c r="AQ20" s="32" t="str">
        <f ca="1">IF($A20="","",IF(IF(AQ$2&lt;=$A$1,1,0),IF(AQ$4="休","",IF(COUNTIF(DATA!AR:AR,$A:$A)=0,"×","√")),""))</f>
        <v/>
      </c>
      <c r="AR20" s="32" t="str">
        <f ca="1">IF($A20="","",IF(IF(AR$2&lt;=$A$1,1,0),IF(AR$4="休","",IF(COUNTIF(DATA!AS:AS,$A:$A)=0,"×","√")),""))</f>
        <v/>
      </c>
      <c r="AS20" s="32" t="str">
        <f ca="1">IF($A20="","",IF(IF(AS$2&lt;=$A$1,1,0),IF(AS$4="休","",IF(COUNTIF(DATA!AT:AT,$A:$A)=0,"×","√")),""))</f>
        <v/>
      </c>
      <c r="AT20" s="32" t="str">
        <f ca="1">IF($A20="","",IF(IF(AT$2&lt;=$A$1,1,0),IF(AT$4="休","",IF(COUNTIF(DATA!AU:AU,$A:$A)=0,"×","√")),""))</f>
        <v/>
      </c>
      <c r="AU20" s="32" t="str">
        <f ca="1">IF($A20="","",IF(IF(AU$2&lt;=$A$1,1,0),IF(AU$4="休","",IF(COUNTIF(DATA!AV:AV,$A:$A)=0,"×","√")),""))</f>
        <v/>
      </c>
      <c r="AV20" s="32" t="str">
        <f ca="1">IF($A20="","",IF(IF(AV$2&lt;=$A$1,1,0),IF(AV$4="休","",IF(COUNTIF(DATA!AW:AW,$A:$A)=0,"×","√")),""))</f>
        <v/>
      </c>
      <c r="AW20" s="32" t="str">
        <f ca="1">IF($A20="","",IF(IF(AW$2&lt;=$A$1,1,0),IF(AW$4="休","",IF(COUNTIF(DATA!AX:AX,$A:$A)=0,"×","√")),""))</f>
        <v/>
      </c>
      <c r="AX20" s="32" t="str">
        <f ca="1">IF($A20="","",IF(IF(AX$2&lt;=$A$1,1,0),IF(AX$4="休","",IF(COUNTIF(DATA!AY:AY,$A:$A)=0,"×","√")),""))</f>
        <v/>
      </c>
      <c r="AY20" s="32" t="str">
        <f ca="1">IF($A20="","",IF(IF(AY$2&lt;=$A$1,1,0),IF(AY$4="休","",IF(COUNTIF(DATA!AZ:AZ,$A:$A)=0,"×","√")),""))</f>
        <v/>
      </c>
      <c r="AZ20" s="32" t="str">
        <f ca="1">IF($A20="","",IF(IF(AZ$2&lt;=$A$1,1,0),IF(AZ$4="休","",IF(COUNTIF(DATA!BA:BA,$A:$A)=0,"×","√")),""))</f>
        <v/>
      </c>
      <c r="BA20" s="32" t="str">
        <f ca="1">IF($A20="","",IF(IF(BA$2&lt;=$A$1,1,0),IF(BA$4="休","",IF(COUNTIF(DATA!BB:BB,$A:$A)=0,"×","√")),""))</f>
        <v/>
      </c>
      <c r="BB20" s="32" t="str">
        <f ca="1">IF($A20="","",IF(IF(BB$2&lt;=$A$1,1,0),IF(BB$4="休","",IF(COUNTIF(DATA!BC:BC,$A:$A)=0,"×","√")),""))</f>
        <v/>
      </c>
      <c r="BC20" s="32" t="str">
        <f ca="1">IF($A20="","",IF(IF(BC$2&lt;=$A$1,1,0),IF(BC$4="休","",IF(COUNTIF(DATA!BD:BD,$A:$A)=0,"×","√")),""))</f>
        <v/>
      </c>
      <c r="BD20" s="32" t="str">
        <f ca="1">IF($A20="","",IF(IF(BD$2&lt;=$A$1,1,0),IF(BD$4="休","",IF(COUNTIF(DATA!BE:BE,$A:$A)=0,"×","√")),""))</f>
        <v/>
      </c>
      <c r="BE20" s="32" t="str">
        <f ca="1">IF($A20="","",IF(IF(BE$2&lt;=$A$1,1,0),IF(BE$4="休","",IF(COUNTIF(DATA!BF:BF,$A:$A)=0,"×","√")),""))</f>
        <v/>
      </c>
      <c r="BF20" s="32" t="str">
        <f ca="1">IF($A20="","",IF(IF(BF$2&lt;=$A$1,1,0),IF(BF$4="休","",IF(COUNTIF(DATA!BG:BG,$A:$A)=0,"×","√")),""))</f>
        <v/>
      </c>
      <c r="BG20" s="32" t="str">
        <f ca="1">IF($A20="","",IF(IF(BG$2&lt;=$A$1,1,0),IF(BG$4="休","",IF(COUNTIF(DATA!BH:BH,$A:$A)=0,"×","√")),""))</f>
        <v/>
      </c>
      <c r="BH20" s="32" t="str">
        <f ca="1">IF($A20="","",IF(IF(BH$2&lt;=$A$1,1,0),IF(BH$4="休","",IF(COUNTIF(DATA!BI:BI,$A:$A)=0,"×","√")),""))</f>
        <v/>
      </c>
      <c r="BI20" s="32" t="str">
        <f ca="1">IF($A20="","",IF(IF(BI$2&lt;=$A$1,1,0),IF(BI$4="休","",IF(COUNTIF(DATA!BJ:BJ,$A:$A)=0,"×","√")),""))</f>
        <v/>
      </c>
      <c r="BJ20" s="32" t="str">
        <f ca="1">IF($A20="","",IF(IF(BJ$2&lt;=$A$1,1,0),IF(BJ$4="休","",IF(COUNTIF(DATA!BK:BK,$A:$A)=0,"×","√")),""))</f>
        <v/>
      </c>
      <c r="BK20" s="32" t="str">
        <f ca="1">IF($A20="","",IF(IF(BK$2&lt;=$A$1,1,0),IF(BK$4="休","",IF(COUNTIF(DATA!BL:BL,$A:$A)=0,"×","√")),""))</f>
        <v/>
      </c>
      <c r="BL20" s="32" t="str">
        <f ca="1">IF($A20="","",IF(IF(BL$2&lt;=$A$1,1,0),IF(BL$4="休","",IF(COUNTIF(DATA!BM:BM,$A:$A)=0,"×","√")),""))</f>
        <v/>
      </c>
      <c r="BM20" s="32" t="str">
        <f ca="1">IF($A20="","",IF(IF(BM$2&lt;=$A$1,1,0),IF(BM$4="休","",IF(COUNTIF(DATA!BN:BN,$A:$A)=0,"×","√")),""))</f>
        <v/>
      </c>
      <c r="BN20" s="32" t="str">
        <f ca="1">IF($A20="","",IF(IF(BN$2&lt;=$A$1,1,0),IF(BN$4="休","",IF(COUNTIF(DATA!BO:BO,$A:$A)=0,"×","√")),""))</f>
        <v/>
      </c>
      <c r="BO20" s="32" t="str">
        <f ca="1">IF($A20="","",IF(IF(BO$2&lt;=$A$1,1,0),IF(BO$4="休","",IF(COUNTIF(DATA!BP:BP,$A:$A)=0,"×","√")),""))</f>
        <v/>
      </c>
      <c r="BP20" s="32" t="str">
        <f ca="1">IF($A20="","",IF(IF(BP$2&lt;=$A$1,1,0),IF(BP$4="休","",IF(COUNTIF(DATA!BQ:BQ,$A:$A)=0,"×","√")),""))</f>
        <v/>
      </c>
      <c r="BQ20" s="32" t="str">
        <f ca="1">IF($A20="","",IF(IF(BQ$2&lt;=$A$1,1,0),IF(BQ$4="休","",IF(COUNTIF(DATA!BR:BR,$A:$A)=0,"×","√")),""))</f>
        <v/>
      </c>
      <c r="BR20" s="32" t="str">
        <f ca="1">IF($A20="","",IF(IF(BR$2&lt;=$A$1,1,0),IF(BR$4="休","",IF(COUNTIF(DATA!BS:BS,$A:$A)=0,"×","√")),""))</f>
        <v/>
      </c>
      <c r="BS20" s="32" t="str">
        <f ca="1">IF($A20="","",IF(IF(BS$2&lt;=$A$1,1,0),IF(BS$4="休","",IF(COUNTIF(DATA!BT:BT,$A:$A)=0,"×","√")),""))</f>
        <v/>
      </c>
      <c r="BT20" s="32" t="str">
        <f ca="1">IF($A20="","",IF(IF(BT$2&lt;=$A$1,1,0),IF(BT$4="休","",IF(COUNTIF(DATA!BU:BU,$A:$A)=0,"×","√")),""))</f>
        <v/>
      </c>
      <c r="BU20" s="32" t="str">
        <f ca="1">IF($A20="","",IF(IF(BU$2&lt;=$A$1,1,0),IF(BU$4="休","",IF(COUNTIF(DATA!BV:BV,$A:$A)=0,"×","√")),""))</f>
        <v/>
      </c>
      <c r="BV20" s="32" t="str">
        <f ca="1">IF($A20="","",IF(IF(BV$2&lt;=$A$1,1,0),IF(BV$4="休","",IF(COUNTIF(DATA!BW:BW,$A:$A)=0,"×","√")),""))</f>
        <v/>
      </c>
      <c r="BW20" s="32" t="str">
        <f ca="1">IF($A20="","",IF(IF(BW$2&lt;=$A$1,1,0),IF(BW$4="休","",IF(COUNTIF(DATA!BX:BX,$A:$A)=0,"×","√")),""))</f>
        <v/>
      </c>
      <c r="BX20" s="32" t="str">
        <f ca="1">IF($A20="","",IF(IF(BX$2&lt;=$A$1,1,0),IF(BX$4="休","",IF(COUNTIF(DATA!BY:BY,$A:$A)=0,"×","√")),""))</f>
        <v/>
      </c>
      <c r="BY20" s="32" t="str">
        <f ca="1">IF($A20="","",IF(IF(BY$2&lt;=$A$1,1,0),IF(BY$4="休","",IF(COUNTIF(DATA!BZ:BZ,$A:$A)=0,"×","√")),""))</f>
        <v/>
      </c>
      <c r="BZ20" s="32" t="str">
        <f ca="1">IF($A20="","",IF(IF(BZ$2&lt;=$A$1,1,0),IF(BZ$4="休","",IF(COUNTIF(DATA!CA:CA,$A:$A)=0,"×","√")),""))</f>
        <v/>
      </c>
      <c r="CA20" s="32" t="str">
        <f ca="1">IF($A20="","",IF(IF(CA$2&lt;=$A$1,1,0),IF(CA$4="休","",IF(COUNTIF(DATA!CB:CB,$A:$A)=0,"×","√")),""))</f>
        <v/>
      </c>
      <c r="CB20" s="32" t="str">
        <f ca="1">IF($A20="","",IF(IF(CB$2&lt;=$A$1,1,0),IF(CB$4="休","",IF(COUNTIF(DATA!CC:CC,$A:$A)=0,"×","√")),""))</f>
        <v/>
      </c>
      <c r="CC20" s="32" t="str">
        <f ca="1">IF($A20="","",IF(IF(CC$2&lt;=$A$1,1,0),IF(CC$4="休","",IF(COUNTIF(DATA!CD:CD,$A:$A)=0,"×","√")),""))</f>
        <v/>
      </c>
      <c r="CD20" s="32" t="str">
        <f ca="1">IF($A20="","",IF(IF(CD$2&lt;=$A$1,1,0),IF(CD$4="休","",IF(COUNTIF(DATA!CE:CE,$A:$A)=0,"×","√")),""))</f>
        <v/>
      </c>
      <c r="CE20" s="32" t="str">
        <f ca="1">IF($A20="","",IF(IF(CE$2&lt;=$A$1,1,0),IF(CE$4="休","",IF(COUNTIF(DATA!CF:CF,$A:$A)=0,"×","√")),""))</f>
        <v/>
      </c>
      <c r="CF20" s="32" t="str">
        <f ca="1">IF($A20="","",IF(IF(CF$2&lt;=$A$1,1,0),IF(CF$4="休","",IF(COUNTIF(DATA!CG:CG,$A:$A)=0,"×","√")),""))</f>
        <v/>
      </c>
      <c r="CG20" s="32" t="str">
        <f ca="1">IF($A20="","",IF(IF(CG$2&lt;=$A$1,1,0),IF(CG$4="休","",IF(COUNTIF(DATA!CH:CH,$A:$A)=0,"×","√")),""))</f>
        <v/>
      </c>
      <c r="CH20" s="32" t="str">
        <f ca="1">IF($A20="","",IF(IF(CH$2&lt;=$A$1,1,0),IF(CH$4="休","",IF(COUNTIF(DATA!CI:CI,$A:$A)=0,"×","√")),""))</f>
        <v/>
      </c>
      <c r="CI20" s="32" t="str">
        <f ca="1">IF($A20="","",IF(IF(CI$2&lt;=$A$1,1,0),IF(CI$4="休","",IF(COUNTIF(DATA!CJ:CJ,$A:$A)=0,"×","√")),""))</f>
        <v/>
      </c>
      <c r="CJ20" s="32" t="str">
        <f ca="1">IF($A20="","",IF(IF(CJ$2&lt;=$A$1,1,0),IF(CJ$4="休","",IF(COUNTIF(DATA!CK:CK,$A:$A)=0,"×","√")),""))</f>
        <v/>
      </c>
      <c r="CK20" s="32" t="str">
        <f ca="1">IF($A20="","",IF(IF(CK$2&lt;=$A$1,1,0),IF(CK$4="休","",IF(COUNTIF(DATA!CL:CL,$A:$A)=0,"×","√")),""))</f>
        <v/>
      </c>
      <c r="CL20" s="32" t="str">
        <f ca="1">IF($A20="","",IF(IF(CL$2&lt;=$A$1,1,0),IF(CL$4="休","",IF(COUNTIF(DATA!CM:CM,$A:$A)=0,"×","√")),""))</f>
        <v/>
      </c>
      <c r="CM20" s="32" t="str">
        <f ca="1">IF($A20="","",IF(IF(CM$2&lt;=$A$1,1,0),IF(CM$4="休","",IF(COUNTIF(DATA!CN:CN,$A:$A)=0,"×","√")),""))</f>
        <v/>
      </c>
      <c r="CN20" s="32" t="str">
        <f ca="1">IF($A20="","",IF(IF(CN$2&lt;=$A$1,1,0),IF(CN$4="休","",IF(COUNTIF(DATA!CO:CO,$A:$A)=0,"×","√")),""))</f>
        <v/>
      </c>
      <c r="CO20" s="32" t="str">
        <f ca="1">IF($A20="","",IF(IF(CO$2&lt;=$A$1,1,0),IF(CO$4="休","",IF(COUNTIF(DATA!CP:CP,$A:$A)=0,"×","√")),""))</f>
        <v/>
      </c>
      <c r="CP20" s="32" t="str">
        <f ca="1">IF($A20="","",IF(IF(CP$2&lt;=$A$1,1,0),IF(CP$4="休","",IF(COUNTIF(DATA!CQ:CQ,$A:$A)=0,"×","√")),""))</f>
        <v/>
      </c>
      <c r="CQ20" s="32" t="str">
        <f ca="1">IF($A20="","",IF(IF(CQ$2&lt;=$A$1,1,0),IF(CQ$4="休","",IF(COUNTIF(DATA!CR:CR,$A:$A)=0,"×","√")),""))</f>
        <v/>
      </c>
      <c r="CR20" s="32" t="str">
        <f ca="1">IF($A20="","",IF(IF(CR$2&lt;=$A$1,1,0),IF(CR$4="休","",IF(COUNTIF(DATA!CS:CS,$A:$A)=0,"×","√")),""))</f>
        <v/>
      </c>
    </row>
    <row r="21" s="26" customFormat="1" ht="18.75" spans="1:96">
      <c r="A21" s="32" t="str">
        <f>DATA!$A20&amp;""</f>
        <v>黄璟亮</v>
      </c>
      <c r="B21" s="32" t="str">
        <f ca="1">IF($A21="","",IF(IF(B$2&lt;=$A$1,1,0),IF(B$4="休","",IF(COUNTIF(DATA!C:C,$A:$A)=0,"×","√")),""))</f>
        <v>√</v>
      </c>
      <c r="C21" s="32" t="str">
        <f ca="1">IF($A21="","",IF(IF(C$2&lt;=$A$1,1,0),IF(C$4="休","",IF(COUNTIF(DATA!D:D,$A:$A)=0,"×","√")),""))</f>
        <v>√</v>
      </c>
      <c r="D21" s="32" t="str">
        <f ca="1">IF($A21="","",IF(IF(D$2&lt;=$A$1,1,0),IF(D$4="休","",IF(COUNTIF(DATA!E:E,$A:$A)=0,"×","√")),""))</f>
        <v>√</v>
      </c>
      <c r="E21" s="32" t="str">
        <f ca="1">IF($A21="","",IF(IF(E$2&lt;=$A$1,1,0),IF(E$4="休","",IF(COUNTIF(DATA!F:F,$A:$A)=0,"×","√")),""))</f>
        <v>√</v>
      </c>
      <c r="F21" s="32" t="str">
        <f ca="1">IF($A21="","",IF(IF(F$2&lt;=$A$1,1,0),IF(F$4="休","",IF(COUNTIF(DATA!G:G,$A:$A)=0,"×","√")),""))</f>
        <v>√</v>
      </c>
      <c r="G21" s="32" t="str">
        <f ca="1">IF($A21="","",IF(IF(G$2&lt;=$A$1,1,0),IF(G$4="休","",IF(COUNTIF(DATA!H:H,$A:$A)=0,"×","√")),""))</f>
        <v>√</v>
      </c>
      <c r="H21" s="32" t="str">
        <f ca="1">IF($A21="","",IF(IF(H$2&lt;=$A$1,1,0),IF(H$4="休","",IF(COUNTIF(DATA!I:I,$A:$A)=0,"×","√")),""))</f>
        <v>√</v>
      </c>
      <c r="I21" s="32" t="str">
        <f ca="1">IF($A21="","",IF(IF(I$2&lt;=$A$1,1,0),IF(I$4="休","",IF(COUNTIF(DATA!J:J,$A:$A)=0,"×","√")),""))</f>
        <v>√</v>
      </c>
      <c r="J21" s="32" t="str">
        <f ca="1">IF($A21="","",IF(IF(J$2&lt;=$A$1,1,0),IF(J$4="休","",IF(COUNTIF(DATA!K:K,$A:$A)=0,"×","√")),""))</f>
        <v/>
      </c>
      <c r="K21" s="32" t="str">
        <f ca="1">IF($A21="","",IF(IF(K$2&lt;=$A$1,1,0),IF(K$4="休","",IF(COUNTIF(DATA!L:L,$A:$A)=0,"×","√")),""))</f>
        <v/>
      </c>
      <c r="L21" s="32" t="str">
        <f ca="1">IF($A21="","",IF(IF(L$2&lt;=$A$1,1,0),IF(L$4="休","",IF(COUNTIF(DATA!M:M,$A:$A)=0,"×","√")),""))</f>
        <v/>
      </c>
      <c r="M21" s="32" t="str">
        <f ca="1">IF($A21="","",IF(IF(M$2&lt;=$A$1,1,0),IF(M$4="休","",IF(COUNTIF(DATA!N:N,$A:$A)=0,"×","√")),""))</f>
        <v/>
      </c>
      <c r="N21" s="32" t="str">
        <f ca="1">IF($A21="","",IF(IF(N$2&lt;=$A$1,1,0),IF(N$4="休","",IF(COUNTIF(DATA!O:O,$A:$A)=0,"×","√")),""))</f>
        <v/>
      </c>
      <c r="O21" s="32" t="str">
        <f ca="1">IF($A21="","",IF(IF(O$2&lt;=$A$1,1,0),IF(O$4="休","",IF(COUNTIF(DATA!P:P,$A:$A)=0,"×","√")),""))</f>
        <v/>
      </c>
      <c r="P21" s="32" t="str">
        <f ca="1">IF($A21="","",IF(IF(P$2&lt;=$A$1,1,0),IF(P$4="休","",IF(COUNTIF(DATA!Q:Q,$A:$A)=0,"×","√")),""))</f>
        <v/>
      </c>
      <c r="Q21" s="32" t="str">
        <f ca="1">IF($A21="","",IF(IF(Q$2&lt;=$A$1,1,0),IF(Q$4="休","",IF(COUNTIF(DATA!R:R,$A:$A)=0,"×","√")),""))</f>
        <v/>
      </c>
      <c r="R21" s="32" t="str">
        <f ca="1">IF($A21="","",IF(IF(R$2&lt;=$A$1,1,0),IF(R$4="休","",IF(COUNTIF(DATA!S:S,$A:$A)=0,"×","√")),""))</f>
        <v/>
      </c>
      <c r="S21" s="32" t="str">
        <f ca="1">IF($A21="","",IF(IF(S$2&lt;=$A$1,1,0),IF(S$4="休","",IF(COUNTIF(DATA!T:T,$A:$A)=0,"×","√")),""))</f>
        <v/>
      </c>
      <c r="T21" s="32" t="str">
        <f ca="1">IF($A21="","",IF(IF(T$2&lt;=$A$1,1,0),IF(T$4="休","",IF(COUNTIF(DATA!U:U,$A:$A)=0,"×","√")),""))</f>
        <v/>
      </c>
      <c r="U21" s="32" t="str">
        <f ca="1">IF($A21="","",IF(IF(U$2&lt;=$A$1,1,0),IF(U$4="休","",IF(COUNTIF(DATA!V:V,$A:$A)=0,"×","√")),""))</f>
        <v/>
      </c>
      <c r="V21" s="32" t="str">
        <f ca="1">IF($A21="","",IF(IF(V$2&lt;=$A$1,1,0),IF(V$4="休","",IF(COUNTIF(DATA!W:W,$A:$A)=0,"×","√")),""))</f>
        <v/>
      </c>
      <c r="W21" s="32" t="str">
        <f ca="1">IF($A21="","",IF(IF(W$2&lt;=$A$1,1,0),IF(W$4="休","",IF(COUNTIF(DATA!X:X,$A:$A)=0,"×","√")),""))</f>
        <v/>
      </c>
      <c r="X21" s="32" t="str">
        <f ca="1">IF($A21="","",IF(IF(X$2&lt;=$A$1,1,0),IF(X$4="休","",IF(COUNTIF(DATA!Y:Y,$A:$A)=0,"×","√")),""))</f>
        <v/>
      </c>
      <c r="Y21" s="32" t="str">
        <f ca="1">IF($A21="","",IF(IF(Y$2&lt;=$A$1,1,0),IF(Y$4="休","",IF(COUNTIF(DATA!Z:Z,$A:$A)=0,"×","√")),""))</f>
        <v/>
      </c>
      <c r="Z21" s="32" t="str">
        <f ca="1">IF($A21="","",IF(IF(Z$2&lt;=$A$1,1,0),IF(Z$4="休","",IF(COUNTIF(DATA!AA:AA,$A:$A)=0,"×","√")),""))</f>
        <v/>
      </c>
      <c r="AA21" s="32" t="str">
        <f ca="1">IF($A21="","",IF(IF(AA$2&lt;=$A$1,1,0),IF(AA$4="休","",IF(COUNTIF(DATA!AB:AB,$A:$A)=0,"×","√")),""))</f>
        <v/>
      </c>
      <c r="AB21" s="32" t="str">
        <f ca="1">IF($A21="","",IF(IF(AB$2&lt;=$A$1,1,0),IF(AB$4="休","",IF(COUNTIF(DATA!AC:AC,$A:$A)=0,"×","√")),""))</f>
        <v/>
      </c>
      <c r="AC21" s="32" t="str">
        <f ca="1">IF($A21="","",IF(IF(AC$2&lt;=$A$1,1,0),IF(AC$4="休","",IF(COUNTIF(DATA!AD:AD,$A:$A)=0,"×","√")),""))</f>
        <v/>
      </c>
      <c r="AD21" s="32" t="str">
        <f ca="1">IF($A21="","",IF(IF(AD$2&lt;=$A$1,1,0),IF(AD$4="休","",IF(COUNTIF(DATA!AE:AE,$A:$A)=0,"×","√")),""))</f>
        <v/>
      </c>
      <c r="AE21" s="32" t="str">
        <f ca="1">IF($A21="","",IF(IF(AE$2&lt;=$A$1,1,0),IF(AE$4="休","",IF(COUNTIF(DATA!AF:AF,$A:$A)=0,"×","√")),""))</f>
        <v/>
      </c>
      <c r="AF21" s="32" t="str">
        <f ca="1">IF($A21="","",IF(IF(AF$2&lt;=$A$1,1,0),IF(AF$4="休","",IF(COUNTIF(DATA!AG:AG,$A:$A)=0,"×","√")),""))</f>
        <v/>
      </c>
      <c r="AG21" s="32" t="str">
        <f ca="1">IF($A21="","",IF(IF(AG$2&lt;=$A$1,1,0),IF(AG$4="休","",IF(COUNTIF(DATA!AH:AH,$A:$A)=0,"×","√")),""))</f>
        <v/>
      </c>
      <c r="AH21" s="32" t="str">
        <f ca="1">IF($A21="","",IF(IF(AH$2&lt;=$A$1,1,0),IF(AH$4="休","",IF(COUNTIF(DATA!AI:AI,$A:$A)=0,"×","√")),""))</f>
        <v/>
      </c>
      <c r="AI21" s="32" t="str">
        <f ca="1">IF($A21="","",IF(IF(AI$2&lt;=$A$1,1,0),IF(AI$4="休","",IF(COUNTIF(DATA!AJ:AJ,$A:$A)=0,"×","√")),""))</f>
        <v/>
      </c>
      <c r="AJ21" s="32" t="str">
        <f ca="1">IF($A21="","",IF(IF(AJ$2&lt;=$A$1,1,0),IF(AJ$4="休","",IF(COUNTIF(DATA!AK:AK,$A:$A)=0,"×","√")),""))</f>
        <v/>
      </c>
      <c r="AK21" s="32" t="str">
        <f ca="1">IF($A21="","",IF(IF(AK$2&lt;=$A$1,1,0),IF(AK$4="休","",IF(COUNTIF(DATA!AL:AL,$A:$A)=0,"×","√")),""))</f>
        <v/>
      </c>
      <c r="AL21" s="32" t="str">
        <f ca="1">IF($A21="","",IF(IF(AL$2&lt;=$A$1,1,0),IF(AL$4="休","",IF(COUNTIF(DATA!AM:AM,$A:$A)=0,"×","√")),""))</f>
        <v/>
      </c>
      <c r="AM21" s="32" t="str">
        <f ca="1">IF($A21="","",IF(IF(AM$2&lt;=$A$1,1,0),IF(AM$4="休","",IF(COUNTIF(DATA!AN:AN,$A:$A)=0,"×","√")),""))</f>
        <v/>
      </c>
      <c r="AN21" s="32" t="str">
        <f ca="1">IF($A21="","",IF(IF(AN$2&lt;=$A$1,1,0),IF(AN$4="休","",IF(COUNTIF(DATA!AO:AO,$A:$A)=0,"×","√")),""))</f>
        <v/>
      </c>
      <c r="AO21" s="32" t="str">
        <f ca="1">IF($A21="","",IF(IF(AO$2&lt;=$A$1,1,0),IF(AO$4="休","",IF(COUNTIF(DATA!AP:AP,$A:$A)=0,"×","√")),""))</f>
        <v/>
      </c>
      <c r="AP21" s="32" t="str">
        <f ca="1">IF($A21="","",IF(IF(AP$2&lt;=$A$1,1,0),IF(AP$4="休","",IF(COUNTIF(DATA!AQ:AQ,$A:$A)=0,"×","√")),""))</f>
        <v/>
      </c>
      <c r="AQ21" s="32" t="str">
        <f ca="1">IF($A21="","",IF(IF(AQ$2&lt;=$A$1,1,0),IF(AQ$4="休","",IF(COUNTIF(DATA!AR:AR,$A:$A)=0,"×","√")),""))</f>
        <v/>
      </c>
      <c r="AR21" s="32" t="str">
        <f ca="1">IF($A21="","",IF(IF(AR$2&lt;=$A$1,1,0),IF(AR$4="休","",IF(COUNTIF(DATA!AS:AS,$A:$A)=0,"×","√")),""))</f>
        <v/>
      </c>
      <c r="AS21" s="32" t="str">
        <f ca="1">IF($A21="","",IF(IF(AS$2&lt;=$A$1,1,0),IF(AS$4="休","",IF(COUNTIF(DATA!AT:AT,$A:$A)=0,"×","√")),""))</f>
        <v/>
      </c>
      <c r="AT21" s="32" t="str">
        <f ca="1">IF($A21="","",IF(IF(AT$2&lt;=$A$1,1,0),IF(AT$4="休","",IF(COUNTIF(DATA!AU:AU,$A:$A)=0,"×","√")),""))</f>
        <v/>
      </c>
      <c r="AU21" s="32" t="str">
        <f ca="1">IF($A21="","",IF(IF(AU$2&lt;=$A$1,1,0),IF(AU$4="休","",IF(COUNTIF(DATA!AV:AV,$A:$A)=0,"×","√")),""))</f>
        <v/>
      </c>
      <c r="AV21" s="32" t="str">
        <f ca="1">IF($A21="","",IF(IF(AV$2&lt;=$A$1,1,0),IF(AV$4="休","",IF(COUNTIF(DATA!AW:AW,$A:$A)=0,"×","√")),""))</f>
        <v/>
      </c>
      <c r="AW21" s="32" t="str">
        <f ca="1">IF($A21="","",IF(IF(AW$2&lt;=$A$1,1,0),IF(AW$4="休","",IF(COUNTIF(DATA!AX:AX,$A:$A)=0,"×","√")),""))</f>
        <v/>
      </c>
      <c r="AX21" s="32" t="str">
        <f ca="1">IF($A21="","",IF(IF(AX$2&lt;=$A$1,1,0),IF(AX$4="休","",IF(COUNTIF(DATA!AY:AY,$A:$A)=0,"×","√")),""))</f>
        <v/>
      </c>
      <c r="AY21" s="32" t="str">
        <f ca="1">IF($A21="","",IF(IF(AY$2&lt;=$A$1,1,0),IF(AY$4="休","",IF(COUNTIF(DATA!AZ:AZ,$A:$A)=0,"×","√")),""))</f>
        <v/>
      </c>
      <c r="AZ21" s="32" t="str">
        <f ca="1">IF($A21="","",IF(IF(AZ$2&lt;=$A$1,1,0),IF(AZ$4="休","",IF(COUNTIF(DATA!BA:BA,$A:$A)=0,"×","√")),""))</f>
        <v/>
      </c>
      <c r="BA21" s="32" t="str">
        <f ca="1">IF($A21="","",IF(IF(BA$2&lt;=$A$1,1,0),IF(BA$4="休","",IF(COUNTIF(DATA!BB:BB,$A:$A)=0,"×","√")),""))</f>
        <v/>
      </c>
      <c r="BB21" s="32" t="str">
        <f ca="1">IF($A21="","",IF(IF(BB$2&lt;=$A$1,1,0),IF(BB$4="休","",IF(COUNTIF(DATA!BC:BC,$A:$A)=0,"×","√")),""))</f>
        <v/>
      </c>
      <c r="BC21" s="32" t="str">
        <f ca="1">IF($A21="","",IF(IF(BC$2&lt;=$A$1,1,0),IF(BC$4="休","",IF(COUNTIF(DATA!BD:BD,$A:$A)=0,"×","√")),""))</f>
        <v/>
      </c>
      <c r="BD21" s="32" t="str">
        <f ca="1">IF($A21="","",IF(IF(BD$2&lt;=$A$1,1,0),IF(BD$4="休","",IF(COUNTIF(DATA!BE:BE,$A:$A)=0,"×","√")),""))</f>
        <v/>
      </c>
      <c r="BE21" s="32" t="str">
        <f ca="1">IF($A21="","",IF(IF(BE$2&lt;=$A$1,1,0),IF(BE$4="休","",IF(COUNTIF(DATA!BF:BF,$A:$A)=0,"×","√")),""))</f>
        <v/>
      </c>
      <c r="BF21" s="32" t="str">
        <f ca="1">IF($A21="","",IF(IF(BF$2&lt;=$A$1,1,0),IF(BF$4="休","",IF(COUNTIF(DATA!BG:BG,$A:$A)=0,"×","√")),""))</f>
        <v/>
      </c>
      <c r="BG21" s="32" t="str">
        <f ca="1">IF($A21="","",IF(IF(BG$2&lt;=$A$1,1,0),IF(BG$4="休","",IF(COUNTIF(DATA!BH:BH,$A:$A)=0,"×","√")),""))</f>
        <v/>
      </c>
      <c r="BH21" s="32" t="str">
        <f ca="1">IF($A21="","",IF(IF(BH$2&lt;=$A$1,1,0),IF(BH$4="休","",IF(COUNTIF(DATA!BI:BI,$A:$A)=0,"×","√")),""))</f>
        <v/>
      </c>
      <c r="BI21" s="32" t="str">
        <f ca="1">IF($A21="","",IF(IF(BI$2&lt;=$A$1,1,0),IF(BI$4="休","",IF(COUNTIF(DATA!BJ:BJ,$A:$A)=0,"×","√")),""))</f>
        <v/>
      </c>
      <c r="BJ21" s="32" t="str">
        <f ca="1">IF($A21="","",IF(IF(BJ$2&lt;=$A$1,1,0),IF(BJ$4="休","",IF(COUNTIF(DATA!BK:BK,$A:$A)=0,"×","√")),""))</f>
        <v/>
      </c>
      <c r="BK21" s="32" t="str">
        <f ca="1">IF($A21="","",IF(IF(BK$2&lt;=$A$1,1,0),IF(BK$4="休","",IF(COUNTIF(DATA!BL:BL,$A:$A)=0,"×","√")),""))</f>
        <v/>
      </c>
      <c r="BL21" s="32" t="str">
        <f ca="1">IF($A21="","",IF(IF(BL$2&lt;=$A$1,1,0),IF(BL$4="休","",IF(COUNTIF(DATA!BM:BM,$A:$A)=0,"×","√")),""))</f>
        <v/>
      </c>
      <c r="BM21" s="32" t="str">
        <f ca="1">IF($A21="","",IF(IF(BM$2&lt;=$A$1,1,0),IF(BM$4="休","",IF(COUNTIF(DATA!BN:BN,$A:$A)=0,"×","√")),""))</f>
        <v/>
      </c>
      <c r="BN21" s="32" t="str">
        <f ca="1">IF($A21="","",IF(IF(BN$2&lt;=$A$1,1,0),IF(BN$4="休","",IF(COUNTIF(DATA!BO:BO,$A:$A)=0,"×","√")),""))</f>
        <v/>
      </c>
      <c r="BO21" s="32" t="str">
        <f ca="1">IF($A21="","",IF(IF(BO$2&lt;=$A$1,1,0),IF(BO$4="休","",IF(COUNTIF(DATA!BP:BP,$A:$A)=0,"×","√")),""))</f>
        <v/>
      </c>
      <c r="BP21" s="32" t="str">
        <f ca="1">IF($A21="","",IF(IF(BP$2&lt;=$A$1,1,0),IF(BP$4="休","",IF(COUNTIF(DATA!BQ:BQ,$A:$A)=0,"×","√")),""))</f>
        <v/>
      </c>
      <c r="BQ21" s="32" t="str">
        <f ca="1">IF($A21="","",IF(IF(BQ$2&lt;=$A$1,1,0),IF(BQ$4="休","",IF(COUNTIF(DATA!BR:BR,$A:$A)=0,"×","√")),""))</f>
        <v/>
      </c>
      <c r="BR21" s="32" t="str">
        <f ca="1">IF($A21="","",IF(IF(BR$2&lt;=$A$1,1,0),IF(BR$4="休","",IF(COUNTIF(DATA!BS:BS,$A:$A)=0,"×","√")),""))</f>
        <v/>
      </c>
      <c r="BS21" s="32" t="str">
        <f ca="1">IF($A21="","",IF(IF(BS$2&lt;=$A$1,1,0),IF(BS$4="休","",IF(COUNTIF(DATA!BT:BT,$A:$A)=0,"×","√")),""))</f>
        <v/>
      </c>
      <c r="BT21" s="32" t="str">
        <f ca="1">IF($A21="","",IF(IF(BT$2&lt;=$A$1,1,0),IF(BT$4="休","",IF(COUNTIF(DATA!BU:BU,$A:$A)=0,"×","√")),""))</f>
        <v/>
      </c>
      <c r="BU21" s="32" t="str">
        <f ca="1">IF($A21="","",IF(IF(BU$2&lt;=$A$1,1,0),IF(BU$4="休","",IF(COUNTIF(DATA!BV:BV,$A:$A)=0,"×","√")),""))</f>
        <v/>
      </c>
      <c r="BV21" s="32" t="str">
        <f ca="1">IF($A21="","",IF(IF(BV$2&lt;=$A$1,1,0),IF(BV$4="休","",IF(COUNTIF(DATA!BW:BW,$A:$A)=0,"×","√")),""))</f>
        <v/>
      </c>
      <c r="BW21" s="32" t="str">
        <f ca="1">IF($A21="","",IF(IF(BW$2&lt;=$A$1,1,0),IF(BW$4="休","",IF(COUNTIF(DATA!BX:BX,$A:$A)=0,"×","√")),""))</f>
        <v/>
      </c>
      <c r="BX21" s="32" t="str">
        <f ca="1">IF($A21="","",IF(IF(BX$2&lt;=$A$1,1,0),IF(BX$4="休","",IF(COUNTIF(DATA!BY:BY,$A:$A)=0,"×","√")),""))</f>
        <v/>
      </c>
      <c r="BY21" s="32" t="str">
        <f ca="1">IF($A21="","",IF(IF(BY$2&lt;=$A$1,1,0),IF(BY$4="休","",IF(COUNTIF(DATA!BZ:BZ,$A:$A)=0,"×","√")),""))</f>
        <v/>
      </c>
      <c r="BZ21" s="32" t="str">
        <f ca="1">IF($A21="","",IF(IF(BZ$2&lt;=$A$1,1,0),IF(BZ$4="休","",IF(COUNTIF(DATA!CA:CA,$A:$A)=0,"×","√")),""))</f>
        <v/>
      </c>
      <c r="CA21" s="32" t="str">
        <f ca="1">IF($A21="","",IF(IF(CA$2&lt;=$A$1,1,0),IF(CA$4="休","",IF(COUNTIF(DATA!CB:CB,$A:$A)=0,"×","√")),""))</f>
        <v/>
      </c>
      <c r="CB21" s="32" t="str">
        <f ca="1">IF($A21="","",IF(IF(CB$2&lt;=$A$1,1,0),IF(CB$4="休","",IF(COUNTIF(DATA!CC:CC,$A:$A)=0,"×","√")),""))</f>
        <v/>
      </c>
      <c r="CC21" s="32" t="str">
        <f ca="1">IF($A21="","",IF(IF(CC$2&lt;=$A$1,1,0),IF(CC$4="休","",IF(COUNTIF(DATA!CD:CD,$A:$A)=0,"×","√")),""))</f>
        <v/>
      </c>
      <c r="CD21" s="32" t="str">
        <f ca="1">IF($A21="","",IF(IF(CD$2&lt;=$A$1,1,0),IF(CD$4="休","",IF(COUNTIF(DATA!CE:CE,$A:$A)=0,"×","√")),""))</f>
        <v/>
      </c>
      <c r="CE21" s="32" t="str">
        <f ca="1">IF($A21="","",IF(IF(CE$2&lt;=$A$1,1,0),IF(CE$4="休","",IF(COUNTIF(DATA!CF:CF,$A:$A)=0,"×","√")),""))</f>
        <v/>
      </c>
      <c r="CF21" s="32" t="str">
        <f ca="1">IF($A21="","",IF(IF(CF$2&lt;=$A$1,1,0),IF(CF$4="休","",IF(COUNTIF(DATA!CG:CG,$A:$A)=0,"×","√")),""))</f>
        <v/>
      </c>
      <c r="CG21" s="32" t="str">
        <f ca="1">IF($A21="","",IF(IF(CG$2&lt;=$A$1,1,0),IF(CG$4="休","",IF(COUNTIF(DATA!CH:CH,$A:$A)=0,"×","√")),""))</f>
        <v/>
      </c>
      <c r="CH21" s="32" t="str">
        <f ca="1">IF($A21="","",IF(IF(CH$2&lt;=$A$1,1,0),IF(CH$4="休","",IF(COUNTIF(DATA!CI:CI,$A:$A)=0,"×","√")),""))</f>
        <v/>
      </c>
      <c r="CI21" s="32" t="str">
        <f ca="1">IF($A21="","",IF(IF(CI$2&lt;=$A$1,1,0),IF(CI$4="休","",IF(COUNTIF(DATA!CJ:CJ,$A:$A)=0,"×","√")),""))</f>
        <v/>
      </c>
      <c r="CJ21" s="32" t="str">
        <f ca="1">IF($A21="","",IF(IF(CJ$2&lt;=$A$1,1,0),IF(CJ$4="休","",IF(COUNTIF(DATA!CK:CK,$A:$A)=0,"×","√")),""))</f>
        <v/>
      </c>
      <c r="CK21" s="32" t="str">
        <f ca="1">IF($A21="","",IF(IF(CK$2&lt;=$A$1,1,0),IF(CK$4="休","",IF(COUNTIF(DATA!CL:CL,$A:$A)=0,"×","√")),""))</f>
        <v/>
      </c>
      <c r="CL21" s="32" t="str">
        <f ca="1">IF($A21="","",IF(IF(CL$2&lt;=$A$1,1,0),IF(CL$4="休","",IF(COUNTIF(DATA!CM:CM,$A:$A)=0,"×","√")),""))</f>
        <v/>
      </c>
      <c r="CM21" s="32" t="str">
        <f ca="1">IF($A21="","",IF(IF(CM$2&lt;=$A$1,1,0),IF(CM$4="休","",IF(COUNTIF(DATA!CN:CN,$A:$A)=0,"×","√")),""))</f>
        <v/>
      </c>
      <c r="CN21" s="32" t="str">
        <f ca="1">IF($A21="","",IF(IF(CN$2&lt;=$A$1,1,0),IF(CN$4="休","",IF(COUNTIF(DATA!CO:CO,$A:$A)=0,"×","√")),""))</f>
        <v/>
      </c>
      <c r="CO21" s="32" t="str">
        <f ca="1">IF($A21="","",IF(IF(CO$2&lt;=$A$1,1,0),IF(CO$4="休","",IF(COUNTIF(DATA!CP:CP,$A:$A)=0,"×","√")),""))</f>
        <v/>
      </c>
      <c r="CP21" s="32" t="str">
        <f ca="1">IF($A21="","",IF(IF(CP$2&lt;=$A$1,1,0),IF(CP$4="休","",IF(COUNTIF(DATA!CQ:CQ,$A:$A)=0,"×","√")),""))</f>
        <v/>
      </c>
      <c r="CQ21" s="32" t="str">
        <f ca="1">IF($A21="","",IF(IF(CQ$2&lt;=$A$1,1,0),IF(CQ$4="休","",IF(COUNTIF(DATA!CR:CR,$A:$A)=0,"×","√")),""))</f>
        <v/>
      </c>
      <c r="CR21" s="32" t="str">
        <f ca="1">IF($A21="","",IF(IF(CR$2&lt;=$A$1,1,0),IF(CR$4="休","",IF(COUNTIF(DATA!CS:CS,$A:$A)=0,"×","√")),""))</f>
        <v/>
      </c>
    </row>
    <row r="22" s="26" customFormat="1" ht="18.75" spans="1:96">
      <c r="A22" s="32" t="str">
        <f>DATA!$A21&amp;""</f>
        <v>周浩</v>
      </c>
      <c r="B22" s="32" t="str">
        <f ca="1">IF($A22="","",IF(IF(B$2&lt;=$A$1,1,0),IF(B$4="休","",IF(COUNTIF(DATA!C:C,$A:$A)=0,"×","√")),""))</f>
        <v>√</v>
      </c>
      <c r="C22" s="32" t="str">
        <f ca="1">IF($A22="","",IF(IF(C$2&lt;=$A$1,1,0),IF(C$4="休","",IF(COUNTIF(DATA!D:D,$A:$A)=0,"×","√")),""))</f>
        <v>√</v>
      </c>
      <c r="D22" s="32" t="str">
        <f ca="1">IF($A22="","",IF(IF(D$2&lt;=$A$1,1,0),IF(D$4="休","",IF(COUNTIF(DATA!E:E,$A:$A)=0,"×","√")),""))</f>
        <v>√</v>
      </c>
      <c r="E22" s="32" t="str">
        <f ca="1">IF($A22="","",IF(IF(E$2&lt;=$A$1,1,0),IF(E$4="休","",IF(COUNTIF(DATA!F:F,$A:$A)=0,"×","√")),""))</f>
        <v>√</v>
      </c>
      <c r="F22" s="32" t="str">
        <f ca="1">IF($A22="","",IF(IF(F$2&lt;=$A$1,1,0),IF(F$4="休","",IF(COUNTIF(DATA!G:G,$A:$A)=0,"×","√")),""))</f>
        <v>√</v>
      </c>
      <c r="G22" s="32" t="str">
        <f ca="1">IF($A22="","",IF(IF(G$2&lt;=$A$1,1,0),IF(G$4="休","",IF(COUNTIF(DATA!H:H,$A:$A)=0,"×","√")),""))</f>
        <v>√</v>
      </c>
      <c r="H22" s="32" t="str">
        <f ca="1">IF($A22="","",IF(IF(H$2&lt;=$A$1,1,0),IF(H$4="休","",IF(COUNTIF(DATA!I:I,$A:$A)=0,"×","√")),""))</f>
        <v>√</v>
      </c>
      <c r="I22" s="32" t="str">
        <f ca="1">IF($A22="","",IF(IF(I$2&lt;=$A$1,1,0),IF(I$4="休","",IF(COUNTIF(DATA!J:J,$A:$A)=0,"×","√")),""))</f>
        <v>√</v>
      </c>
      <c r="J22" s="32" t="str">
        <f ca="1">IF($A22="","",IF(IF(J$2&lt;=$A$1,1,0),IF(J$4="休","",IF(COUNTIF(DATA!K:K,$A:$A)=0,"×","√")),""))</f>
        <v/>
      </c>
      <c r="K22" s="32" t="str">
        <f ca="1">IF($A22="","",IF(IF(K$2&lt;=$A$1,1,0),IF(K$4="休","",IF(COUNTIF(DATA!L:L,$A:$A)=0,"×","√")),""))</f>
        <v/>
      </c>
      <c r="L22" s="32" t="str">
        <f ca="1">IF($A22="","",IF(IF(L$2&lt;=$A$1,1,0),IF(L$4="休","",IF(COUNTIF(DATA!M:M,$A:$A)=0,"×","√")),""))</f>
        <v/>
      </c>
      <c r="M22" s="32" t="str">
        <f ca="1">IF($A22="","",IF(IF(M$2&lt;=$A$1,1,0),IF(M$4="休","",IF(COUNTIF(DATA!N:N,$A:$A)=0,"×","√")),""))</f>
        <v/>
      </c>
      <c r="N22" s="32" t="str">
        <f ca="1">IF($A22="","",IF(IF(N$2&lt;=$A$1,1,0),IF(N$4="休","",IF(COUNTIF(DATA!O:O,$A:$A)=0,"×","√")),""))</f>
        <v/>
      </c>
      <c r="O22" s="32" t="str">
        <f ca="1">IF($A22="","",IF(IF(O$2&lt;=$A$1,1,0),IF(O$4="休","",IF(COUNTIF(DATA!P:P,$A:$A)=0,"×","√")),""))</f>
        <v/>
      </c>
      <c r="P22" s="32" t="str">
        <f ca="1">IF($A22="","",IF(IF(P$2&lt;=$A$1,1,0),IF(P$4="休","",IF(COUNTIF(DATA!Q:Q,$A:$A)=0,"×","√")),""))</f>
        <v/>
      </c>
      <c r="Q22" s="32" t="str">
        <f ca="1">IF($A22="","",IF(IF(Q$2&lt;=$A$1,1,0),IF(Q$4="休","",IF(COUNTIF(DATA!R:R,$A:$A)=0,"×","√")),""))</f>
        <v/>
      </c>
      <c r="R22" s="32" t="str">
        <f ca="1">IF($A22="","",IF(IF(R$2&lt;=$A$1,1,0),IF(R$4="休","",IF(COUNTIF(DATA!S:S,$A:$A)=0,"×","√")),""))</f>
        <v/>
      </c>
      <c r="S22" s="32" t="str">
        <f ca="1">IF($A22="","",IF(IF(S$2&lt;=$A$1,1,0),IF(S$4="休","",IF(COUNTIF(DATA!T:T,$A:$A)=0,"×","√")),""))</f>
        <v/>
      </c>
      <c r="T22" s="32" t="str">
        <f ca="1">IF($A22="","",IF(IF(T$2&lt;=$A$1,1,0),IF(T$4="休","",IF(COUNTIF(DATA!U:U,$A:$A)=0,"×","√")),""))</f>
        <v/>
      </c>
      <c r="U22" s="32" t="str">
        <f ca="1">IF($A22="","",IF(IF(U$2&lt;=$A$1,1,0),IF(U$4="休","",IF(COUNTIF(DATA!V:V,$A:$A)=0,"×","√")),""))</f>
        <v/>
      </c>
      <c r="V22" s="32" t="str">
        <f ca="1">IF($A22="","",IF(IF(V$2&lt;=$A$1,1,0),IF(V$4="休","",IF(COUNTIF(DATA!W:W,$A:$A)=0,"×","√")),""))</f>
        <v/>
      </c>
      <c r="W22" s="32" t="str">
        <f ca="1">IF($A22="","",IF(IF(W$2&lt;=$A$1,1,0),IF(W$4="休","",IF(COUNTIF(DATA!X:X,$A:$A)=0,"×","√")),""))</f>
        <v/>
      </c>
      <c r="X22" s="32" t="str">
        <f ca="1">IF($A22="","",IF(IF(X$2&lt;=$A$1,1,0),IF(X$4="休","",IF(COUNTIF(DATA!Y:Y,$A:$A)=0,"×","√")),""))</f>
        <v/>
      </c>
      <c r="Y22" s="32" t="str">
        <f ca="1">IF($A22="","",IF(IF(Y$2&lt;=$A$1,1,0),IF(Y$4="休","",IF(COUNTIF(DATA!Z:Z,$A:$A)=0,"×","√")),""))</f>
        <v/>
      </c>
      <c r="Z22" s="32" t="str">
        <f ca="1">IF($A22="","",IF(IF(Z$2&lt;=$A$1,1,0),IF(Z$4="休","",IF(COUNTIF(DATA!AA:AA,$A:$A)=0,"×","√")),""))</f>
        <v/>
      </c>
      <c r="AA22" s="32" t="str">
        <f ca="1">IF($A22="","",IF(IF(AA$2&lt;=$A$1,1,0),IF(AA$4="休","",IF(COUNTIF(DATA!AB:AB,$A:$A)=0,"×","√")),""))</f>
        <v/>
      </c>
      <c r="AB22" s="32" t="str">
        <f ca="1">IF($A22="","",IF(IF(AB$2&lt;=$A$1,1,0),IF(AB$4="休","",IF(COUNTIF(DATA!AC:AC,$A:$A)=0,"×","√")),""))</f>
        <v/>
      </c>
      <c r="AC22" s="32" t="str">
        <f ca="1">IF($A22="","",IF(IF(AC$2&lt;=$A$1,1,0),IF(AC$4="休","",IF(COUNTIF(DATA!AD:AD,$A:$A)=0,"×","√")),""))</f>
        <v/>
      </c>
      <c r="AD22" s="32" t="str">
        <f ca="1">IF($A22="","",IF(IF(AD$2&lt;=$A$1,1,0),IF(AD$4="休","",IF(COUNTIF(DATA!AE:AE,$A:$A)=0,"×","√")),""))</f>
        <v/>
      </c>
      <c r="AE22" s="32" t="str">
        <f ca="1">IF($A22="","",IF(IF(AE$2&lt;=$A$1,1,0),IF(AE$4="休","",IF(COUNTIF(DATA!AF:AF,$A:$A)=0,"×","√")),""))</f>
        <v/>
      </c>
      <c r="AF22" s="32" t="str">
        <f ca="1">IF($A22="","",IF(IF(AF$2&lt;=$A$1,1,0),IF(AF$4="休","",IF(COUNTIF(DATA!AG:AG,$A:$A)=0,"×","√")),""))</f>
        <v/>
      </c>
      <c r="AG22" s="32" t="str">
        <f ca="1">IF($A22="","",IF(IF(AG$2&lt;=$A$1,1,0),IF(AG$4="休","",IF(COUNTIF(DATA!AH:AH,$A:$A)=0,"×","√")),""))</f>
        <v/>
      </c>
      <c r="AH22" s="32" t="str">
        <f ca="1">IF($A22="","",IF(IF(AH$2&lt;=$A$1,1,0),IF(AH$4="休","",IF(COUNTIF(DATA!AI:AI,$A:$A)=0,"×","√")),""))</f>
        <v/>
      </c>
      <c r="AI22" s="32" t="str">
        <f ca="1">IF($A22="","",IF(IF(AI$2&lt;=$A$1,1,0),IF(AI$4="休","",IF(COUNTIF(DATA!AJ:AJ,$A:$A)=0,"×","√")),""))</f>
        <v/>
      </c>
      <c r="AJ22" s="32" t="str">
        <f ca="1">IF($A22="","",IF(IF(AJ$2&lt;=$A$1,1,0),IF(AJ$4="休","",IF(COUNTIF(DATA!AK:AK,$A:$A)=0,"×","√")),""))</f>
        <v/>
      </c>
      <c r="AK22" s="32" t="str">
        <f ca="1">IF($A22="","",IF(IF(AK$2&lt;=$A$1,1,0),IF(AK$4="休","",IF(COUNTIF(DATA!AL:AL,$A:$A)=0,"×","√")),""))</f>
        <v/>
      </c>
      <c r="AL22" s="32" t="str">
        <f ca="1">IF($A22="","",IF(IF(AL$2&lt;=$A$1,1,0),IF(AL$4="休","",IF(COUNTIF(DATA!AM:AM,$A:$A)=0,"×","√")),""))</f>
        <v/>
      </c>
      <c r="AM22" s="32" t="str">
        <f ca="1">IF($A22="","",IF(IF(AM$2&lt;=$A$1,1,0),IF(AM$4="休","",IF(COUNTIF(DATA!AN:AN,$A:$A)=0,"×","√")),""))</f>
        <v/>
      </c>
      <c r="AN22" s="32" t="str">
        <f ca="1">IF($A22="","",IF(IF(AN$2&lt;=$A$1,1,0),IF(AN$4="休","",IF(COUNTIF(DATA!AO:AO,$A:$A)=0,"×","√")),""))</f>
        <v/>
      </c>
      <c r="AO22" s="32" t="str">
        <f ca="1">IF($A22="","",IF(IF(AO$2&lt;=$A$1,1,0),IF(AO$4="休","",IF(COUNTIF(DATA!AP:AP,$A:$A)=0,"×","√")),""))</f>
        <v/>
      </c>
      <c r="AP22" s="32" t="str">
        <f ca="1">IF($A22="","",IF(IF(AP$2&lt;=$A$1,1,0),IF(AP$4="休","",IF(COUNTIF(DATA!AQ:AQ,$A:$A)=0,"×","√")),""))</f>
        <v/>
      </c>
      <c r="AQ22" s="32" t="str">
        <f ca="1">IF($A22="","",IF(IF(AQ$2&lt;=$A$1,1,0),IF(AQ$4="休","",IF(COUNTIF(DATA!AR:AR,$A:$A)=0,"×","√")),""))</f>
        <v/>
      </c>
      <c r="AR22" s="32" t="str">
        <f ca="1">IF($A22="","",IF(IF(AR$2&lt;=$A$1,1,0),IF(AR$4="休","",IF(COUNTIF(DATA!AS:AS,$A:$A)=0,"×","√")),""))</f>
        <v/>
      </c>
      <c r="AS22" s="32" t="str">
        <f ca="1">IF($A22="","",IF(IF(AS$2&lt;=$A$1,1,0),IF(AS$4="休","",IF(COUNTIF(DATA!AT:AT,$A:$A)=0,"×","√")),""))</f>
        <v/>
      </c>
      <c r="AT22" s="32" t="str">
        <f ca="1">IF($A22="","",IF(IF(AT$2&lt;=$A$1,1,0),IF(AT$4="休","",IF(COUNTIF(DATA!AU:AU,$A:$A)=0,"×","√")),""))</f>
        <v/>
      </c>
      <c r="AU22" s="32" t="str">
        <f ca="1">IF($A22="","",IF(IF(AU$2&lt;=$A$1,1,0),IF(AU$4="休","",IF(COUNTIF(DATA!AV:AV,$A:$A)=0,"×","√")),""))</f>
        <v/>
      </c>
      <c r="AV22" s="32" t="str">
        <f ca="1">IF($A22="","",IF(IF(AV$2&lt;=$A$1,1,0),IF(AV$4="休","",IF(COUNTIF(DATA!AW:AW,$A:$A)=0,"×","√")),""))</f>
        <v/>
      </c>
      <c r="AW22" s="32" t="str">
        <f ca="1">IF($A22="","",IF(IF(AW$2&lt;=$A$1,1,0),IF(AW$4="休","",IF(COUNTIF(DATA!AX:AX,$A:$A)=0,"×","√")),""))</f>
        <v/>
      </c>
      <c r="AX22" s="32" t="str">
        <f ca="1">IF($A22="","",IF(IF(AX$2&lt;=$A$1,1,0),IF(AX$4="休","",IF(COUNTIF(DATA!AY:AY,$A:$A)=0,"×","√")),""))</f>
        <v/>
      </c>
      <c r="AY22" s="32" t="str">
        <f ca="1">IF($A22="","",IF(IF(AY$2&lt;=$A$1,1,0),IF(AY$4="休","",IF(COUNTIF(DATA!AZ:AZ,$A:$A)=0,"×","√")),""))</f>
        <v/>
      </c>
      <c r="AZ22" s="32" t="str">
        <f ca="1">IF($A22="","",IF(IF(AZ$2&lt;=$A$1,1,0),IF(AZ$4="休","",IF(COUNTIF(DATA!BA:BA,$A:$A)=0,"×","√")),""))</f>
        <v/>
      </c>
      <c r="BA22" s="32" t="str">
        <f ca="1">IF($A22="","",IF(IF(BA$2&lt;=$A$1,1,0),IF(BA$4="休","",IF(COUNTIF(DATA!BB:BB,$A:$A)=0,"×","√")),""))</f>
        <v/>
      </c>
      <c r="BB22" s="32" t="str">
        <f ca="1">IF($A22="","",IF(IF(BB$2&lt;=$A$1,1,0),IF(BB$4="休","",IF(COUNTIF(DATA!BC:BC,$A:$A)=0,"×","√")),""))</f>
        <v/>
      </c>
      <c r="BC22" s="32" t="str">
        <f ca="1">IF($A22="","",IF(IF(BC$2&lt;=$A$1,1,0),IF(BC$4="休","",IF(COUNTIF(DATA!BD:BD,$A:$A)=0,"×","√")),""))</f>
        <v/>
      </c>
      <c r="BD22" s="32" t="str">
        <f ca="1">IF($A22="","",IF(IF(BD$2&lt;=$A$1,1,0),IF(BD$4="休","",IF(COUNTIF(DATA!BE:BE,$A:$A)=0,"×","√")),""))</f>
        <v/>
      </c>
      <c r="BE22" s="32" t="str">
        <f ca="1">IF($A22="","",IF(IF(BE$2&lt;=$A$1,1,0),IF(BE$4="休","",IF(COUNTIF(DATA!BF:BF,$A:$A)=0,"×","√")),""))</f>
        <v/>
      </c>
      <c r="BF22" s="32" t="str">
        <f ca="1">IF($A22="","",IF(IF(BF$2&lt;=$A$1,1,0),IF(BF$4="休","",IF(COUNTIF(DATA!BG:BG,$A:$A)=0,"×","√")),""))</f>
        <v/>
      </c>
      <c r="BG22" s="32" t="str">
        <f ca="1">IF($A22="","",IF(IF(BG$2&lt;=$A$1,1,0),IF(BG$4="休","",IF(COUNTIF(DATA!BH:BH,$A:$A)=0,"×","√")),""))</f>
        <v/>
      </c>
      <c r="BH22" s="32" t="str">
        <f ca="1">IF($A22="","",IF(IF(BH$2&lt;=$A$1,1,0),IF(BH$4="休","",IF(COUNTIF(DATA!BI:BI,$A:$A)=0,"×","√")),""))</f>
        <v/>
      </c>
      <c r="BI22" s="32" t="str">
        <f ca="1">IF($A22="","",IF(IF(BI$2&lt;=$A$1,1,0),IF(BI$4="休","",IF(COUNTIF(DATA!BJ:BJ,$A:$A)=0,"×","√")),""))</f>
        <v/>
      </c>
      <c r="BJ22" s="32" t="str">
        <f ca="1">IF($A22="","",IF(IF(BJ$2&lt;=$A$1,1,0),IF(BJ$4="休","",IF(COUNTIF(DATA!BK:BK,$A:$A)=0,"×","√")),""))</f>
        <v/>
      </c>
      <c r="BK22" s="32" t="str">
        <f ca="1">IF($A22="","",IF(IF(BK$2&lt;=$A$1,1,0),IF(BK$4="休","",IF(COUNTIF(DATA!BL:BL,$A:$A)=0,"×","√")),""))</f>
        <v/>
      </c>
      <c r="BL22" s="32" t="str">
        <f ca="1">IF($A22="","",IF(IF(BL$2&lt;=$A$1,1,0),IF(BL$4="休","",IF(COUNTIF(DATA!BM:BM,$A:$A)=0,"×","√")),""))</f>
        <v/>
      </c>
      <c r="BM22" s="32" t="str">
        <f ca="1">IF($A22="","",IF(IF(BM$2&lt;=$A$1,1,0),IF(BM$4="休","",IF(COUNTIF(DATA!BN:BN,$A:$A)=0,"×","√")),""))</f>
        <v/>
      </c>
      <c r="BN22" s="32" t="str">
        <f ca="1">IF($A22="","",IF(IF(BN$2&lt;=$A$1,1,0),IF(BN$4="休","",IF(COUNTIF(DATA!BO:BO,$A:$A)=0,"×","√")),""))</f>
        <v/>
      </c>
      <c r="BO22" s="32" t="str">
        <f ca="1">IF($A22="","",IF(IF(BO$2&lt;=$A$1,1,0),IF(BO$4="休","",IF(COUNTIF(DATA!BP:BP,$A:$A)=0,"×","√")),""))</f>
        <v/>
      </c>
      <c r="BP22" s="32" t="str">
        <f ca="1">IF($A22="","",IF(IF(BP$2&lt;=$A$1,1,0),IF(BP$4="休","",IF(COUNTIF(DATA!BQ:BQ,$A:$A)=0,"×","√")),""))</f>
        <v/>
      </c>
      <c r="BQ22" s="32" t="str">
        <f ca="1">IF($A22="","",IF(IF(BQ$2&lt;=$A$1,1,0),IF(BQ$4="休","",IF(COUNTIF(DATA!BR:BR,$A:$A)=0,"×","√")),""))</f>
        <v/>
      </c>
      <c r="BR22" s="32" t="str">
        <f ca="1">IF($A22="","",IF(IF(BR$2&lt;=$A$1,1,0),IF(BR$4="休","",IF(COUNTIF(DATA!BS:BS,$A:$A)=0,"×","√")),""))</f>
        <v/>
      </c>
      <c r="BS22" s="32" t="str">
        <f ca="1">IF($A22="","",IF(IF(BS$2&lt;=$A$1,1,0),IF(BS$4="休","",IF(COUNTIF(DATA!BT:BT,$A:$A)=0,"×","√")),""))</f>
        <v/>
      </c>
      <c r="BT22" s="32" t="str">
        <f ca="1">IF($A22="","",IF(IF(BT$2&lt;=$A$1,1,0),IF(BT$4="休","",IF(COUNTIF(DATA!BU:BU,$A:$A)=0,"×","√")),""))</f>
        <v/>
      </c>
      <c r="BU22" s="32" t="str">
        <f ca="1">IF($A22="","",IF(IF(BU$2&lt;=$A$1,1,0),IF(BU$4="休","",IF(COUNTIF(DATA!BV:BV,$A:$A)=0,"×","√")),""))</f>
        <v/>
      </c>
      <c r="BV22" s="32" t="str">
        <f ca="1">IF($A22="","",IF(IF(BV$2&lt;=$A$1,1,0),IF(BV$4="休","",IF(COUNTIF(DATA!BW:BW,$A:$A)=0,"×","√")),""))</f>
        <v/>
      </c>
      <c r="BW22" s="32" t="str">
        <f ca="1">IF($A22="","",IF(IF(BW$2&lt;=$A$1,1,0),IF(BW$4="休","",IF(COUNTIF(DATA!BX:BX,$A:$A)=0,"×","√")),""))</f>
        <v/>
      </c>
      <c r="BX22" s="32" t="str">
        <f ca="1">IF($A22="","",IF(IF(BX$2&lt;=$A$1,1,0),IF(BX$4="休","",IF(COUNTIF(DATA!BY:BY,$A:$A)=0,"×","√")),""))</f>
        <v/>
      </c>
      <c r="BY22" s="32" t="str">
        <f ca="1">IF($A22="","",IF(IF(BY$2&lt;=$A$1,1,0),IF(BY$4="休","",IF(COUNTIF(DATA!BZ:BZ,$A:$A)=0,"×","√")),""))</f>
        <v/>
      </c>
      <c r="BZ22" s="32" t="str">
        <f ca="1">IF($A22="","",IF(IF(BZ$2&lt;=$A$1,1,0),IF(BZ$4="休","",IF(COUNTIF(DATA!CA:CA,$A:$A)=0,"×","√")),""))</f>
        <v/>
      </c>
      <c r="CA22" s="32" t="str">
        <f ca="1">IF($A22="","",IF(IF(CA$2&lt;=$A$1,1,0),IF(CA$4="休","",IF(COUNTIF(DATA!CB:CB,$A:$A)=0,"×","√")),""))</f>
        <v/>
      </c>
      <c r="CB22" s="32" t="str">
        <f ca="1">IF($A22="","",IF(IF(CB$2&lt;=$A$1,1,0),IF(CB$4="休","",IF(COUNTIF(DATA!CC:CC,$A:$A)=0,"×","√")),""))</f>
        <v/>
      </c>
      <c r="CC22" s="32" t="str">
        <f ca="1">IF($A22="","",IF(IF(CC$2&lt;=$A$1,1,0),IF(CC$4="休","",IF(COUNTIF(DATA!CD:CD,$A:$A)=0,"×","√")),""))</f>
        <v/>
      </c>
      <c r="CD22" s="32" t="str">
        <f ca="1">IF($A22="","",IF(IF(CD$2&lt;=$A$1,1,0),IF(CD$4="休","",IF(COUNTIF(DATA!CE:CE,$A:$A)=0,"×","√")),""))</f>
        <v/>
      </c>
      <c r="CE22" s="32" t="str">
        <f ca="1">IF($A22="","",IF(IF(CE$2&lt;=$A$1,1,0),IF(CE$4="休","",IF(COUNTIF(DATA!CF:CF,$A:$A)=0,"×","√")),""))</f>
        <v/>
      </c>
      <c r="CF22" s="32" t="str">
        <f ca="1">IF($A22="","",IF(IF(CF$2&lt;=$A$1,1,0),IF(CF$4="休","",IF(COUNTIF(DATA!CG:CG,$A:$A)=0,"×","√")),""))</f>
        <v/>
      </c>
      <c r="CG22" s="32" t="str">
        <f ca="1">IF($A22="","",IF(IF(CG$2&lt;=$A$1,1,0),IF(CG$4="休","",IF(COUNTIF(DATA!CH:CH,$A:$A)=0,"×","√")),""))</f>
        <v/>
      </c>
      <c r="CH22" s="32" t="str">
        <f ca="1">IF($A22="","",IF(IF(CH$2&lt;=$A$1,1,0),IF(CH$4="休","",IF(COUNTIF(DATA!CI:CI,$A:$A)=0,"×","√")),""))</f>
        <v/>
      </c>
      <c r="CI22" s="32" t="str">
        <f ca="1">IF($A22="","",IF(IF(CI$2&lt;=$A$1,1,0),IF(CI$4="休","",IF(COUNTIF(DATA!CJ:CJ,$A:$A)=0,"×","√")),""))</f>
        <v/>
      </c>
      <c r="CJ22" s="32" t="str">
        <f ca="1">IF($A22="","",IF(IF(CJ$2&lt;=$A$1,1,0),IF(CJ$4="休","",IF(COUNTIF(DATA!CK:CK,$A:$A)=0,"×","√")),""))</f>
        <v/>
      </c>
      <c r="CK22" s="32" t="str">
        <f ca="1">IF($A22="","",IF(IF(CK$2&lt;=$A$1,1,0),IF(CK$4="休","",IF(COUNTIF(DATA!CL:CL,$A:$A)=0,"×","√")),""))</f>
        <v/>
      </c>
      <c r="CL22" s="32" t="str">
        <f ca="1">IF($A22="","",IF(IF(CL$2&lt;=$A$1,1,0),IF(CL$4="休","",IF(COUNTIF(DATA!CM:CM,$A:$A)=0,"×","√")),""))</f>
        <v/>
      </c>
      <c r="CM22" s="32" t="str">
        <f ca="1">IF($A22="","",IF(IF(CM$2&lt;=$A$1,1,0),IF(CM$4="休","",IF(COUNTIF(DATA!CN:CN,$A:$A)=0,"×","√")),""))</f>
        <v/>
      </c>
      <c r="CN22" s="32" t="str">
        <f ca="1">IF($A22="","",IF(IF(CN$2&lt;=$A$1,1,0),IF(CN$4="休","",IF(COUNTIF(DATA!CO:CO,$A:$A)=0,"×","√")),""))</f>
        <v/>
      </c>
      <c r="CO22" s="32" t="str">
        <f ca="1">IF($A22="","",IF(IF(CO$2&lt;=$A$1,1,0),IF(CO$4="休","",IF(COUNTIF(DATA!CP:CP,$A:$A)=0,"×","√")),""))</f>
        <v/>
      </c>
      <c r="CP22" s="32" t="str">
        <f ca="1">IF($A22="","",IF(IF(CP$2&lt;=$A$1,1,0),IF(CP$4="休","",IF(COUNTIF(DATA!CQ:CQ,$A:$A)=0,"×","√")),""))</f>
        <v/>
      </c>
      <c r="CQ22" s="32" t="str">
        <f ca="1">IF($A22="","",IF(IF(CQ$2&lt;=$A$1,1,0),IF(CQ$4="休","",IF(COUNTIF(DATA!CR:CR,$A:$A)=0,"×","√")),""))</f>
        <v/>
      </c>
      <c r="CR22" s="32" t="str">
        <f ca="1">IF($A22="","",IF(IF(CR$2&lt;=$A$1,1,0),IF(CR$4="休","",IF(COUNTIF(DATA!CS:CS,$A:$A)=0,"×","√")),""))</f>
        <v/>
      </c>
    </row>
    <row r="23" s="26" customFormat="1" ht="18.75" spans="1:96">
      <c r="A23" s="32" t="str">
        <f>DATA!$A22&amp;""</f>
        <v>费伟</v>
      </c>
      <c r="B23" s="32" t="str">
        <f ca="1">IF($A23="","",IF(IF(B$2&lt;=$A$1,1,0),IF(B$4="休","",IF(COUNTIF(DATA!C:C,$A:$A)=0,"×","√")),""))</f>
        <v>√</v>
      </c>
      <c r="C23" s="32" t="str">
        <f ca="1">IF($A23="","",IF(IF(C$2&lt;=$A$1,1,0),IF(C$4="休","",IF(COUNTIF(DATA!D:D,$A:$A)=0,"×","√")),""))</f>
        <v>√</v>
      </c>
      <c r="D23" s="32" t="str">
        <f ca="1">IF($A23="","",IF(IF(D$2&lt;=$A$1,1,0),IF(D$4="休","",IF(COUNTIF(DATA!E:E,$A:$A)=0,"×","√")),""))</f>
        <v>√</v>
      </c>
      <c r="E23" s="32" t="str">
        <f ca="1">IF($A23="","",IF(IF(E$2&lt;=$A$1,1,0),IF(E$4="休","",IF(COUNTIF(DATA!F:F,$A:$A)=0,"×","√")),""))</f>
        <v>√</v>
      </c>
      <c r="F23" s="32" t="str">
        <f ca="1">IF($A23="","",IF(IF(F$2&lt;=$A$1,1,0),IF(F$4="休","",IF(COUNTIF(DATA!G:G,$A:$A)=0,"×","√")),""))</f>
        <v>√</v>
      </c>
      <c r="G23" s="32" t="str">
        <f ca="1">IF($A23="","",IF(IF(G$2&lt;=$A$1,1,0),IF(G$4="休","",IF(COUNTIF(DATA!H:H,$A:$A)=0,"×","√")),""))</f>
        <v>√</v>
      </c>
      <c r="H23" s="32" t="str">
        <f ca="1">IF($A23="","",IF(IF(H$2&lt;=$A$1,1,0),IF(H$4="休","",IF(COUNTIF(DATA!I:I,$A:$A)=0,"×","√")),""))</f>
        <v>√</v>
      </c>
      <c r="I23" s="32" t="str">
        <f ca="1">IF($A23="","",IF(IF(I$2&lt;=$A$1,1,0),IF(I$4="休","",IF(COUNTIF(DATA!J:J,$A:$A)=0,"×","√")),""))</f>
        <v>√</v>
      </c>
      <c r="J23" s="32" t="str">
        <f ca="1">IF($A23="","",IF(IF(J$2&lt;=$A$1,1,0),IF(J$4="休","",IF(COUNTIF(DATA!K:K,$A:$A)=0,"×","√")),""))</f>
        <v/>
      </c>
      <c r="K23" s="32" t="str">
        <f ca="1">IF($A23="","",IF(IF(K$2&lt;=$A$1,1,0),IF(K$4="休","",IF(COUNTIF(DATA!L:L,$A:$A)=0,"×","√")),""))</f>
        <v/>
      </c>
      <c r="L23" s="32" t="str">
        <f ca="1">IF($A23="","",IF(IF(L$2&lt;=$A$1,1,0),IF(L$4="休","",IF(COUNTIF(DATA!M:M,$A:$A)=0,"×","√")),""))</f>
        <v/>
      </c>
      <c r="M23" s="32" t="str">
        <f ca="1">IF($A23="","",IF(IF(M$2&lt;=$A$1,1,0),IF(M$4="休","",IF(COUNTIF(DATA!N:N,$A:$A)=0,"×","√")),""))</f>
        <v/>
      </c>
      <c r="N23" s="32" t="str">
        <f ca="1">IF($A23="","",IF(IF(N$2&lt;=$A$1,1,0),IF(N$4="休","",IF(COUNTIF(DATA!O:O,$A:$A)=0,"×","√")),""))</f>
        <v/>
      </c>
      <c r="O23" s="32" t="str">
        <f ca="1">IF($A23="","",IF(IF(O$2&lt;=$A$1,1,0),IF(O$4="休","",IF(COUNTIF(DATA!P:P,$A:$A)=0,"×","√")),""))</f>
        <v/>
      </c>
      <c r="P23" s="32" t="str">
        <f ca="1">IF($A23="","",IF(IF(P$2&lt;=$A$1,1,0),IF(P$4="休","",IF(COUNTIF(DATA!Q:Q,$A:$A)=0,"×","√")),""))</f>
        <v/>
      </c>
      <c r="Q23" s="32" t="str">
        <f ca="1">IF($A23="","",IF(IF(Q$2&lt;=$A$1,1,0),IF(Q$4="休","",IF(COUNTIF(DATA!R:R,$A:$A)=0,"×","√")),""))</f>
        <v/>
      </c>
      <c r="R23" s="32" t="str">
        <f ca="1">IF($A23="","",IF(IF(R$2&lt;=$A$1,1,0),IF(R$4="休","",IF(COUNTIF(DATA!S:S,$A:$A)=0,"×","√")),""))</f>
        <v/>
      </c>
      <c r="S23" s="32" t="str">
        <f ca="1">IF($A23="","",IF(IF(S$2&lt;=$A$1,1,0),IF(S$4="休","",IF(COUNTIF(DATA!T:T,$A:$A)=0,"×","√")),""))</f>
        <v/>
      </c>
      <c r="T23" s="32" t="str">
        <f ca="1">IF($A23="","",IF(IF(T$2&lt;=$A$1,1,0),IF(T$4="休","",IF(COUNTIF(DATA!U:U,$A:$A)=0,"×","√")),""))</f>
        <v/>
      </c>
      <c r="U23" s="32" t="str">
        <f ca="1">IF($A23="","",IF(IF(U$2&lt;=$A$1,1,0),IF(U$4="休","",IF(COUNTIF(DATA!V:V,$A:$A)=0,"×","√")),""))</f>
        <v/>
      </c>
      <c r="V23" s="32" t="str">
        <f ca="1">IF($A23="","",IF(IF(V$2&lt;=$A$1,1,0),IF(V$4="休","",IF(COUNTIF(DATA!W:W,$A:$A)=0,"×","√")),""))</f>
        <v/>
      </c>
      <c r="W23" s="32" t="str">
        <f ca="1">IF($A23="","",IF(IF(W$2&lt;=$A$1,1,0),IF(W$4="休","",IF(COUNTIF(DATA!X:X,$A:$A)=0,"×","√")),""))</f>
        <v/>
      </c>
      <c r="X23" s="32" t="str">
        <f ca="1">IF($A23="","",IF(IF(X$2&lt;=$A$1,1,0),IF(X$4="休","",IF(COUNTIF(DATA!Y:Y,$A:$A)=0,"×","√")),""))</f>
        <v/>
      </c>
      <c r="Y23" s="32" t="str">
        <f ca="1">IF($A23="","",IF(IF(Y$2&lt;=$A$1,1,0),IF(Y$4="休","",IF(COUNTIF(DATA!Z:Z,$A:$A)=0,"×","√")),""))</f>
        <v/>
      </c>
      <c r="Z23" s="32" t="str">
        <f ca="1">IF($A23="","",IF(IF(Z$2&lt;=$A$1,1,0),IF(Z$4="休","",IF(COUNTIF(DATA!AA:AA,$A:$A)=0,"×","√")),""))</f>
        <v/>
      </c>
      <c r="AA23" s="32" t="str">
        <f ca="1">IF($A23="","",IF(IF(AA$2&lt;=$A$1,1,0),IF(AA$4="休","",IF(COUNTIF(DATA!AB:AB,$A:$A)=0,"×","√")),""))</f>
        <v/>
      </c>
      <c r="AB23" s="32" t="str">
        <f ca="1">IF($A23="","",IF(IF(AB$2&lt;=$A$1,1,0),IF(AB$4="休","",IF(COUNTIF(DATA!AC:AC,$A:$A)=0,"×","√")),""))</f>
        <v/>
      </c>
      <c r="AC23" s="32" t="str">
        <f ca="1">IF($A23="","",IF(IF(AC$2&lt;=$A$1,1,0),IF(AC$4="休","",IF(COUNTIF(DATA!AD:AD,$A:$A)=0,"×","√")),""))</f>
        <v/>
      </c>
      <c r="AD23" s="32" t="str">
        <f ca="1">IF($A23="","",IF(IF(AD$2&lt;=$A$1,1,0),IF(AD$4="休","",IF(COUNTIF(DATA!AE:AE,$A:$A)=0,"×","√")),""))</f>
        <v/>
      </c>
      <c r="AE23" s="32" t="str">
        <f ca="1">IF($A23="","",IF(IF(AE$2&lt;=$A$1,1,0),IF(AE$4="休","",IF(COUNTIF(DATA!AF:AF,$A:$A)=0,"×","√")),""))</f>
        <v/>
      </c>
      <c r="AF23" s="32" t="str">
        <f ca="1">IF($A23="","",IF(IF(AF$2&lt;=$A$1,1,0),IF(AF$4="休","",IF(COUNTIF(DATA!AG:AG,$A:$A)=0,"×","√")),""))</f>
        <v/>
      </c>
      <c r="AG23" s="32" t="str">
        <f ca="1">IF($A23="","",IF(IF(AG$2&lt;=$A$1,1,0),IF(AG$4="休","",IF(COUNTIF(DATA!AH:AH,$A:$A)=0,"×","√")),""))</f>
        <v/>
      </c>
      <c r="AH23" s="32" t="str">
        <f ca="1">IF($A23="","",IF(IF(AH$2&lt;=$A$1,1,0),IF(AH$4="休","",IF(COUNTIF(DATA!AI:AI,$A:$A)=0,"×","√")),""))</f>
        <v/>
      </c>
      <c r="AI23" s="32" t="str">
        <f ca="1">IF($A23="","",IF(IF(AI$2&lt;=$A$1,1,0),IF(AI$4="休","",IF(COUNTIF(DATA!AJ:AJ,$A:$A)=0,"×","√")),""))</f>
        <v/>
      </c>
      <c r="AJ23" s="32" t="str">
        <f ca="1">IF($A23="","",IF(IF(AJ$2&lt;=$A$1,1,0),IF(AJ$4="休","",IF(COUNTIF(DATA!AK:AK,$A:$A)=0,"×","√")),""))</f>
        <v/>
      </c>
      <c r="AK23" s="32" t="str">
        <f ca="1">IF($A23="","",IF(IF(AK$2&lt;=$A$1,1,0),IF(AK$4="休","",IF(COUNTIF(DATA!AL:AL,$A:$A)=0,"×","√")),""))</f>
        <v/>
      </c>
      <c r="AL23" s="32" t="str">
        <f ca="1">IF($A23="","",IF(IF(AL$2&lt;=$A$1,1,0),IF(AL$4="休","",IF(COUNTIF(DATA!AM:AM,$A:$A)=0,"×","√")),""))</f>
        <v/>
      </c>
      <c r="AM23" s="32" t="str">
        <f ca="1">IF($A23="","",IF(IF(AM$2&lt;=$A$1,1,0),IF(AM$4="休","",IF(COUNTIF(DATA!AN:AN,$A:$A)=0,"×","√")),""))</f>
        <v/>
      </c>
      <c r="AN23" s="32" t="str">
        <f ca="1">IF($A23="","",IF(IF(AN$2&lt;=$A$1,1,0),IF(AN$4="休","",IF(COUNTIF(DATA!AO:AO,$A:$A)=0,"×","√")),""))</f>
        <v/>
      </c>
      <c r="AO23" s="32" t="str">
        <f ca="1">IF($A23="","",IF(IF(AO$2&lt;=$A$1,1,0),IF(AO$4="休","",IF(COUNTIF(DATA!AP:AP,$A:$A)=0,"×","√")),""))</f>
        <v/>
      </c>
      <c r="AP23" s="32" t="str">
        <f ca="1">IF($A23="","",IF(IF(AP$2&lt;=$A$1,1,0),IF(AP$4="休","",IF(COUNTIF(DATA!AQ:AQ,$A:$A)=0,"×","√")),""))</f>
        <v/>
      </c>
      <c r="AQ23" s="32" t="str">
        <f ca="1">IF($A23="","",IF(IF(AQ$2&lt;=$A$1,1,0),IF(AQ$4="休","",IF(COUNTIF(DATA!AR:AR,$A:$A)=0,"×","√")),""))</f>
        <v/>
      </c>
      <c r="AR23" s="32" t="str">
        <f ca="1">IF($A23="","",IF(IF(AR$2&lt;=$A$1,1,0),IF(AR$4="休","",IF(COUNTIF(DATA!AS:AS,$A:$A)=0,"×","√")),""))</f>
        <v/>
      </c>
      <c r="AS23" s="32" t="str">
        <f ca="1">IF($A23="","",IF(IF(AS$2&lt;=$A$1,1,0),IF(AS$4="休","",IF(COUNTIF(DATA!AT:AT,$A:$A)=0,"×","√")),""))</f>
        <v/>
      </c>
      <c r="AT23" s="32" t="str">
        <f ca="1">IF($A23="","",IF(IF(AT$2&lt;=$A$1,1,0),IF(AT$4="休","",IF(COUNTIF(DATA!AU:AU,$A:$A)=0,"×","√")),""))</f>
        <v/>
      </c>
      <c r="AU23" s="32" t="str">
        <f ca="1">IF($A23="","",IF(IF(AU$2&lt;=$A$1,1,0),IF(AU$4="休","",IF(COUNTIF(DATA!AV:AV,$A:$A)=0,"×","√")),""))</f>
        <v/>
      </c>
      <c r="AV23" s="32" t="str">
        <f ca="1">IF($A23="","",IF(IF(AV$2&lt;=$A$1,1,0),IF(AV$4="休","",IF(COUNTIF(DATA!AW:AW,$A:$A)=0,"×","√")),""))</f>
        <v/>
      </c>
      <c r="AW23" s="32" t="str">
        <f ca="1">IF($A23="","",IF(IF(AW$2&lt;=$A$1,1,0),IF(AW$4="休","",IF(COUNTIF(DATA!AX:AX,$A:$A)=0,"×","√")),""))</f>
        <v/>
      </c>
      <c r="AX23" s="32" t="str">
        <f ca="1">IF($A23="","",IF(IF(AX$2&lt;=$A$1,1,0),IF(AX$4="休","",IF(COUNTIF(DATA!AY:AY,$A:$A)=0,"×","√")),""))</f>
        <v/>
      </c>
      <c r="AY23" s="32" t="str">
        <f ca="1">IF($A23="","",IF(IF(AY$2&lt;=$A$1,1,0),IF(AY$4="休","",IF(COUNTIF(DATA!AZ:AZ,$A:$A)=0,"×","√")),""))</f>
        <v/>
      </c>
      <c r="AZ23" s="32" t="str">
        <f ca="1">IF($A23="","",IF(IF(AZ$2&lt;=$A$1,1,0),IF(AZ$4="休","",IF(COUNTIF(DATA!BA:BA,$A:$A)=0,"×","√")),""))</f>
        <v/>
      </c>
      <c r="BA23" s="32" t="str">
        <f ca="1">IF($A23="","",IF(IF(BA$2&lt;=$A$1,1,0),IF(BA$4="休","",IF(COUNTIF(DATA!BB:BB,$A:$A)=0,"×","√")),""))</f>
        <v/>
      </c>
      <c r="BB23" s="32" t="str">
        <f ca="1">IF($A23="","",IF(IF(BB$2&lt;=$A$1,1,0),IF(BB$4="休","",IF(COUNTIF(DATA!BC:BC,$A:$A)=0,"×","√")),""))</f>
        <v/>
      </c>
      <c r="BC23" s="32" t="str">
        <f ca="1">IF($A23="","",IF(IF(BC$2&lt;=$A$1,1,0),IF(BC$4="休","",IF(COUNTIF(DATA!BD:BD,$A:$A)=0,"×","√")),""))</f>
        <v/>
      </c>
      <c r="BD23" s="32" t="str">
        <f ca="1">IF($A23="","",IF(IF(BD$2&lt;=$A$1,1,0),IF(BD$4="休","",IF(COUNTIF(DATA!BE:BE,$A:$A)=0,"×","√")),""))</f>
        <v/>
      </c>
      <c r="BE23" s="32" t="str">
        <f ca="1">IF($A23="","",IF(IF(BE$2&lt;=$A$1,1,0),IF(BE$4="休","",IF(COUNTIF(DATA!BF:BF,$A:$A)=0,"×","√")),""))</f>
        <v/>
      </c>
      <c r="BF23" s="32" t="str">
        <f ca="1">IF($A23="","",IF(IF(BF$2&lt;=$A$1,1,0),IF(BF$4="休","",IF(COUNTIF(DATA!BG:BG,$A:$A)=0,"×","√")),""))</f>
        <v/>
      </c>
      <c r="BG23" s="32" t="str">
        <f ca="1">IF($A23="","",IF(IF(BG$2&lt;=$A$1,1,0),IF(BG$4="休","",IF(COUNTIF(DATA!BH:BH,$A:$A)=0,"×","√")),""))</f>
        <v/>
      </c>
      <c r="BH23" s="32" t="str">
        <f ca="1">IF($A23="","",IF(IF(BH$2&lt;=$A$1,1,0),IF(BH$4="休","",IF(COUNTIF(DATA!BI:BI,$A:$A)=0,"×","√")),""))</f>
        <v/>
      </c>
      <c r="BI23" s="32" t="str">
        <f ca="1">IF($A23="","",IF(IF(BI$2&lt;=$A$1,1,0),IF(BI$4="休","",IF(COUNTIF(DATA!BJ:BJ,$A:$A)=0,"×","√")),""))</f>
        <v/>
      </c>
      <c r="BJ23" s="32" t="str">
        <f ca="1">IF($A23="","",IF(IF(BJ$2&lt;=$A$1,1,0),IF(BJ$4="休","",IF(COUNTIF(DATA!BK:BK,$A:$A)=0,"×","√")),""))</f>
        <v/>
      </c>
      <c r="BK23" s="32" t="str">
        <f ca="1">IF($A23="","",IF(IF(BK$2&lt;=$A$1,1,0),IF(BK$4="休","",IF(COUNTIF(DATA!BL:BL,$A:$A)=0,"×","√")),""))</f>
        <v/>
      </c>
      <c r="BL23" s="32" t="str">
        <f ca="1">IF($A23="","",IF(IF(BL$2&lt;=$A$1,1,0),IF(BL$4="休","",IF(COUNTIF(DATA!BM:BM,$A:$A)=0,"×","√")),""))</f>
        <v/>
      </c>
      <c r="BM23" s="32" t="str">
        <f ca="1">IF($A23="","",IF(IF(BM$2&lt;=$A$1,1,0),IF(BM$4="休","",IF(COUNTIF(DATA!BN:BN,$A:$A)=0,"×","√")),""))</f>
        <v/>
      </c>
      <c r="BN23" s="32" t="str">
        <f ca="1">IF($A23="","",IF(IF(BN$2&lt;=$A$1,1,0),IF(BN$4="休","",IF(COUNTIF(DATA!BO:BO,$A:$A)=0,"×","√")),""))</f>
        <v/>
      </c>
      <c r="BO23" s="32" t="str">
        <f ca="1">IF($A23="","",IF(IF(BO$2&lt;=$A$1,1,0),IF(BO$4="休","",IF(COUNTIF(DATA!BP:BP,$A:$A)=0,"×","√")),""))</f>
        <v/>
      </c>
      <c r="BP23" s="32" t="str">
        <f ca="1">IF($A23="","",IF(IF(BP$2&lt;=$A$1,1,0),IF(BP$4="休","",IF(COUNTIF(DATA!BQ:BQ,$A:$A)=0,"×","√")),""))</f>
        <v/>
      </c>
      <c r="BQ23" s="32" t="str">
        <f ca="1">IF($A23="","",IF(IF(BQ$2&lt;=$A$1,1,0),IF(BQ$4="休","",IF(COUNTIF(DATA!BR:BR,$A:$A)=0,"×","√")),""))</f>
        <v/>
      </c>
      <c r="BR23" s="32" t="str">
        <f ca="1">IF($A23="","",IF(IF(BR$2&lt;=$A$1,1,0),IF(BR$4="休","",IF(COUNTIF(DATA!BS:BS,$A:$A)=0,"×","√")),""))</f>
        <v/>
      </c>
      <c r="BS23" s="32" t="str">
        <f ca="1">IF($A23="","",IF(IF(BS$2&lt;=$A$1,1,0),IF(BS$4="休","",IF(COUNTIF(DATA!BT:BT,$A:$A)=0,"×","√")),""))</f>
        <v/>
      </c>
      <c r="BT23" s="32" t="str">
        <f ca="1">IF($A23="","",IF(IF(BT$2&lt;=$A$1,1,0),IF(BT$4="休","",IF(COUNTIF(DATA!BU:BU,$A:$A)=0,"×","√")),""))</f>
        <v/>
      </c>
      <c r="BU23" s="32" t="str">
        <f ca="1">IF($A23="","",IF(IF(BU$2&lt;=$A$1,1,0),IF(BU$4="休","",IF(COUNTIF(DATA!BV:BV,$A:$A)=0,"×","√")),""))</f>
        <v/>
      </c>
      <c r="BV23" s="32" t="str">
        <f ca="1">IF($A23="","",IF(IF(BV$2&lt;=$A$1,1,0),IF(BV$4="休","",IF(COUNTIF(DATA!BW:BW,$A:$A)=0,"×","√")),""))</f>
        <v/>
      </c>
      <c r="BW23" s="32" t="str">
        <f ca="1">IF($A23="","",IF(IF(BW$2&lt;=$A$1,1,0),IF(BW$4="休","",IF(COUNTIF(DATA!BX:BX,$A:$A)=0,"×","√")),""))</f>
        <v/>
      </c>
      <c r="BX23" s="32" t="str">
        <f ca="1">IF($A23="","",IF(IF(BX$2&lt;=$A$1,1,0),IF(BX$4="休","",IF(COUNTIF(DATA!BY:BY,$A:$A)=0,"×","√")),""))</f>
        <v/>
      </c>
      <c r="BY23" s="32" t="str">
        <f ca="1">IF($A23="","",IF(IF(BY$2&lt;=$A$1,1,0),IF(BY$4="休","",IF(COUNTIF(DATA!BZ:BZ,$A:$A)=0,"×","√")),""))</f>
        <v/>
      </c>
      <c r="BZ23" s="32" t="str">
        <f ca="1">IF($A23="","",IF(IF(BZ$2&lt;=$A$1,1,0),IF(BZ$4="休","",IF(COUNTIF(DATA!CA:CA,$A:$A)=0,"×","√")),""))</f>
        <v/>
      </c>
      <c r="CA23" s="32" t="str">
        <f ca="1">IF($A23="","",IF(IF(CA$2&lt;=$A$1,1,0),IF(CA$4="休","",IF(COUNTIF(DATA!CB:CB,$A:$A)=0,"×","√")),""))</f>
        <v/>
      </c>
      <c r="CB23" s="32" t="str">
        <f ca="1">IF($A23="","",IF(IF(CB$2&lt;=$A$1,1,0),IF(CB$4="休","",IF(COUNTIF(DATA!CC:CC,$A:$A)=0,"×","√")),""))</f>
        <v/>
      </c>
      <c r="CC23" s="32" t="str">
        <f ca="1">IF($A23="","",IF(IF(CC$2&lt;=$A$1,1,0),IF(CC$4="休","",IF(COUNTIF(DATA!CD:CD,$A:$A)=0,"×","√")),""))</f>
        <v/>
      </c>
      <c r="CD23" s="32" t="str">
        <f ca="1">IF($A23="","",IF(IF(CD$2&lt;=$A$1,1,0),IF(CD$4="休","",IF(COUNTIF(DATA!CE:CE,$A:$A)=0,"×","√")),""))</f>
        <v/>
      </c>
      <c r="CE23" s="32" t="str">
        <f ca="1">IF($A23="","",IF(IF(CE$2&lt;=$A$1,1,0),IF(CE$4="休","",IF(COUNTIF(DATA!CF:CF,$A:$A)=0,"×","√")),""))</f>
        <v/>
      </c>
      <c r="CF23" s="32" t="str">
        <f ca="1">IF($A23="","",IF(IF(CF$2&lt;=$A$1,1,0),IF(CF$4="休","",IF(COUNTIF(DATA!CG:CG,$A:$A)=0,"×","√")),""))</f>
        <v/>
      </c>
      <c r="CG23" s="32" t="str">
        <f ca="1">IF($A23="","",IF(IF(CG$2&lt;=$A$1,1,0),IF(CG$4="休","",IF(COUNTIF(DATA!CH:CH,$A:$A)=0,"×","√")),""))</f>
        <v/>
      </c>
      <c r="CH23" s="32" t="str">
        <f ca="1">IF($A23="","",IF(IF(CH$2&lt;=$A$1,1,0),IF(CH$4="休","",IF(COUNTIF(DATA!CI:CI,$A:$A)=0,"×","√")),""))</f>
        <v/>
      </c>
      <c r="CI23" s="32" t="str">
        <f ca="1">IF($A23="","",IF(IF(CI$2&lt;=$A$1,1,0),IF(CI$4="休","",IF(COUNTIF(DATA!CJ:CJ,$A:$A)=0,"×","√")),""))</f>
        <v/>
      </c>
      <c r="CJ23" s="32" t="str">
        <f ca="1">IF($A23="","",IF(IF(CJ$2&lt;=$A$1,1,0),IF(CJ$4="休","",IF(COUNTIF(DATA!CK:CK,$A:$A)=0,"×","√")),""))</f>
        <v/>
      </c>
      <c r="CK23" s="32" t="str">
        <f ca="1">IF($A23="","",IF(IF(CK$2&lt;=$A$1,1,0),IF(CK$4="休","",IF(COUNTIF(DATA!CL:CL,$A:$A)=0,"×","√")),""))</f>
        <v/>
      </c>
      <c r="CL23" s="32" t="str">
        <f ca="1">IF($A23="","",IF(IF(CL$2&lt;=$A$1,1,0),IF(CL$4="休","",IF(COUNTIF(DATA!CM:CM,$A:$A)=0,"×","√")),""))</f>
        <v/>
      </c>
      <c r="CM23" s="32" t="str">
        <f ca="1">IF($A23="","",IF(IF(CM$2&lt;=$A$1,1,0),IF(CM$4="休","",IF(COUNTIF(DATA!CN:CN,$A:$A)=0,"×","√")),""))</f>
        <v/>
      </c>
      <c r="CN23" s="32" t="str">
        <f ca="1">IF($A23="","",IF(IF(CN$2&lt;=$A$1,1,0),IF(CN$4="休","",IF(COUNTIF(DATA!CO:CO,$A:$A)=0,"×","√")),""))</f>
        <v/>
      </c>
      <c r="CO23" s="32" t="str">
        <f ca="1">IF($A23="","",IF(IF(CO$2&lt;=$A$1,1,0),IF(CO$4="休","",IF(COUNTIF(DATA!CP:CP,$A:$A)=0,"×","√")),""))</f>
        <v/>
      </c>
      <c r="CP23" s="32" t="str">
        <f ca="1">IF($A23="","",IF(IF(CP$2&lt;=$A$1,1,0),IF(CP$4="休","",IF(COUNTIF(DATA!CQ:CQ,$A:$A)=0,"×","√")),""))</f>
        <v/>
      </c>
      <c r="CQ23" s="32" t="str">
        <f ca="1">IF($A23="","",IF(IF(CQ$2&lt;=$A$1,1,0),IF(CQ$4="休","",IF(COUNTIF(DATA!CR:CR,$A:$A)=0,"×","√")),""))</f>
        <v/>
      </c>
      <c r="CR23" s="32" t="str">
        <f ca="1">IF($A23="","",IF(IF(CR$2&lt;=$A$1,1,0),IF(CR$4="休","",IF(COUNTIF(DATA!CS:CS,$A:$A)=0,"×","√")),""))</f>
        <v/>
      </c>
    </row>
    <row r="24" s="26" customFormat="1" ht="18.75" spans="1:96">
      <c r="A24" s="32" t="str">
        <f>DATA!$A23&amp;""</f>
        <v>毛永恒</v>
      </c>
      <c r="B24" s="32" t="str">
        <f ca="1">IF($A24="","",IF(IF(B$2&lt;=$A$1,1,0),IF(B$4="休","",IF(COUNTIF(DATA!C:C,$A:$A)=0,"×","√")),""))</f>
        <v>√</v>
      </c>
      <c r="C24" s="32" t="str">
        <f ca="1">IF($A24="","",IF(IF(C$2&lt;=$A$1,1,0),IF(C$4="休","",IF(COUNTIF(DATA!D:D,$A:$A)=0,"×","√")),""))</f>
        <v>√</v>
      </c>
      <c r="D24" s="32" t="str">
        <f ca="1">IF($A24="","",IF(IF(D$2&lt;=$A$1,1,0),IF(D$4="休","",IF(COUNTIF(DATA!E:E,$A:$A)=0,"×","√")),""))</f>
        <v>√</v>
      </c>
      <c r="E24" s="32" t="str">
        <f ca="1">IF($A24="","",IF(IF(E$2&lt;=$A$1,1,0),IF(E$4="休","",IF(COUNTIF(DATA!F:F,$A:$A)=0,"×","√")),""))</f>
        <v>√</v>
      </c>
      <c r="F24" s="32" t="str">
        <f ca="1">IF($A24="","",IF(IF(F$2&lt;=$A$1,1,0),IF(F$4="休","",IF(COUNTIF(DATA!G:G,$A:$A)=0,"×","√")),""))</f>
        <v>√</v>
      </c>
      <c r="G24" s="32" t="str">
        <f ca="1">IF($A24="","",IF(IF(G$2&lt;=$A$1,1,0),IF(G$4="休","",IF(COUNTIF(DATA!H:H,$A:$A)=0,"×","√")),""))</f>
        <v>√</v>
      </c>
      <c r="H24" s="32" t="str">
        <f ca="1">IF($A24="","",IF(IF(H$2&lt;=$A$1,1,0),IF(H$4="休","",IF(COUNTIF(DATA!I:I,$A:$A)=0,"×","√")),""))</f>
        <v>√</v>
      </c>
      <c r="I24" s="32" t="str">
        <f ca="1">IF($A24="","",IF(IF(I$2&lt;=$A$1,1,0),IF(I$4="休","",IF(COUNTIF(DATA!J:J,$A:$A)=0,"×","√")),""))</f>
        <v>√</v>
      </c>
      <c r="J24" s="32" t="str">
        <f ca="1">IF($A24="","",IF(IF(J$2&lt;=$A$1,1,0),IF(J$4="休","",IF(COUNTIF(DATA!K:K,$A:$A)=0,"×","√")),""))</f>
        <v/>
      </c>
      <c r="K24" s="32" t="str">
        <f ca="1">IF($A24="","",IF(IF(K$2&lt;=$A$1,1,0),IF(K$4="休","",IF(COUNTIF(DATA!L:L,$A:$A)=0,"×","√")),""))</f>
        <v/>
      </c>
      <c r="L24" s="32" t="str">
        <f ca="1">IF($A24="","",IF(IF(L$2&lt;=$A$1,1,0),IF(L$4="休","",IF(COUNTIF(DATA!M:M,$A:$A)=0,"×","√")),""))</f>
        <v/>
      </c>
      <c r="M24" s="32" t="str">
        <f ca="1">IF($A24="","",IF(IF(M$2&lt;=$A$1,1,0),IF(M$4="休","",IF(COUNTIF(DATA!N:N,$A:$A)=0,"×","√")),""))</f>
        <v/>
      </c>
      <c r="N24" s="32" t="str">
        <f ca="1">IF($A24="","",IF(IF(N$2&lt;=$A$1,1,0),IF(N$4="休","",IF(COUNTIF(DATA!O:O,$A:$A)=0,"×","√")),""))</f>
        <v/>
      </c>
      <c r="O24" s="32" t="str">
        <f ca="1">IF($A24="","",IF(IF(O$2&lt;=$A$1,1,0),IF(O$4="休","",IF(COUNTIF(DATA!P:P,$A:$A)=0,"×","√")),""))</f>
        <v/>
      </c>
      <c r="P24" s="32" t="str">
        <f ca="1">IF($A24="","",IF(IF(P$2&lt;=$A$1,1,0),IF(P$4="休","",IF(COUNTIF(DATA!Q:Q,$A:$A)=0,"×","√")),""))</f>
        <v/>
      </c>
      <c r="Q24" s="32" t="str">
        <f ca="1">IF($A24="","",IF(IF(Q$2&lt;=$A$1,1,0),IF(Q$4="休","",IF(COUNTIF(DATA!R:R,$A:$A)=0,"×","√")),""))</f>
        <v/>
      </c>
      <c r="R24" s="32" t="str">
        <f ca="1">IF($A24="","",IF(IF(R$2&lt;=$A$1,1,0),IF(R$4="休","",IF(COUNTIF(DATA!S:S,$A:$A)=0,"×","√")),""))</f>
        <v/>
      </c>
      <c r="S24" s="32" t="str">
        <f ca="1">IF($A24="","",IF(IF(S$2&lt;=$A$1,1,0),IF(S$4="休","",IF(COUNTIF(DATA!T:T,$A:$A)=0,"×","√")),""))</f>
        <v/>
      </c>
      <c r="T24" s="32" t="str">
        <f ca="1">IF($A24="","",IF(IF(T$2&lt;=$A$1,1,0),IF(T$4="休","",IF(COUNTIF(DATA!U:U,$A:$A)=0,"×","√")),""))</f>
        <v/>
      </c>
      <c r="U24" s="32" t="str">
        <f ca="1">IF($A24="","",IF(IF(U$2&lt;=$A$1,1,0),IF(U$4="休","",IF(COUNTIF(DATA!V:V,$A:$A)=0,"×","√")),""))</f>
        <v/>
      </c>
      <c r="V24" s="32" t="str">
        <f ca="1">IF($A24="","",IF(IF(V$2&lt;=$A$1,1,0),IF(V$4="休","",IF(COUNTIF(DATA!W:W,$A:$A)=0,"×","√")),""))</f>
        <v/>
      </c>
      <c r="W24" s="32" t="str">
        <f ca="1">IF($A24="","",IF(IF(W$2&lt;=$A$1,1,0),IF(W$4="休","",IF(COUNTIF(DATA!X:X,$A:$A)=0,"×","√")),""))</f>
        <v/>
      </c>
      <c r="X24" s="32" t="str">
        <f ca="1">IF($A24="","",IF(IF(X$2&lt;=$A$1,1,0),IF(X$4="休","",IF(COUNTIF(DATA!Y:Y,$A:$A)=0,"×","√")),""))</f>
        <v/>
      </c>
      <c r="Y24" s="32" t="str">
        <f ca="1">IF($A24="","",IF(IF(Y$2&lt;=$A$1,1,0),IF(Y$4="休","",IF(COUNTIF(DATA!Z:Z,$A:$A)=0,"×","√")),""))</f>
        <v/>
      </c>
      <c r="Z24" s="32" t="str">
        <f ca="1">IF($A24="","",IF(IF(Z$2&lt;=$A$1,1,0),IF(Z$4="休","",IF(COUNTIF(DATA!AA:AA,$A:$A)=0,"×","√")),""))</f>
        <v/>
      </c>
      <c r="AA24" s="32" t="str">
        <f ca="1">IF($A24="","",IF(IF(AA$2&lt;=$A$1,1,0),IF(AA$4="休","",IF(COUNTIF(DATA!AB:AB,$A:$A)=0,"×","√")),""))</f>
        <v/>
      </c>
      <c r="AB24" s="32" t="str">
        <f ca="1">IF($A24="","",IF(IF(AB$2&lt;=$A$1,1,0),IF(AB$4="休","",IF(COUNTIF(DATA!AC:AC,$A:$A)=0,"×","√")),""))</f>
        <v/>
      </c>
      <c r="AC24" s="32" t="str">
        <f ca="1">IF($A24="","",IF(IF(AC$2&lt;=$A$1,1,0),IF(AC$4="休","",IF(COUNTIF(DATA!AD:AD,$A:$A)=0,"×","√")),""))</f>
        <v/>
      </c>
      <c r="AD24" s="32" t="str">
        <f ca="1">IF($A24="","",IF(IF(AD$2&lt;=$A$1,1,0),IF(AD$4="休","",IF(COUNTIF(DATA!AE:AE,$A:$A)=0,"×","√")),""))</f>
        <v/>
      </c>
      <c r="AE24" s="32" t="str">
        <f ca="1">IF($A24="","",IF(IF(AE$2&lt;=$A$1,1,0),IF(AE$4="休","",IF(COUNTIF(DATA!AF:AF,$A:$A)=0,"×","√")),""))</f>
        <v/>
      </c>
      <c r="AF24" s="32" t="str">
        <f ca="1">IF($A24="","",IF(IF(AF$2&lt;=$A$1,1,0),IF(AF$4="休","",IF(COUNTIF(DATA!AG:AG,$A:$A)=0,"×","√")),""))</f>
        <v/>
      </c>
      <c r="AG24" s="32" t="str">
        <f ca="1">IF($A24="","",IF(IF(AG$2&lt;=$A$1,1,0),IF(AG$4="休","",IF(COUNTIF(DATA!AH:AH,$A:$A)=0,"×","√")),""))</f>
        <v/>
      </c>
      <c r="AH24" s="32" t="str">
        <f ca="1">IF($A24="","",IF(IF(AH$2&lt;=$A$1,1,0),IF(AH$4="休","",IF(COUNTIF(DATA!AI:AI,$A:$A)=0,"×","√")),""))</f>
        <v/>
      </c>
      <c r="AI24" s="32" t="str">
        <f ca="1">IF($A24="","",IF(IF(AI$2&lt;=$A$1,1,0),IF(AI$4="休","",IF(COUNTIF(DATA!AJ:AJ,$A:$A)=0,"×","√")),""))</f>
        <v/>
      </c>
      <c r="AJ24" s="32" t="str">
        <f ca="1">IF($A24="","",IF(IF(AJ$2&lt;=$A$1,1,0),IF(AJ$4="休","",IF(COUNTIF(DATA!AK:AK,$A:$A)=0,"×","√")),""))</f>
        <v/>
      </c>
      <c r="AK24" s="32" t="str">
        <f ca="1">IF($A24="","",IF(IF(AK$2&lt;=$A$1,1,0),IF(AK$4="休","",IF(COUNTIF(DATA!AL:AL,$A:$A)=0,"×","√")),""))</f>
        <v/>
      </c>
      <c r="AL24" s="32" t="str">
        <f ca="1">IF($A24="","",IF(IF(AL$2&lt;=$A$1,1,0),IF(AL$4="休","",IF(COUNTIF(DATA!AM:AM,$A:$A)=0,"×","√")),""))</f>
        <v/>
      </c>
      <c r="AM24" s="32" t="str">
        <f ca="1">IF($A24="","",IF(IF(AM$2&lt;=$A$1,1,0),IF(AM$4="休","",IF(COUNTIF(DATA!AN:AN,$A:$A)=0,"×","√")),""))</f>
        <v/>
      </c>
      <c r="AN24" s="32" t="str">
        <f ca="1">IF($A24="","",IF(IF(AN$2&lt;=$A$1,1,0),IF(AN$4="休","",IF(COUNTIF(DATA!AO:AO,$A:$A)=0,"×","√")),""))</f>
        <v/>
      </c>
      <c r="AO24" s="32" t="str">
        <f ca="1">IF($A24="","",IF(IF(AO$2&lt;=$A$1,1,0),IF(AO$4="休","",IF(COUNTIF(DATA!AP:AP,$A:$A)=0,"×","√")),""))</f>
        <v/>
      </c>
      <c r="AP24" s="32" t="str">
        <f ca="1">IF($A24="","",IF(IF(AP$2&lt;=$A$1,1,0),IF(AP$4="休","",IF(COUNTIF(DATA!AQ:AQ,$A:$A)=0,"×","√")),""))</f>
        <v/>
      </c>
      <c r="AQ24" s="32" t="str">
        <f ca="1">IF($A24="","",IF(IF(AQ$2&lt;=$A$1,1,0),IF(AQ$4="休","",IF(COUNTIF(DATA!AR:AR,$A:$A)=0,"×","√")),""))</f>
        <v/>
      </c>
      <c r="AR24" s="32" t="str">
        <f ca="1">IF($A24="","",IF(IF(AR$2&lt;=$A$1,1,0),IF(AR$4="休","",IF(COUNTIF(DATA!AS:AS,$A:$A)=0,"×","√")),""))</f>
        <v/>
      </c>
      <c r="AS24" s="32" t="str">
        <f ca="1">IF($A24="","",IF(IF(AS$2&lt;=$A$1,1,0),IF(AS$4="休","",IF(COUNTIF(DATA!AT:AT,$A:$A)=0,"×","√")),""))</f>
        <v/>
      </c>
      <c r="AT24" s="32" t="str">
        <f ca="1">IF($A24="","",IF(IF(AT$2&lt;=$A$1,1,0),IF(AT$4="休","",IF(COUNTIF(DATA!AU:AU,$A:$A)=0,"×","√")),""))</f>
        <v/>
      </c>
      <c r="AU24" s="32" t="str">
        <f ca="1">IF($A24="","",IF(IF(AU$2&lt;=$A$1,1,0),IF(AU$4="休","",IF(COUNTIF(DATA!AV:AV,$A:$A)=0,"×","√")),""))</f>
        <v/>
      </c>
      <c r="AV24" s="32" t="str">
        <f ca="1">IF($A24="","",IF(IF(AV$2&lt;=$A$1,1,0),IF(AV$4="休","",IF(COUNTIF(DATA!AW:AW,$A:$A)=0,"×","√")),""))</f>
        <v/>
      </c>
      <c r="AW24" s="32" t="str">
        <f ca="1">IF($A24="","",IF(IF(AW$2&lt;=$A$1,1,0),IF(AW$4="休","",IF(COUNTIF(DATA!AX:AX,$A:$A)=0,"×","√")),""))</f>
        <v/>
      </c>
      <c r="AX24" s="32" t="str">
        <f ca="1">IF($A24="","",IF(IF(AX$2&lt;=$A$1,1,0),IF(AX$4="休","",IF(COUNTIF(DATA!AY:AY,$A:$A)=0,"×","√")),""))</f>
        <v/>
      </c>
      <c r="AY24" s="32" t="str">
        <f ca="1">IF($A24="","",IF(IF(AY$2&lt;=$A$1,1,0),IF(AY$4="休","",IF(COUNTIF(DATA!AZ:AZ,$A:$A)=0,"×","√")),""))</f>
        <v/>
      </c>
      <c r="AZ24" s="32" t="str">
        <f ca="1">IF($A24="","",IF(IF(AZ$2&lt;=$A$1,1,0),IF(AZ$4="休","",IF(COUNTIF(DATA!BA:BA,$A:$A)=0,"×","√")),""))</f>
        <v/>
      </c>
      <c r="BA24" s="32" t="str">
        <f ca="1">IF($A24="","",IF(IF(BA$2&lt;=$A$1,1,0),IF(BA$4="休","",IF(COUNTIF(DATA!BB:BB,$A:$A)=0,"×","√")),""))</f>
        <v/>
      </c>
      <c r="BB24" s="32" t="str">
        <f ca="1">IF($A24="","",IF(IF(BB$2&lt;=$A$1,1,0),IF(BB$4="休","",IF(COUNTIF(DATA!BC:BC,$A:$A)=0,"×","√")),""))</f>
        <v/>
      </c>
      <c r="BC24" s="32" t="str">
        <f ca="1">IF($A24="","",IF(IF(BC$2&lt;=$A$1,1,0),IF(BC$4="休","",IF(COUNTIF(DATA!BD:BD,$A:$A)=0,"×","√")),""))</f>
        <v/>
      </c>
      <c r="BD24" s="32" t="str">
        <f ca="1">IF($A24="","",IF(IF(BD$2&lt;=$A$1,1,0),IF(BD$4="休","",IF(COUNTIF(DATA!BE:BE,$A:$A)=0,"×","√")),""))</f>
        <v/>
      </c>
      <c r="BE24" s="32" t="str">
        <f ca="1">IF($A24="","",IF(IF(BE$2&lt;=$A$1,1,0),IF(BE$4="休","",IF(COUNTIF(DATA!BF:BF,$A:$A)=0,"×","√")),""))</f>
        <v/>
      </c>
      <c r="BF24" s="32" t="str">
        <f ca="1">IF($A24="","",IF(IF(BF$2&lt;=$A$1,1,0),IF(BF$4="休","",IF(COUNTIF(DATA!BG:BG,$A:$A)=0,"×","√")),""))</f>
        <v/>
      </c>
      <c r="BG24" s="32" t="str">
        <f ca="1">IF($A24="","",IF(IF(BG$2&lt;=$A$1,1,0),IF(BG$4="休","",IF(COUNTIF(DATA!BH:BH,$A:$A)=0,"×","√")),""))</f>
        <v/>
      </c>
      <c r="BH24" s="32" t="str">
        <f ca="1">IF($A24="","",IF(IF(BH$2&lt;=$A$1,1,0),IF(BH$4="休","",IF(COUNTIF(DATA!BI:BI,$A:$A)=0,"×","√")),""))</f>
        <v/>
      </c>
      <c r="BI24" s="32" t="str">
        <f ca="1">IF($A24="","",IF(IF(BI$2&lt;=$A$1,1,0),IF(BI$4="休","",IF(COUNTIF(DATA!BJ:BJ,$A:$A)=0,"×","√")),""))</f>
        <v/>
      </c>
      <c r="BJ24" s="32" t="str">
        <f ca="1">IF($A24="","",IF(IF(BJ$2&lt;=$A$1,1,0),IF(BJ$4="休","",IF(COUNTIF(DATA!BK:BK,$A:$A)=0,"×","√")),""))</f>
        <v/>
      </c>
      <c r="BK24" s="32" t="str">
        <f ca="1">IF($A24="","",IF(IF(BK$2&lt;=$A$1,1,0),IF(BK$4="休","",IF(COUNTIF(DATA!BL:BL,$A:$A)=0,"×","√")),""))</f>
        <v/>
      </c>
      <c r="BL24" s="32" t="str">
        <f ca="1">IF($A24="","",IF(IF(BL$2&lt;=$A$1,1,0),IF(BL$4="休","",IF(COUNTIF(DATA!BM:BM,$A:$A)=0,"×","√")),""))</f>
        <v/>
      </c>
      <c r="BM24" s="32" t="str">
        <f ca="1">IF($A24="","",IF(IF(BM$2&lt;=$A$1,1,0),IF(BM$4="休","",IF(COUNTIF(DATA!BN:BN,$A:$A)=0,"×","√")),""))</f>
        <v/>
      </c>
      <c r="BN24" s="32" t="str">
        <f ca="1">IF($A24="","",IF(IF(BN$2&lt;=$A$1,1,0),IF(BN$4="休","",IF(COUNTIF(DATA!BO:BO,$A:$A)=0,"×","√")),""))</f>
        <v/>
      </c>
      <c r="BO24" s="32" t="str">
        <f ca="1">IF($A24="","",IF(IF(BO$2&lt;=$A$1,1,0),IF(BO$4="休","",IF(COUNTIF(DATA!BP:BP,$A:$A)=0,"×","√")),""))</f>
        <v/>
      </c>
      <c r="BP24" s="32" t="str">
        <f ca="1">IF($A24="","",IF(IF(BP$2&lt;=$A$1,1,0),IF(BP$4="休","",IF(COUNTIF(DATA!BQ:BQ,$A:$A)=0,"×","√")),""))</f>
        <v/>
      </c>
      <c r="BQ24" s="32" t="str">
        <f ca="1">IF($A24="","",IF(IF(BQ$2&lt;=$A$1,1,0),IF(BQ$4="休","",IF(COUNTIF(DATA!BR:BR,$A:$A)=0,"×","√")),""))</f>
        <v/>
      </c>
      <c r="BR24" s="32" t="str">
        <f ca="1">IF($A24="","",IF(IF(BR$2&lt;=$A$1,1,0),IF(BR$4="休","",IF(COUNTIF(DATA!BS:BS,$A:$A)=0,"×","√")),""))</f>
        <v/>
      </c>
      <c r="BS24" s="32" t="str">
        <f ca="1">IF($A24="","",IF(IF(BS$2&lt;=$A$1,1,0),IF(BS$4="休","",IF(COUNTIF(DATA!BT:BT,$A:$A)=0,"×","√")),""))</f>
        <v/>
      </c>
      <c r="BT24" s="32" t="str">
        <f ca="1">IF($A24="","",IF(IF(BT$2&lt;=$A$1,1,0),IF(BT$4="休","",IF(COUNTIF(DATA!BU:BU,$A:$A)=0,"×","√")),""))</f>
        <v/>
      </c>
      <c r="BU24" s="32" t="str">
        <f ca="1">IF($A24="","",IF(IF(BU$2&lt;=$A$1,1,0),IF(BU$4="休","",IF(COUNTIF(DATA!BV:BV,$A:$A)=0,"×","√")),""))</f>
        <v/>
      </c>
      <c r="BV24" s="32" t="str">
        <f ca="1">IF($A24="","",IF(IF(BV$2&lt;=$A$1,1,0),IF(BV$4="休","",IF(COUNTIF(DATA!BW:BW,$A:$A)=0,"×","√")),""))</f>
        <v/>
      </c>
      <c r="BW24" s="32" t="str">
        <f ca="1">IF($A24="","",IF(IF(BW$2&lt;=$A$1,1,0),IF(BW$4="休","",IF(COUNTIF(DATA!BX:BX,$A:$A)=0,"×","√")),""))</f>
        <v/>
      </c>
      <c r="BX24" s="32" t="str">
        <f ca="1">IF($A24="","",IF(IF(BX$2&lt;=$A$1,1,0),IF(BX$4="休","",IF(COUNTIF(DATA!BY:BY,$A:$A)=0,"×","√")),""))</f>
        <v/>
      </c>
      <c r="BY24" s="32" t="str">
        <f ca="1">IF($A24="","",IF(IF(BY$2&lt;=$A$1,1,0),IF(BY$4="休","",IF(COUNTIF(DATA!BZ:BZ,$A:$A)=0,"×","√")),""))</f>
        <v/>
      </c>
      <c r="BZ24" s="32" t="str">
        <f ca="1">IF($A24="","",IF(IF(BZ$2&lt;=$A$1,1,0),IF(BZ$4="休","",IF(COUNTIF(DATA!CA:CA,$A:$A)=0,"×","√")),""))</f>
        <v/>
      </c>
      <c r="CA24" s="32" t="str">
        <f ca="1">IF($A24="","",IF(IF(CA$2&lt;=$A$1,1,0),IF(CA$4="休","",IF(COUNTIF(DATA!CB:CB,$A:$A)=0,"×","√")),""))</f>
        <v/>
      </c>
      <c r="CB24" s="32" t="str">
        <f ca="1">IF($A24="","",IF(IF(CB$2&lt;=$A$1,1,0),IF(CB$4="休","",IF(COUNTIF(DATA!CC:CC,$A:$A)=0,"×","√")),""))</f>
        <v/>
      </c>
      <c r="CC24" s="32" t="str">
        <f ca="1">IF($A24="","",IF(IF(CC$2&lt;=$A$1,1,0),IF(CC$4="休","",IF(COUNTIF(DATA!CD:CD,$A:$A)=0,"×","√")),""))</f>
        <v/>
      </c>
      <c r="CD24" s="32" t="str">
        <f ca="1">IF($A24="","",IF(IF(CD$2&lt;=$A$1,1,0),IF(CD$4="休","",IF(COUNTIF(DATA!CE:CE,$A:$A)=0,"×","√")),""))</f>
        <v/>
      </c>
      <c r="CE24" s="32" t="str">
        <f ca="1">IF($A24="","",IF(IF(CE$2&lt;=$A$1,1,0),IF(CE$4="休","",IF(COUNTIF(DATA!CF:CF,$A:$A)=0,"×","√")),""))</f>
        <v/>
      </c>
      <c r="CF24" s="32" t="str">
        <f ca="1">IF($A24="","",IF(IF(CF$2&lt;=$A$1,1,0),IF(CF$4="休","",IF(COUNTIF(DATA!CG:CG,$A:$A)=0,"×","√")),""))</f>
        <v/>
      </c>
      <c r="CG24" s="32" t="str">
        <f ca="1">IF($A24="","",IF(IF(CG$2&lt;=$A$1,1,0),IF(CG$4="休","",IF(COUNTIF(DATA!CH:CH,$A:$A)=0,"×","√")),""))</f>
        <v/>
      </c>
      <c r="CH24" s="32" t="str">
        <f ca="1">IF($A24="","",IF(IF(CH$2&lt;=$A$1,1,0),IF(CH$4="休","",IF(COUNTIF(DATA!CI:CI,$A:$A)=0,"×","√")),""))</f>
        <v/>
      </c>
      <c r="CI24" s="32" t="str">
        <f ca="1">IF($A24="","",IF(IF(CI$2&lt;=$A$1,1,0),IF(CI$4="休","",IF(COUNTIF(DATA!CJ:CJ,$A:$A)=0,"×","√")),""))</f>
        <v/>
      </c>
      <c r="CJ24" s="32" t="str">
        <f ca="1">IF($A24="","",IF(IF(CJ$2&lt;=$A$1,1,0),IF(CJ$4="休","",IF(COUNTIF(DATA!CK:CK,$A:$A)=0,"×","√")),""))</f>
        <v/>
      </c>
      <c r="CK24" s="32" t="str">
        <f ca="1">IF($A24="","",IF(IF(CK$2&lt;=$A$1,1,0),IF(CK$4="休","",IF(COUNTIF(DATA!CL:CL,$A:$A)=0,"×","√")),""))</f>
        <v/>
      </c>
      <c r="CL24" s="32" t="str">
        <f ca="1">IF($A24="","",IF(IF(CL$2&lt;=$A$1,1,0),IF(CL$4="休","",IF(COUNTIF(DATA!CM:CM,$A:$A)=0,"×","√")),""))</f>
        <v/>
      </c>
      <c r="CM24" s="32" t="str">
        <f ca="1">IF($A24="","",IF(IF(CM$2&lt;=$A$1,1,0),IF(CM$4="休","",IF(COUNTIF(DATA!CN:CN,$A:$A)=0,"×","√")),""))</f>
        <v/>
      </c>
      <c r="CN24" s="32" t="str">
        <f ca="1">IF($A24="","",IF(IF(CN$2&lt;=$A$1,1,0),IF(CN$4="休","",IF(COUNTIF(DATA!CO:CO,$A:$A)=0,"×","√")),""))</f>
        <v/>
      </c>
      <c r="CO24" s="32" t="str">
        <f ca="1">IF($A24="","",IF(IF(CO$2&lt;=$A$1,1,0),IF(CO$4="休","",IF(COUNTIF(DATA!CP:CP,$A:$A)=0,"×","√")),""))</f>
        <v/>
      </c>
      <c r="CP24" s="32" t="str">
        <f ca="1">IF($A24="","",IF(IF(CP$2&lt;=$A$1,1,0),IF(CP$4="休","",IF(COUNTIF(DATA!CQ:CQ,$A:$A)=0,"×","√")),""))</f>
        <v/>
      </c>
      <c r="CQ24" s="32" t="str">
        <f ca="1">IF($A24="","",IF(IF(CQ$2&lt;=$A$1,1,0),IF(CQ$4="休","",IF(COUNTIF(DATA!CR:CR,$A:$A)=0,"×","√")),""))</f>
        <v/>
      </c>
      <c r="CR24" s="32" t="str">
        <f ca="1">IF($A24="","",IF(IF(CR$2&lt;=$A$1,1,0),IF(CR$4="休","",IF(COUNTIF(DATA!CS:CS,$A:$A)=0,"×","√")),""))</f>
        <v/>
      </c>
    </row>
    <row r="25" s="26" customFormat="1" ht="18.75" spans="1:96">
      <c r="A25" s="32" t="str">
        <f>DATA!$A24&amp;""</f>
        <v>郭衍钢</v>
      </c>
      <c r="B25" s="32" t="str">
        <f ca="1">IF($A25="","",IF(IF(B$2&lt;=$A$1,1,0),IF(B$4="休","",IF(COUNTIF(DATA!C:C,$A:$A)=0,"×","√")),""))</f>
        <v>√</v>
      </c>
      <c r="C25" s="32" t="str">
        <f ca="1">IF($A25="","",IF(IF(C$2&lt;=$A$1,1,0),IF(C$4="休","",IF(COUNTIF(DATA!D:D,$A:$A)=0,"×","√")),""))</f>
        <v>√</v>
      </c>
      <c r="D25" s="32" t="str">
        <f ca="1">IF($A25="","",IF(IF(D$2&lt;=$A$1,1,0),IF(D$4="休","",IF(COUNTIF(DATA!E:E,$A:$A)=0,"×","√")),""))</f>
        <v>√</v>
      </c>
      <c r="E25" s="32" t="str">
        <f ca="1">IF($A25="","",IF(IF(E$2&lt;=$A$1,1,0),IF(E$4="休","",IF(COUNTIF(DATA!F:F,$A:$A)=0,"×","√")),""))</f>
        <v>√</v>
      </c>
      <c r="F25" s="32" t="str">
        <f ca="1">IF($A25="","",IF(IF(F$2&lt;=$A$1,1,0),IF(F$4="休","",IF(COUNTIF(DATA!G:G,$A:$A)=0,"×","√")),""))</f>
        <v>√</v>
      </c>
      <c r="G25" s="32" t="str">
        <f ca="1">IF($A25="","",IF(IF(G$2&lt;=$A$1,1,0),IF(G$4="休","",IF(COUNTIF(DATA!H:H,$A:$A)=0,"×","√")),""))</f>
        <v>√</v>
      </c>
      <c r="H25" s="32" t="str">
        <f ca="1">IF($A25="","",IF(IF(H$2&lt;=$A$1,1,0),IF(H$4="休","",IF(COUNTIF(DATA!I:I,$A:$A)=0,"×","√")),""))</f>
        <v>√</v>
      </c>
      <c r="I25" s="32" t="str">
        <f ca="1">IF($A25="","",IF(IF(I$2&lt;=$A$1,1,0),IF(I$4="休","",IF(COUNTIF(DATA!J:J,$A:$A)=0,"×","√")),""))</f>
        <v>√</v>
      </c>
      <c r="J25" s="32" t="str">
        <f ca="1">IF($A25="","",IF(IF(J$2&lt;=$A$1,1,0),IF(J$4="休","",IF(COUNTIF(DATA!K:K,$A:$A)=0,"×","√")),""))</f>
        <v/>
      </c>
      <c r="K25" s="32" t="str">
        <f ca="1">IF($A25="","",IF(IF(K$2&lt;=$A$1,1,0),IF(K$4="休","",IF(COUNTIF(DATA!L:L,$A:$A)=0,"×","√")),""))</f>
        <v/>
      </c>
      <c r="L25" s="32" t="str">
        <f ca="1">IF($A25="","",IF(IF(L$2&lt;=$A$1,1,0),IF(L$4="休","",IF(COUNTIF(DATA!M:M,$A:$A)=0,"×","√")),""))</f>
        <v/>
      </c>
      <c r="M25" s="32" t="str">
        <f ca="1">IF($A25="","",IF(IF(M$2&lt;=$A$1,1,0),IF(M$4="休","",IF(COUNTIF(DATA!N:N,$A:$A)=0,"×","√")),""))</f>
        <v/>
      </c>
      <c r="N25" s="32" t="str">
        <f ca="1">IF($A25="","",IF(IF(N$2&lt;=$A$1,1,0),IF(N$4="休","",IF(COUNTIF(DATA!O:O,$A:$A)=0,"×","√")),""))</f>
        <v/>
      </c>
      <c r="O25" s="32" t="str">
        <f ca="1">IF($A25="","",IF(IF(O$2&lt;=$A$1,1,0),IF(O$4="休","",IF(COUNTIF(DATA!P:P,$A:$A)=0,"×","√")),""))</f>
        <v/>
      </c>
      <c r="P25" s="32" t="str">
        <f ca="1">IF($A25="","",IF(IF(P$2&lt;=$A$1,1,0),IF(P$4="休","",IF(COUNTIF(DATA!Q:Q,$A:$A)=0,"×","√")),""))</f>
        <v/>
      </c>
      <c r="Q25" s="32" t="str">
        <f ca="1">IF($A25="","",IF(IF(Q$2&lt;=$A$1,1,0),IF(Q$4="休","",IF(COUNTIF(DATA!R:R,$A:$A)=0,"×","√")),""))</f>
        <v/>
      </c>
      <c r="R25" s="32" t="str">
        <f ca="1">IF($A25="","",IF(IF(R$2&lt;=$A$1,1,0),IF(R$4="休","",IF(COUNTIF(DATA!S:S,$A:$A)=0,"×","√")),""))</f>
        <v/>
      </c>
      <c r="S25" s="32" t="str">
        <f ca="1">IF($A25="","",IF(IF(S$2&lt;=$A$1,1,0),IF(S$4="休","",IF(COUNTIF(DATA!T:T,$A:$A)=0,"×","√")),""))</f>
        <v/>
      </c>
      <c r="T25" s="32" t="str">
        <f ca="1">IF($A25="","",IF(IF(T$2&lt;=$A$1,1,0),IF(T$4="休","",IF(COUNTIF(DATA!U:U,$A:$A)=0,"×","√")),""))</f>
        <v/>
      </c>
      <c r="U25" s="32" t="str">
        <f ca="1">IF($A25="","",IF(IF(U$2&lt;=$A$1,1,0),IF(U$4="休","",IF(COUNTIF(DATA!V:V,$A:$A)=0,"×","√")),""))</f>
        <v/>
      </c>
      <c r="V25" s="32" t="str">
        <f ca="1">IF($A25="","",IF(IF(V$2&lt;=$A$1,1,0),IF(V$4="休","",IF(COUNTIF(DATA!W:W,$A:$A)=0,"×","√")),""))</f>
        <v/>
      </c>
      <c r="W25" s="32" t="str">
        <f ca="1">IF($A25="","",IF(IF(W$2&lt;=$A$1,1,0),IF(W$4="休","",IF(COUNTIF(DATA!X:X,$A:$A)=0,"×","√")),""))</f>
        <v/>
      </c>
      <c r="X25" s="32" t="str">
        <f ca="1">IF($A25="","",IF(IF(X$2&lt;=$A$1,1,0),IF(X$4="休","",IF(COUNTIF(DATA!Y:Y,$A:$A)=0,"×","√")),""))</f>
        <v/>
      </c>
      <c r="Y25" s="32" t="str">
        <f ca="1">IF($A25="","",IF(IF(Y$2&lt;=$A$1,1,0),IF(Y$4="休","",IF(COUNTIF(DATA!Z:Z,$A:$A)=0,"×","√")),""))</f>
        <v/>
      </c>
      <c r="Z25" s="32" t="str">
        <f ca="1">IF($A25="","",IF(IF(Z$2&lt;=$A$1,1,0),IF(Z$4="休","",IF(COUNTIF(DATA!AA:AA,$A:$A)=0,"×","√")),""))</f>
        <v/>
      </c>
      <c r="AA25" s="32" t="str">
        <f ca="1">IF($A25="","",IF(IF(AA$2&lt;=$A$1,1,0),IF(AA$4="休","",IF(COUNTIF(DATA!AB:AB,$A:$A)=0,"×","√")),""))</f>
        <v/>
      </c>
      <c r="AB25" s="32" t="str">
        <f ca="1">IF($A25="","",IF(IF(AB$2&lt;=$A$1,1,0),IF(AB$4="休","",IF(COUNTIF(DATA!AC:AC,$A:$A)=0,"×","√")),""))</f>
        <v/>
      </c>
      <c r="AC25" s="32" t="str">
        <f ca="1">IF($A25="","",IF(IF(AC$2&lt;=$A$1,1,0),IF(AC$4="休","",IF(COUNTIF(DATA!AD:AD,$A:$A)=0,"×","√")),""))</f>
        <v/>
      </c>
      <c r="AD25" s="32" t="str">
        <f ca="1">IF($A25="","",IF(IF(AD$2&lt;=$A$1,1,0),IF(AD$4="休","",IF(COUNTIF(DATA!AE:AE,$A:$A)=0,"×","√")),""))</f>
        <v/>
      </c>
      <c r="AE25" s="32" t="str">
        <f ca="1">IF($A25="","",IF(IF(AE$2&lt;=$A$1,1,0),IF(AE$4="休","",IF(COUNTIF(DATA!AF:AF,$A:$A)=0,"×","√")),""))</f>
        <v/>
      </c>
      <c r="AF25" s="32" t="str">
        <f ca="1">IF($A25="","",IF(IF(AF$2&lt;=$A$1,1,0),IF(AF$4="休","",IF(COUNTIF(DATA!AG:AG,$A:$A)=0,"×","√")),""))</f>
        <v/>
      </c>
      <c r="AG25" s="32" t="str">
        <f ca="1">IF($A25="","",IF(IF(AG$2&lt;=$A$1,1,0),IF(AG$4="休","",IF(COUNTIF(DATA!AH:AH,$A:$A)=0,"×","√")),""))</f>
        <v/>
      </c>
      <c r="AH25" s="32" t="str">
        <f ca="1">IF($A25="","",IF(IF(AH$2&lt;=$A$1,1,0),IF(AH$4="休","",IF(COUNTIF(DATA!AI:AI,$A:$A)=0,"×","√")),""))</f>
        <v/>
      </c>
      <c r="AI25" s="32" t="str">
        <f ca="1">IF($A25="","",IF(IF(AI$2&lt;=$A$1,1,0),IF(AI$4="休","",IF(COUNTIF(DATA!AJ:AJ,$A:$A)=0,"×","√")),""))</f>
        <v/>
      </c>
      <c r="AJ25" s="32" t="str">
        <f ca="1">IF($A25="","",IF(IF(AJ$2&lt;=$A$1,1,0),IF(AJ$4="休","",IF(COUNTIF(DATA!AK:AK,$A:$A)=0,"×","√")),""))</f>
        <v/>
      </c>
      <c r="AK25" s="32" t="str">
        <f ca="1">IF($A25="","",IF(IF(AK$2&lt;=$A$1,1,0),IF(AK$4="休","",IF(COUNTIF(DATA!AL:AL,$A:$A)=0,"×","√")),""))</f>
        <v/>
      </c>
      <c r="AL25" s="32" t="str">
        <f ca="1">IF($A25="","",IF(IF(AL$2&lt;=$A$1,1,0),IF(AL$4="休","",IF(COUNTIF(DATA!AM:AM,$A:$A)=0,"×","√")),""))</f>
        <v/>
      </c>
      <c r="AM25" s="32" t="str">
        <f ca="1">IF($A25="","",IF(IF(AM$2&lt;=$A$1,1,0),IF(AM$4="休","",IF(COUNTIF(DATA!AN:AN,$A:$A)=0,"×","√")),""))</f>
        <v/>
      </c>
      <c r="AN25" s="32" t="str">
        <f ca="1">IF($A25="","",IF(IF(AN$2&lt;=$A$1,1,0),IF(AN$4="休","",IF(COUNTIF(DATA!AO:AO,$A:$A)=0,"×","√")),""))</f>
        <v/>
      </c>
      <c r="AO25" s="32" t="str">
        <f ca="1">IF($A25="","",IF(IF(AO$2&lt;=$A$1,1,0),IF(AO$4="休","",IF(COUNTIF(DATA!AP:AP,$A:$A)=0,"×","√")),""))</f>
        <v/>
      </c>
      <c r="AP25" s="32" t="str">
        <f ca="1">IF($A25="","",IF(IF(AP$2&lt;=$A$1,1,0),IF(AP$4="休","",IF(COUNTIF(DATA!AQ:AQ,$A:$A)=0,"×","√")),""))</f>
        <v/>
      </c>
      <c r="AQ25" s="32" t="str">
        <f ca="1">IF($A25="","",IF(IF(AQ$2&lt;=$A$1,1,0),IF(AQ$4="休","",IF(COUNTIF(DATA!AR:AR,$A:$A)=0,"×","√")),""))</f>
        <v/>
      </c>
      <c r="AR25" s="32" t="str">
        <f ca="1">IF($A25="","",IF(IF(AR$2&lt;=$A$1,1,0),IF(AR$4="休","",IF(COUNTIF(DATA!AS:AS,$A:$A)=0,"×","√")),""))</f>
        <v/>
      </c>
      <c r="AS25" s="32" t="str">
        <f ca="1">IF($A25="","",IF(IF(AS$2&lt;=$A$1,1,0),IF(AS$4="休","",IF(COUNTIF(DATA!AT:AT,$A:$A)=0,"×","√")),""))</f>
        <v/>
      </c>
      <c r="AT25" s="32" t="str">
        <f ca="1">IF($A25="","",IF(IF(AT$2&lt;=$A$1,1,0),IF(AT$4="休","",IF(COUNTIF(DATA!AU:AU,$A:$A)=0,"×","√")),""))</f>
        <v/>
      </c>
      <c r="AU25" s="32" t="str">
        <f ca="1">IF($A25="","",IF(IF(AU$2&lt;=$A$1,1,0),IF(AU$4="休","",IF(COUNTIF(DATA!AV:AV,$A:$A)=0,"×","√")),""))</f>
        <v/>
      </c>
      <c r="AV25" s="32" t="str">
        <f ca="1">IF($A25="","",IF(IF(AV$2&lt;=$A$1,1,0),IF(AV$4="休","",IF(COUNTIF(DATA!AW:AW,$A:$A)=0,"×","√")),""))</f>
        <v/>
      </c>
      <c r="AW25" s="32" t="str">
        <f ca="1">IF($A25="","",IF(IF(AW$2&lt;=$A$1,1,0),IF(AW$4="休","",IF(COUNTIF(DATA!AX:AX,$A:$A)=0,"×","√")),""))</f>
        <v/>
      </c>
      <c r="AX25" s="32" t="str">
        <f ca="1">IF($A25="","",IF(IF(AX$2&lt;=$A$1,1,0),IF(AX$4="休","",IF(COUNTIF(DATA!AY:AY,$A:$A)=0,"×","√")),""))</f>
        <v/>
      </c>
      <c r="AY25" s="32" t="str">
        <f ca="1">IF($A25="","",IF(IF(AY$2&lt;=$A$1,1,0),IF(AY$4="休","",IF(COUNTIF(DATA!AZ:AZ,$A:$A)=0,"×","√")),""))</f>
        <v/>
      </c>
      <c r="AZ25" s="32" t="str">
        <f ca="1">IF($A25="","",IF(IF(AZ$2&lt;=$A$1,1,0),IF(AZ$4="休","",IF(COUNTIF(DATA!BA:BA,$A:$A)=0,"×","√")),""))</f>
        <v/>
      </c>
      <c r="BA25" s="32" t="str">
        <f ca="1">IF($A25="","",IF(IF(BA$2&lt;=$A$1,1,0),IF(BA$4="休","",IF(COUNTIF(DATA!BB:BB,$A:$A)=0,"×","√")),""))</f>
        <v/>
      </c>
      <c r="BB25" s="32" t="str">
        <f ca="1">IF($A25="","",IF(IF(BB$2&lt;=$A$1,1,0),IF(BB$4="休","",IF(COUNTIF(DATA!BC:BC,$A:$A)=0,"×","√")),""))</f>
        <v/>
      </c>
      <c r="BC25" s="32" t="str">
        <f ca="1">IF($A25="","",IF(IF(BC$2&lt;=$A$1,1,0),IF(BC$4="休","",IF(COUNTIF(DATA!BD:BD,$A:$A)=0,"×","√")),""))</f>
        <v/>
      </c>
      <c r="BD25" s="32" t="str">
        <f ca="1">IF($A25="","",IF(IF(BD$2&lt;=$A$1,1,0),IF(BD$4="休","",IF(COUNTIF(DATA!BE:BE,$A:$A)=0,"×","√")),""))</f>
        <v/>
      </c>
      <c r="BE25" s="32" t="str">
        <f ca="1">IF($A25="","",IF(IF(BE$2&lt;=$A$1,1,0),IF(BE$4="休","",IF(COUNTIF(DATA!BF:BF,$A:$A)=0,"×","√")),""))</f>
        <v/>
      </c>
      <c r="BF25" s="32" t="str">
        <f ca="1">IF($A25="","",IF(IF(BF$2&lt;=$A$1,1,0),IF(BF$4="休","",IF(COUNTIF(DATA!BG:BG,$A:$A)=0,"×","√")),""))</f>
        <v/>
      </c>
      <c r="BG25" s="32" t="str">
        <f ca="1">IF($A25="","",IF(IF(BG$2&lt;=$A$1,1,0),IF(BG$4="休","",IF(COUNTIF(DATA!BH:BH,$A:$A)=0,"×","√")),""))</f>
        <v/>
      </c>
      <c r="BH25" s="32" t="str">
        <f ca="1">IF($A25="","",IF(IF(BH$2&lt;=$A$1,1,0),IF(BH$4="休","",IF(COUNTIF(DATA!BI:BI,$A:$A)=0,"×","√")),""))</f>
        <v/>
      </c>
      <c r="BI25" s="32" t="str">
        <f ca="1">IF($A25="","",IF(IF(BI$2&lt;=$A$1,1,0),IF(BI$4="休","",IF(COUNTIF(DATA!BJ:BJ,$A:$A)=0,"×","√")),""))</f>
        <v/>
      </c>
      <c r="BJ25" s="32" t="str">
        <f ca="1">IF($A25="","",IF(IF(BJ$2&lt;=$A$1,1,0),IF(BJ$4="休","",IF(COUNTIF(DATA!BK:BK,$A:$A)=0,"×","√")),""))</f>
        <v/>
      </c>
      <c r="BK25" s="32" t="str">
        <f ca="1">IF($A25="","",IF(IF(BK$2&lt;=$A$1,1,0),IF(BK$4="休","",IF(COUNTIF(DATA!BL:BL,$A:$A)=0,"×","√")),""))</f>
        <v/>
      </c>
      <c r="BL25" s="32" t="str">
        <f ca="1">IF($A25="","",IF(IF(BL$2&lt;=$A$1,1,0),IF(BL$4="休","",IF(COUNTIF(DATA!BM:BM,$A:$A)=0,"×","√")),""))</f>
        <v/>
      </c>
      <c r="BM25" s="32" t="str">
        <f ca="1">IF($A25="","",IF(IF(BM$2&lt;=$A$1,1,0),IF(BM$4="休","",IF(COUNTIF(DATA!BN:BN,$A:$A)=0,"×","√")),""))</f>
        <v/>
      </c>
      <c r="BN25" s="32" t="str">
        <f ca="1">IF($A25="","",IF(IF(BN$2&lt;=$A$1,1,0),IF(BN$4="休","",IF(COUNTIF(DATA!BO:BO,$A:$A)=0,"×","√")),""))</f>
        <v/>
      </c>
      <c r="BO25" s="32" t="str">
        <f ca="1">IF($A25="","",IF(IF(BO$2&lt;=$A$1,1,0),IF(BO$4="休","",IF(COUNTIF(DATA!BP:BP,$A:$A)=0,"×","√")),""))</f>
        <v/>
      </c>
      <c r="BP25" s="32" t="str">
        <f ca="1">IF($A25="","",IF(IF(BP$2&lt;=$A$1,1,0),IF(BP$4="休","",IF(COUNTIF(DATA!BQ:BQ,$A:$A)=0,"×","√")),""))</f>
        <v/>
      </c>
      <c r="BQ25" s="32" t="str">
        <f ca="1">IF($A25="","",IF(IF(BQ$2&lt;=$A$1,1,0),IF(BQ$4="休","",IF(COUNTIF(DATA!BR:BR,$A:$A)=0,"×","√")),""))</f>
        <v/>
      </c>
      <c r="BR25" s="32" t="str">
        <f ca="1">IF($A25="","",IF(IF(BR$2&lt;=$A$1,1,0),IF(BR$4="休","",IF(COUNTIF(DATA!BS:BS,$A:$A)=0,"×","√")),""))</f>
        <v/>
      </c>
      <c r="BS25" s="32" t="str">
        <f ca="1">IF($A25="","",IF(IF(BS$2&lt;=$A$1,1,0),IF(BS$4="休","",IF(COUNTIF(DATA!BT:BT,$A:$A)=0,"×","√")),""))</f>
        <v/>
      </c>
      <c r="BT25" s="32" t="str">
        <f ca="1">IF($A25="","",IF(IF(BT$2&lt;=$A$1,1,0),IF(BT$4="休","",IF(COUNTIF(DATA!BU:BU,$A:$A)=0,"×","√")),""))</f>
        <v/>
      </c>
      <c r="BU25" s="32" t="str">
        <f ca="1">IF($A25="","",IF(IF(BU$2&lt;=$A$1,1,0),IF(BU$4="休","",IF(COUNTIF(DATA!BV:BV,$A:$A)=0,"×","√")),""))</f>
        <v/>
      </c>
      <c r="BV25" s="32" t="str">
        <f ca="1">IF($A25="","",IF(IF(BV$2&lt;=$A$1,1,0),IF(BV$4="休","",IF(COUNTIF(DATA!BW:BW,$A:$A)=0,"×","√")),""))</f>
        <v/>
      </c>
      <c r="BW25" s="32" t="str">
        <f ca="1">IF($A25="","",IF(IF(BW$2&lt;=$A$1,1,0),IF(BW$4="休","",IF(COUNTIF(DATA!BX:BX,$A:$A)=0,"×","√")),""))</f>
        <v/>
      </c>
      <c r="BX25" s="32" t="str">
        <f ca="1">IF($A25="","",IF(IF(BX$2&lt;=$A$1,1,0),IF(BX$4="休","",IF(COUNTIF(DATA!BY:BY,$A:$A)=0,"×","√")),""))</f>
        <v/>
      </c>
      <c r="BY25" s="32" t="str">
        <f ca="1">IF($A25="","",IF(IF(BY$2&lt;=$A$1,1,0),IF(BY$4="休","",IF(COUNTIF(DATA!BZ:BZ,$A:$A)=0,"×","√")),""))</f>
        <v/>
      </c>
      <c r="BZ25" s="32" t="str">
        <f ca="1">IF($A25="","",IF(IF(BZ$2&lt;=$A$1,1,0),IF(BZ$4="休","",IF(COUNTIF(DATA!CA:CA,$A:$A)=0,"×","√")),""))</f>
        <v/>
      </c>
      <c r="CA25" s="32" t="str">
        <f ca="1">IF($A25="","",IF(IF(CA$2&lt;=$A$1,1,0),IF(CA$4="休","",IF(COUNTIF(DATA!CB:CB,$A:$A)=0,"×","√")),""))</f>
        <v/>
      </c>
      <c r="CB25" s="32" t="str">
        <f ca="1">IF($A25="","",IF(IF(CB$2&lt;=$A$1,1,0),IF(CB$4="休","",IF(COUNTIF(DATA!CC:CC,$A:$A)=0,"×","√")),""))</f>
        <v/>
      </c>
      <c r="CC25" s="32" t="str">
        <f ca="1">IF($A25="","",IF(IF(CC$2&lt;=$A$1,1,0),IF(CC$4="休","",IF(COUNTIF(DATA!CD:CD,$A:$A)=0,"×","√")),""))</f>
        <v/>
      </c>
      <c r="CD25" s="32" t="str">
        <f ca="1">IF($A25="","",IF(IF(CD$2&lt;=$A$1,1,0),IF(CD$4="休","",IF(COUNTIF(DATA!CE:CE,$A:$A)=0,"×","√")),""))</f>
        <v/>
      </c>
      <c r="CE25" s="32" t="str">
        <f ca="1">IF($A25="","",IF(IF(CE$2&lt;=$A$1,1,0),IF(CE$4="休","",IF(COUNTIF(DATA!CF:CF,$A:$A)=0,"×","√")),""))</f>
        <v/>
      </c>
      <c r="CF25" s="32" t="str">
        <f ca="1">IF($A25="","",IF(IF(CF$2&lt;=$A$1,1,0),IF(CF$4="休","",IF(COUNTIF(DATA!CG:CG,$A:$A)=0,"×","√")),""))</f>
        <v/>
      </c>
      <c r="CG25" s="32" t="str">
        <f ca="1">IF($A25="","",IF(IF(CG$2&lt;=$A$1,1,0),IF(CG$4="休","",IF(COUNTIF(DATA!CH:CH,$A:$A)=0,"×","√")),""))</f>
        <v/>
      </c>
      <c r="CH25" s="32" t="str">
        <f ca="1">IF($A25="","",IF(IF(CH$2&lt;=$A$1,1,0),IF(CH$4="休","",IF(COUNTIF(DATA!CI:CI,$A:$A)=0,"×","√")),""))</f>
        <v/>
      </c>
      <c r="CI25" s="32" t="str">
        <f ca="1">IF($A25="","",IF(IF(CI$2&lt;=$A$1,1,0),IF(CI$4="休","",IF(COUNTIF(DATA!CJ:CJ,$A:$A)=0,"×","√")),""))</f>
        <v/>
      </c>
      <c r="CJ25" s="32" t="str">
        <f ca="1">IF($A25="","",IF(IF(CJ$2&lt;=$A$1,1,0),IF(CJ$4="休","",IF(COUNTIF(DATA!CK:CK,$A:$A)=0,"×","√")),""))</f>
        <v/>
      </c>
      <c r="CK25" s="32" t="str">
        <f ca="1">IF($A25="","",IF(IF(CK$2&lt;=$A$1,1,0),IF(CK$4="休","",IF(COUNTIF(DATA!CL:CL,$A:$A)=0,"×","√")),""))</f>
        <v/>
      </c>
      <c r="CL25" s="32" t="str">
        <f ca="1">IF($A25="","",IF(IF(CL$2&lt;=$A$1,1,0),IF(CL$4="休","",IF(COUNTIF(DATA!CM:CM,$A:$A)=0,"×","√")),""))</f>
        <v/>
      </c>
      <c r="CM25" s="32" t="str">
        <f ca="1">IF($A25="","",IF(IF(CM$2&lt;=$A$1,1,0),IF(CM$4="休","",IF(COUNTIF(DATA!CN:CN,$A:$A)=0,"×","√")),""))</f>
        <v/>
      </c>
      <c r="CN25" s="32" t="str">
        <f ca="1">IF($A25="","",IF(IF(CN$2&lt;=$A$1,1,0),IF(CN$4="休","",IF(COUNTIF(DATA!CO:CO,$A:$A)=0,"×","√")),""))</f>
        <v/>
      </c>
      <c r="CO25" s="32" t="str">
        <f ca="1">IF($A25="","",IF(IF(CO$2&lt;=$A$1,1,0),IF(CO$4="休","",IF(COUNTIF(DATA!CP:CP,$A:$A)=0,"×","√")),""))</f>
        <v/>
      </c>
      <c r="CP25" s="32" t="str">
        <f ca="1">IF($A25="","",IF(IF(CP$2&lt;=$A$1,1,0),IF(CP$4="休","",IF(COUNTIF(DATA!CQ:CQ,$A:$A)=0,"×","√")),""))</f>
        <v/>
      </c>
      <c r="CQ25" s="32" t="str">
        <f ca="1">IF($A25="","",IF(IF(CQ$2&lt;=$A$1,1,0),IF(CQ$4="休","",IF(COUNTIF(DATA!CR:CR,$A:$A)=0,"×","√")),""))</f>
        <v/>
      </c>
      <c r="CR25" s="32" t="str">
        <f ca="1">IF($A25="","",IF(IF(CR$2&lt;=$A$1,1,0),IF(CR$4="休","",IF(COUNTIF(DATA!CS:CS,$A:$A)=0,"×","√")),""))</f>
        <v/>
      </c>
    </row>
    <row r="26" s="26" customFormat="1" ht="18.75" spans="1:96">
      <c r="A26" s="32" t="str">
        <f>DATA!$A25&amp;""</f>
        <v>张扬</v>
      </c>
      <c r="B26" s="32" t="str">
        <f ca="1">IF($A26="","",IF(IF(B$2&lt;=$A$1,1,0),IF(B$4="休","",IF(COUNTIF(DATA!C:C,$A:$A)=0,"×","√")),""))</f>
        <v>√</v>
      </c>
      <c r="C26" s="32" t="str">
        <f ca="1">IF($A26="","",IF(IF(C$2&lt;=$A$1,1,0),IF(C$4="休","",IF(COUNTIF(DATA!D:D,$A:$A)=0,"×","√")),""))</f>
        <v>√</v>
      </c>
      <c r="D26" s="32" t="str">
        <f ca="1">IF($A26="","",IF(IF(D$2&lt;=$A$1,1,0),IF(D$4="休","",IF(COUNTIF(DATA!E:E,$A:$A)=0,"×","√")),""))</f>
        <v>√</v>
      </c>
      <c r="E26" s="32" t="str">
        <f ca="1">IF($A26="","",IF(IF(E$2&lt;=$A$1,1,0),IF(E$4="休","",IF(COUNTIF(DATA!F:F,$A:$A)=0,"×","√")),""))</f>
        <v>√</v>
      </c>
      <c r="F26" s="32" t="str">
        <f ca="1">IF($A26="","",IF(IF(F$2&lt;=$A$1,1,0),IF(F$4="休","",IF(COUNTIF(DATA!G:G,$A:$A)=0,"×","√")),""))</f>
        <v>√</v>
      </c>
      <c r="G26" s="32" t="str">
        <f ca="1">IF($A26="","",IF(IF(G$2&lt;=$A$1,1,0),IF(G$4="休","",IF(COUNTIF(DATA!H:H,$A:$A)=0,"×","√")),""))</f>
        <v>√</v>
      </c>
      <c r="H26" s="32" t="str">
        <f ca="1">IF($A26="","",IF(IF(H$2&lt;=$A$1,1,0),IF(H$4="休","",IF(COUNTIF(DATA!I:I,$A:$A)=0,"×","√")),""))</f>
        <v>√</v>
      </c>
      <c r="I26" s="32" t="str">
        <f ca="1">IF($A26="","",IF(IF(I$2&lt;=$A$1,1,0),IF(I$4="休","",IF(COUNTIF(DATA!J:J,$A:$A)=0,"×","√")),""))</f>
        <v>√</v>
      </c>
      <c r="J26" s="32" t="str">
        <f ca="1">IF($A26="","",IF(IF(J$2&lt;=$A$1,1,0),IF(J$4="休","",IF(COUNTIF(DATA!K:K,$A:$A)=0,"×","√")),""))</f>
        <v/>
      </c>
      <c r="K26" s="32" t="str">
        <f ca="1">IF($A26="","",IF(IF(K$2&lt;=$A$1,1,0),IF(K$4="休","",IF(COUNTIF(DATA!L:L,$A:$A)=0,"×","√")),""))</f>
        <v/>
      </c>
      <c r="L26" s="32" t="str">
        <f ca="1">IF($A26="","",IF(IF(L$2&lt;=$A$1,1,0),IF(L$4="休","",IF(COUNTIF(DATA!M:M,$A:$A)=0,"×","√")),""))</f>
        <v/>
      </c>
      <c r="M26" s="32" t="str">
        <f ca="1">IF($A26="","",IF(IF(M$2&lt;=$A$1,1,0),IF(M$4="休","",IF(COUNTIF(DATA!N:N,$A:$A)=0,"×","√")),""))</f>
        <v/>
      </c>
      <c r="N26" s="32" t="str">
        <f ca="1">IF($A26="","",IF(IF(N$2&lt;=$A$1,1,0),IF(N$4="休","",IF(COUNTIF(DATA!O:O,$A:$A)=0,"×","√")),""))</f>
        <v/>
      </c>
      <c r="O26" s="32" t="str">
        <f ca="1">IF($A26="","",IF(IF(O$2&lt;=$A$1,1,0),IF(O$4="休","",IF(COUNTIF(DATA!P:P,$A:$A)=0,"×","√")),""))</f>
        <v/>
      </c>
      <c r="P26" s="32" t="str">
        <f ca="1">IF($A26="","",IF(IF(P$2&lt;=$A$1,1,0),IF(P$4="休","",IF(COUNTIF(DATA!Q:Q,$A:$A)=0,"×","√")),""))</f>
        <v/>
      </c>
      <c r="Q26" s="32" t="str">
        <f ca="1">IF($A26="","",IF(IF(Q$2&lt;=$A$1,1,0),IF(Q$4="休","",IF(COUNTIF(DATA!R:R,$A:$A)=0,"×","√")),""))</f>
        <v/>
      </c>
      <c r="R26" s="32" t="str">
        <f ca="1">IF($A26="","",IF(IF(R$2&lt;=$A$1,1,0),IF(R$4="休","",IF(COUNTIF(DATA!S:S,$A:$A)=0,"×","√")),""))</f>
        <v/>
      </c>
      <c r="S26" s="32" t="str">
        <f ca="1">IF($A26="","",IF(IF(S$2&lt;=$A$1,1,0),IF(S$4="休","",IF(COUNTIF(DATA!T:T,$A:$A)=0,"×","√")),""))</f>
        <v/>
      </c>
      <c r="T26" s="32" t="str">
        <f ca="1">IF($A26="","",IF(IF(T$2&lt;=$A$1,1,0),IF(T$4="休","",IF(COUNTIF(DATA!U:U,$A:$A)=0,"×","√")),""))</f>
        <v/>
      </c>
      <c r="U26" s="32" t="str">
        <f ca="1">IF($A26="","",IF(IF(U$2&lt;=$A$1,1,0),IF(U$4="休","",IF(COUNTIF(DATA!V:V,$A:$A)=0,"×","√")),""))</f>
        <v/>
      </c>
      <c r="V26" s="32" t="str">
        <f ca="1">IF($A26="","",IF(IF(V$2&lt;=$A$1,1,0),IF(V$4="休","",IF(COUNTIF(DATA!W:W,$A:$A)=0,"×","√")),""))</f>
        <v/>
      </c>
      <c r="W26" s="32" t="str">
        <f ca="1">IF($A26="","",IF(IF(W$2&lt;=$A$1,1,0),IF(W$4="休","",IF(COUNTIF(DATA!X:X,$A:$A)=0,"×","√")),""))</f>
        <v/>
      </c>
      <c r="X26" s="32" t="str">
        <f ca="1">IF($A26="","",IF(IF(X$2&lt;=$A$1,1,0),IF(X$4="休","",IF(COUNTIF(DATA!Y:Y,$A:$A)=0,"×","√")),""))</f>
        <v/>
      </c>
      <c r="Y26" s="32" t="str">
        <f ca="1">IF($A26="","",IF(IF(Y$2&lt;=$A$1,1,0),IF(Y$4="休","",IF(COUNTIF(DATA!Z:Z,$A:$A)=0,"×","√")),""))</f>
        <v/>
      </c>
      <c r="Z26" s="32" t="str">
        <f ca="1">IF($A26="","",IF(IF(Z$2&lt;=$A$1,1,0),IF(Z$4="休","",IF(COUNTIF(DATA!AA:AA,$A:$A)=0,"×","√")),""))</f>
        <v/>
      </c>
      <c r="AA26" s="32" t="str">
        <f ca="1">IF($A26="","",IF(IF(AA$2&lt;=$A$1,1,0),IF(AA$4="休","",IF(COUNTIF(DATA!AB:AB,$A:$A)=0,"×","√")),""))</f>
        <v/>
      </c>
      <c r="AB26" s="32" t="str">
        <f ca="1">IF($A26="","",IF(IF(AB$2&lt;=$A$1,1,0),IF(AB$4="休","",IF(COUNTIF(DATA!AC:AC,$A:$A)=0,"×","√")),""))</f>
        <v/>
      </c>
      <c r="AC26" s="32" t="str">
        <f ca="1">IF($A26="","",IF(IF(AC$2&lt;=$A$1,1,0),IF(AC$4="休","",IF(COUNTIF(DATA!AD:AD,$A:$A)=0,"×","√")),""))</f>
        <v/>
      </c>
      <c r="AD26" s="32" t="str">
        <f ca="1">IF($A26="","",IF(IF(AD$2&lt;=$A$1,1,0),IF(AD$4="休","",IF(COUNTIF(DATA!AE:AE,$A:$A)=0,"×","√")),""))</f>
        <v/>
      </c>
      <c r="AE26" s="32" t="str">
        <f ca="1">IF($A26="","",IF(IF(AE$2&lt;=$A$1,1,0),IF(AE$4="休","",IF(COUNTIF(DATA!AF:AF,$A:$A)=0,"×","√")),""))</f>
        <v/>
      </c>
      <c r="AF26" s="32" t="str">
        <f ca="1">IF($A26="","",IF(IF(AF$2&lt;=$A$1,1,0),IF(AF$4="休","",IF(COUNTIF(DATA!AG:AG,$A:$A)=0,"×","√")),""))</f>
        <v/>
      </c>
      <c r="AG26" s="32" t="str">
        <f ca="1">IF($A26="","",IF(IF(AG$2&lt;=$A$1,1,0),IF(AG$4="休","",IF(COUNTIF(DATA!AH:AH,$A:$A)=0,"×","√")),""))</f>
        <v/>
      </c>
      <c r="AH26" s="32" t="str">
        <f ca="1">IF($A26="","",IF(IF(AH$2&lt;=$A$1,1,0),IF(AH$4="休","",IF(COUNTIF(DATA!AI:AI,$A:$A)=0,"×","√")),""))</f>
        <v/>
      </c>
      <c r="AI26" s="32" t="str">
        <f ca="1">IF($A26="","",IF(IF(AI$2&lt;=$A$1,1,0),IF(AI$4="休","",IF(COUNTIF(DATA!AJ:AJ,$A:$A)=0,"×","√")),""))</f>
        <v/>
      </c>
      <c r="AJ26" s="32" t="str">
        <f ca="1">IF($A26="","",IF(IF(AJ$2&lt;=$A$1,1,0),IF(AJ$4="休","",IF(COUNTIF(DATA!AK:AK,$A:$A)=0,"×","√")),""))</f>
        <v/>
      </c>
      <c r="AK26" s="32" t="str">
        <f ca="1">IF($A26="","",IF(IF(AK$2&lt;=$A$1,1,0),IF(AK$4="休","",IF(COUNTIF(DATA!AL:AL,$A:$A)=0,"×","√")),""))</f>
        <v/>
      </c>
      <c r="AL26" s="32" t="str">
        <f ca="1">IF($A26="","",IF(IF(AL$2&lt;=$A$1,1,0),IF(AL$4="休","",IF(COUNTIF(DATA!AM:AM,$A:$A)=0,"×","√")),""))</f>
        <v/>
      </c>
      <c r="AM26" s="32" t="str">
        <f ca="1">IF($A26="","",IF(IF(AM$2&lt;=$A$1,1,0),IF(AM$4="休","",IF(COUNTIF(DATA!AN:AN,$A:$A)=0,"×","√")),""))</f>
        <v/>
      </c>
      <c r="AN26" s="32" t="str">
        <f ca="1">IF($A26="","",IF(IF(AN$2&lt;=$A$1,1,0),IF(AN$4="休","",IF(COUNTIF(DATA!AO:AO,$A:$A)=0,"×","√")),""))</f>
        <v/>
      </c>
      <c r="AO26" s="32" t="str">
        <f ca="1">IF($A26="","",IF(IF(AO$2&lt;=$A$1,1,0),IF(AO$4="休","",IF(COUNTIF(DATA!AP:AP,$A:$A)=0,"×","√")),""))</f>
        <v/>
      </c>
      <c r="AP26" s="32" t="str">
        <f ca="1">IF($A26="","",IF(IF(AP$2&lt;=$A$1,1,0),IF(AP$4="休","",IF(COUNTIF(DATA!AQ:AQ,$A:$A)=0,"×","√")),""))</f>
        <v/>
      </c>
      <c r="AQ26" s="32" t="str">
        <f ca="1">IF($A26="","",IF(IF(AQ$2&lt;=$A$1,1,0),IF(AQ$4="休","",IF(COUNTIF(DATA!AR:AR,$A:$A)=0,"×","√")),""))</f>
        <v/>
      </c>
      <c r="AR26" s="32" t="str">
        <f ca="1">IF($A26="","",IF(IF(AR$2&lt;=$A$1,1,0),IF(AR$4="休","",IF(COUNTIF(DATA!AS:AS,$A:$A)=0,"×","√")),""))</f>
        <v/>
      </c>
      <c r="AS26" s="32" t="str">
        <f ca="1">IF($A26="","",IF(IF(AS$2&lt;=$A$1,1,0),IF(AS$4="休","",IF(COUNTIF(DATA!AT:AT,$A:$A)=0,"×","√")),""))</f>
        <v/>
      </c>
      <c r="AT26" s="32" t="str">
        <f ca="1">IF($A26="","",IF(IF(AT$2&lt;=$A$1,1,0),IF(AT$4="休","",IF(COUNTIF(DATA!AU:AU,$A:$A)=0,"×","√")),""))</f>
        <v/>
      </c>
      <c r="AU26" s="32" t="str">
        <f ca="1">IF($A26="","",IF(IF(AU$2&lt;=$A$1,1,0),IF(AU$4="休","",IF(COUNTIF(DATA!AV:AV,$A:$A)=0,"×","√")),""))</f>
        <v/>
      </c>
      <c r="AV26" s="32" t="str">
        <f ca="1">IF($A26="","",IF(IF(AV$2&lt;=$A$1,1,0),IF(AV$4="休","",IF(COUNTIF(DATA!AW:AW,$A:$A)=0,"×","√")),""))</f>
        <v/>
      </c>
      <c r="AW26" s="32" t="str">
        <f ca="1">IF($A26="","",IF(IF(AW$2&lt;=$A$1,1,0),IF(AW$4="休","",IF(COUNTIF(DATA!AX:AX,$A:$A)=0,"×","√")),""))</f>
        <v/>
      </c>
      <c r="AX26" s="32" t="str">
        <f ca="1">IF($A26="","",IF(IF(AX$2&lt;=$A$1,1,0),IF(AX$4="休","",IF(COUNTIF(DATA!AY:AY,$A:$A)=0,"×","√")),""))</f>
        <v/>
      </c>
      <c r="AY26" s="32" t="str">
        <f ca="1">IF($A26="","",IF(IF(AY$2&lt;=$A$1,1,0),IF(AY$4="休","",IF(COUNTIF(DATA!AZ:AZ,$A:$A)=0,"×","√")),""))</f>
        <v/>
      </c>
      <c r="AZ26" s="32" t="str">
        <f ca="1">IF($A26="","",IF(IF(AZ$2&lt;=$A$1,1,0),IF(AZ$4="休","",IF(COUNTIF(DATA!BA:BA,$A:$A)=0,"×","√")),""))</f>
        <v/>
      </c>
      <c r="BA26" s="32" t="str">
        <f ca="1">IF($A26="","",IF(IF(BA$2&lt;=$A$1,1,0),IF(BA$4="休","",IF(COUNTIF(DATA!BB:BB,$A:$A)=0,"×","√")),""))</f>
        <v/>
      </c>
      <c r="BB26" s="32" t="str">
        <f ca="1">IF($A26="","",IF(IF(BB$2&lt;=$A$1,1,0),IF(BB$4="休","",IF(COUNTIF(DATA!BC:BC,$A:$A)=0,"×","√")),""))</f>
        <v/>
      </c>
      <c r="BC26" s="32" t="str">
        <f ca="1">IF($A26="","",IF(IF(BC$2&lt;=$A$1,1,0),IF(BC$4="休","",IF(COUNTIF(DATA!BD:BD,$A:$A)=0,"×","√")),""))</f>
        <v/>
      </c>
      <c r="BD26" s="32" t="str">
        <f ca="1">IF($A26="","",IF(IF(BD$2&lt;=$A$1,1,0),IF(BD$4="休","",IF(COUNTIF(DATA!BE:BE,$A:$A)=0,"×","√")),""))</f>
        <v/>
      </c>
      <c r="BE26" s="32" t="str">
        <f ca="1">IF($A26="","",IF(IF(BE$2&lt;=$A$1,1,0),IF(BE$4="休","",IF(COUNTIF(DATA!BF:BF,$A:$A)=0,"×","√")),""))</f>
        <v/>
      </c>
      <c r="BF26" s="32" t="str">
        <f ca="1">IF($A26="","",IF(IF(BF$2&lt;=$A$1,1,0),IF(BF$4="休","",IF(COUNTIF(DATA!BG:BG,$A:$A)=0,"×","√")),""))</f>
        <v/>
      </c>
      <c r="BG26" s="32" t="str">
        <f ca="1">IF($A26="","",IF(IF(BG$2&lt;=$A$1,1,0),IF(BG$4="休","",IF(COUNTIF(DATA!BH:BH,$A:$A)=0,"×","√")),""))</f>
        <v/>
      </c>
      <c r="BH26" s="32" t="str">
        <f ca="1">IF($A26="","",IF(IF(BH$2&lt;=$A$1,1,0),IF(BH$4="休","",IF(COUNTIF(DATA!BI:BI,$A:$A)=0,"×","√")),""))</f>
        <v/>
      </c>
      <c r="BI26" s="32" t="str">
        <f ca="1">IF($A26="","",IF(IF(BI$2&lt;=$A$1,1,0),IF(BI$4="休","",IF(COUNTIF(DATA!BJ:BJ,$A:$A)=0,"×","√")),""))</f>
        <v/>
      </c>
      <c r="BJ26" s="32" t="str">
        <f ca="1">IF($A26="","",IF(IF(BJ$2&lt;=$A$1,1,0),IF(BJ$4="休","",IF(COUNTIF(DATA!BK:BK,$A:$A)=0,"×","√")),""))</f>
        <v/>
      </c>
      <c r="BK26" s="32" t="str">
        <f ca="1">IF($A26="","",IF(IF(BK$2&lt;=$A$1,1,0),IF(BK$4="休","",IF(COUNTIF(DATA!BL:BL,$A:$A)=0,"×","√")),""))</f>
        <v/>
      </c>
      <c r="BL26" s="32" t="str">
        <f ca="1">IF($A26="","",IF(IF(BL$2&lt;=$A$1,1,0),IF(BL$4="休","",IF(COUNTIF(DATA!BM:BM,$A:$A)=0,"×","√")),""))</f>
        <v/>
      </c>
      <c r="BM26" s="32" t="str">
        <f ca="1">IF($A26="","",IF(IF(BM$2&lt;=$A$1,1,0),IF(BM$4="休","",IF(COUNTIF(DATA!BN:BN,$A:$A)=0,"×","√")),""))</f>
        <v/>
      </c>
      <c r="BN26" s="32" t="str">
        <f ca="1">IF($A26="","",IF(IF(BN$2&lt;=$A$1,1,0),IF(BN$4="休","",IF(COUNTIF(DATA!BO:BO,$A:$A)=0,"×","√")),""))</f>
        <v/>
      </c>
      <c r="BO26" s="32" t="str">
        <f ca="1">IF($A26="","",IF(IF(BO$2&lt;=$A$1,1,0),IF(BO$4="休","",IF(COUNTIF(DATA!BP:BP,$A:$A)=0,"×","√")),""))</f>
        <v/>
      </c>
      <c r="BP26" s="32" t="str">
        <f ca="1">IF($A26="","",IF(IF(BP$2&lt;=$A$1,1,0),IF(BP$4="休","",IF(COUNTIF(DATA!BQ:BQ,$A:$A)=0,"×","√")),""))</f>
        <v/>
      </c>
      <c r="BQ26" s="32" t="str">
        <f ca="1">IF($A26="","",IF(IF(BQ$2&lt;=$A$1,1,0),IF(BQ$4="休","",IF(COUNTIF(DATA!BR:BR,$A:$A)=0,"×","√")),""))</f>
        <v/>
      </c>
      <c r="BR26" s="32" t="str">
        <f ca="1">IF($A26="","",IF(IF(BR$2&lt;=$A$1,1,0),IF(BR$4="休","",IF(COUNTIF(DATA!BS:BS,$A:$A)=0,"×","√")),""))</f>
        <v/>
      </c>
      <c r="BS26" s="32" t="str">
        <f ca="1">IF($A26="","",IF(IF(BS$2&lt;=$A$1,1,0),IF(BS$4="休","",IF(COUNTIF(DATA!BT:BT,$A:$A)=0,"×","√")),""))</f>
        <v/>
      </c>
      <c r="BT26" s="32" t="str">
        <f ca="1">IF($A26="","",IF(IF(BT$2&lt;=$A$1,1,0),IF(BT$4="休","",IF(COUNTIF(DATA!BU:BU,$A:$A)=0,"×","√")),""))</f>
        <v/>
      </c>
      <c r="BU26" s="32" t="str">
        <f ca="1">IF($A26="","",IF(IF(BU$2&lt;=$A$1,1,0),IF(BU$4="休","",IF(COUNTIF(DATA!BV:BV,$A:$A)=0,"×","√")),""))</f>
        <v/>
      </c>
      <c r="BV26" s="32" t="str">
        <f ca="1">IF($A26="","",IF(IF(BV$2&lt;=$A$1,1,0),IF(BV$4="休","",IF(COUNTIF(DATA!BW:BW,$A:$A)=0,"×","√")),""))</f>
        <v/>
      </c>
      <c r="BW26" s="32" t="str">
        <f ca="1">IF($A26="","",IF(IF(BW$2&lt;=$A$1,1,0),IF(BW$4="休","",IF(COUNTIF(DATA!BX:BX,$A:$A)=0,"×","√")),""))</f>
        <v/>
      </c>
      <c r="BX26" s="32" t="str">
        <f ca="1">IF($A26="","",IF(IF(BX$2&lt;=$A$1,1,0),IF(BX$4="休","",IF(COUNTIF(DATA!BY:BY,$A:$A)=0,"×","√")),""))</f>
        <v/>
      </c>
      <c r="BY26" s="32" t="str">
        <f ca="1">IF($A26="","",IF(IF(BY$2&lt;=$A$1,1,0),IF(BY$4="休","",IF(COUNTIF(DATA!BZ:BZ,$A:$A)=0,"×","√")),""))</f>
        <v/>
      </c>
      <c r="BZ26" s="32" t="str">
        <f ca="1">IF($A26="","",IF(IF(BZ$2&lt;=$A$1,1,0),IF(BZ$4="休","",IF(COUNTIF(DATA!CA:CA,$A:$A)=0,"×","√")),""))</f>
        <v/>
      </c>
      <c r="CA26" s="32" t="str">
        <f ca="1">IF($A26="","",IF(IF(CA$2&lt;=$A$1,1,0),IF(CA$4="休","",IF(COUNTIF(DATA!CB:CB,$A:$A)=0,"×","√")),""))</f>
        <v/>
      </c>
      <c r="CB26" s="32" t="str">
        <f ca="1">IF($A26="","",IF(IF(CB$2&lt;=$A$1,1,0),IF(CB$4="休","",IF(COUNTIF(DATA!CC:CC,$A:$A)=0,"×","√")),""))</f>
        <v/>
      </c>
      <c r="CC26" s="32" t="str">
        <f ca="1">IF($A26="","",IF(IF(CC$2&lt;=$A$1,1,0),IF(CC$4="休","",IF(COUNTIF(DATA!CD:CD,$A:$A)=0,"×","√")),""))</f>
        <v/>
      </c>
      <c r="CD26" s="32" t="str">
        <f ca="1">IF($A26="","",IF(IF(CD$2&lt;=$A$1,1,0),IF(CD$4="休","",IF(COUNTIF(DATA!CE:CE,$A:$A)=0,"×","√")),""))</f>
        <v/>
      </c>
      <c r="CE26" s="32" t="str">
        <f ca="1">IF($A26="","",IF(IF(CE$2&lt;=$A$1,1,0),IF(CE$4="休","",IF(COUNTIF(DATA!CF:CF,$A:$A)=0,"×","√")),""))</f>
        <v/>
      </c>
      <c r="CF26" s="32" t="str">
        <f ca="1">IF($A26="","",IF(IF(CF$2&lt;=$A$1,1,0),IF(CF$4="休","",IF(COUNTIF(DATA!CG:CG,$A:$A)=0,"×","√")),""))</f>
        <v/>
      </c>
      <c r="CG26" s="32" t="str">
        <f ca="1">IF($A26="","",IF(IF(CG$2&lt;=$A$1,1,0),IF(CG$4="休","",IF(COUNTIF(DATA!CH:CH,$A:$A)=0,"×","√")),""))</f>
        <v/>
      </c>
      <c r="CH26" s="32" t="str">
        <f ca="1">IF($A26="","",IF(IF(CH$2&lt;=$A$1,1,0),IF(CH$4="休","",IF(COUNTIF(DATA!CI:CI,$A:$A)=0,"×","√")),""))</f>
        <v/>
      </c>
      <c r="CI26" s="32" t="str">
        <f ca="1">IF($A26="","",IF(IF(CI$2&lt;=$A$1,1,0),IF(CI$4="休","",IF(COUNTIF(DATA!CJ:CJ,$A:$A)=0,"×","√")),""))</f>
        <v/>
      </c>
      <c r="CJ26" s="32" t="str">
        <f ca="1">IF($A26="","",IF(IF(CJ$2&lt;=$A$1,1,0),IF(CJ$4="休","",IF(COUNTIF(DATA!CK:CK,$A:$A)=0,"×","√")),""))</f>
        <v/>
      </c>
      <c r="CK26" s="32" t="str">
        <f ca="1">IF($A26="","",IF(IF(CK$2&lt;=$A$1,1,0),IF(CK$4="休","",IF(COUNTIF(DATA!CL:CL,$A:$A)=0,"×","√")),""))</f>
        <v/>
      </c>
      <c r="CL26" s="32" t="str">
        <f ca="1">IF($A26="","",IF(IF(CL$2&lt;=$A$1,1,0),IF(CL$4="休","",IF(COUNTIF(DATA!CM:CM,$A:$A)=0,"×","√")),""))</f>
        <v/>
      </c>
      <c r="CM26" s="32" t="str">
        <f ca="1">IF($A26="","",IF(IF(CM$2&lt;=$A$1,1,0),IF(CM$4="休","",IF(COUNTIF(DATA!CN:CN,$A:$A)=0,"×","√")),""))</f>
        <v/>
      </c>
      <c r="CN26" s="32" t="str">
        <f ca="1">IF($A26="","",IF(IF(CN$2&lt;=$A$1,1,0),IF(CN$4="休","",IF(COUNTIF(DATA!CO:CO,$A:$A)=0,"×","√")),""))</f>
        <v/>
      </c>
      <c r="CO26" s="32" t="str">
        <f ca="1">IF($A26="","",IF(IF(CO$2&lt;=$A$1,1,0),IF(CO$4="休","",IF(COUNTIF(DATA!CP:CP,$A:$A)=0,"×","√")),""))</f>
        <v/>
      </c>
      <c r="CP26" s="32" t="str">
        <f ca="1">IF($A26="","",IF(IF(CP$2&lt;=$A$1,1,0),IF(CP$4="休","",IF(COUNTIF(DATA!CQ:CQ,$A:$A)=0,"×","√")),""))</f>
        <v/>
      </c>
      <c r="CQ26" s="32" t="str">
        <f ca="1">IF($A26="","",IF(IF(CQ$2&lt;=$A$1,1,0),IF(CQ$4="休","",IF(COUNTIF(DATA!CR:CR,$A:$A)=0,"×","√")),""))</f>
        <v/>
      </c>
      <c r="CR26" s="32" t="str">
        <f ca="1">IF($A26="","",IF(IF(CR$2&lt;=$A$1,1,0),IF(CR$4="休","",IF(COUNTIF(DATA!CS:CS,$A:$A)=0,"×","√")),""))</f>
        <v/>
      </c>
    </row>
    <row r="27" s="26" customFormat="1" ht="18.75" spans="1:96">
      <c r="A27" s="32" t="str">
        <f>DATA!$A26&amp;""</f>
        <v>周美霖</v>
      </c>
      <c r="B27" s="32" t="str">
        <f ca="1">IF($A27="","",IF(IF(B$2&lt;=$A$1,1,0),IF(B$4="休","",IF(COUNTIF(DATA!C:C,$A:$A)=0,"×","√")),""))</f>
        <v>√</v>
      </c>
      <c r="C27" s="32" t="str">
        <f ca="1">IF($A27="","",IF(IF(C$2&lt;=$A$1,1,0),IF(C$4="休","",IF(COUNTIF(DATA!D:D,$A:$A)=0,"×","√")),""))</f>
        <v>√</v>
      </c>
      <c r="D27" s="32" t="str">
        <f ca="1">IF($A27="","",IF(IF(D$2&lt;=$A$1,1,0),IF(D$4="休","",IF(COUNTIF(DATA!E:E,$A:$A)=0,"×","√")),""))</f>
        <v>√</v>
      </c>
      <c r="E27" s="32" t="str">
        <f ca="1">IF($A27="","",IF(IF(E$2&lt;=$A$1,1,0),IF(E$4="休","",IF(COUNTIF(DATA!F:F,$A:$A)=0,"×","√")),""))</f>
        <v>√</v>
      </c>
      <c r="F27" s="32" t="str">
        <f ca="1">IF($A27="","",IF(IF(F$2&lt;=$A$1,1,0),IF(F$4="休","",IF(COUNTIF(DATA!G:G,$A:$A)=0,"×","√")),""))</f>
        <v>√</v>
      </c>
      <c r="G27" s="32" t="str">
        <f ca="1">IF($A27="","",IF(IF(G$2&lt;=$A$1,1,0),IF(G$4="休","",IF(COUNTIF(DATA!H:H,$A:$A)=0,"×","√")),""))</f>
        <v>√</v>
      </c>
      <c r="H27" s="32" t="str">
        <f ca="1">IF($A27="","",IF(IF(H$2&lt;=$A$1,1,0),IF(H$4="休","",IF(COUNTIF(DATA!I:I,$A:$A)=0,"×","√")),""))</f>
        <v>√</v>
      </c>
      <c r="I27" s="32" t="str">
        <f ca="1">IF($A27="","",IF(IF(I$2&lt;=$A$1,1,0),IF(I$4="休","",IF(COUNTIF(DATA!J:J,$A:$A)=0,"×","√")),""))</f>
        <v>√</v>
      </c>
      <c r="J27" s="32" t="str">
        <f ca="1">IF($A27="","",IF(IF(J$2&lt;=$A$1,1,0),IF(J$4="休","",IF(COUNTIF(DATA!K:K,$A:$A)=0,"×","√")),""))</f>
        <v/>
      </c>
      <c r="K27" s="32" t="str">
        <f ca="1">IF($A27="","",IF(IF(K$2&lt;=$A$1,1,0),IF(K$4="休","",IF(COUNTIF(DATA!L:L,$A:$A)=0,"×","√")),""))</f>
        <v/>
      </c>
      <c r="L27" s="32" t="str">
        <f ca="1">IF($A27="","",IF(IF(L$2&lt;=$A$1,1,0),IF(L$4="休","",IF(COUNTIF(DATA!M:M,$A:$A)=0,"×","√")),""))</f>
        <v/>
      </c>
      <c r="M27" s="32" t="str">
        <f ca="1">IF($A27="","",IF(IF(M$2&lt;=$A$1,1,0),IF(M$4="休","",IF(COUNTIF(DATA!N:N,$A:$A)=0,"×","√")),""))</f>
        <v/>
      </c>
      <c r="N27" s="32" t="str">
        <f ca="1">IF($A27="","",IF(IF(N$2&lt;=$A$1,1,0),IF(N$4="休","",IF(COUNTIF(DATA!O:O,$A:$A)=0,"×","√")),""))</f>
        <v/>
      </c>
      <c r="O27" s="32" t="str">
        <f ca="1">IF($A27="","",IF(IF(O$2&lt;=$A$1,1,0),IF(O$4="休","",IF(COUNTIF(DATA!P:P,$A:$A)=0,"×","√")),""))</f>
        <v/>
      </c>
      <c r="P27" s="32" t="str">
        <f ca="1">IF($A27="","",IF(IF(P$2&lt;=$A$1,1,0),IF(P$4="休","",IF(COUNTIF(DATA!Q:Q,$A:$A)=0,"×","√")),""))</f>
        <v/>
      </c>
      <c r="Q27" s="32" t="str">
        <f ca="1">IF($A27="","",IF(IF(Q$2&lt;=$A$1,1,0),IF(Q$4="休","",IF(COUNTIF(DATA!R:R,$A:$A)=0,"×","√")),""))</f>
        <v/>
      </c>
      <c r="R27" s="32" t="str">
        <f ca="1">IF($A27="","",IF(IF(R$2&lt;=$A$1,1,0),IF(R$4="休","",IF(COUNTIF(DATA!S:S,$A:$A)=0,"×","√")),""))</f>
        <v/>
      </c>
      <c r="S27" s="32" t="str">
        <f ca="1">IF($A27="","",IF(IF(S$2&lt;=$A$1,1,0),IF(S$4="休","",IF(COUNTIF(DATA!T:T,$A:$A)=0,"×","√")),""))</f>
        <v/>
      </c>
      <c r="T27" s="32" t="str">
        <f ca="1">IF($A27="","",IF(IF(T$2&lt;=$A$1,1,0),IF(T$4="休","",IF(COUNTIF(DATA!U:U,$A:$A)=0,"×","√")),""))</f>
        <v/>
      </c>
      <c r="U27" s="32" t="str">
        <f ca="1">IF($A27="","",IF(IF(U$2&lt;=$A$1,1,0),IF(U$4="休","",IF(COUNTIF(DATA!V:V,$A:$A)=0,"×","√")),""))</f>
        <v/>
      </c>
      <c r="V27" s="32" t="str">
        <f ca="1">IF($A27="","",IF(IF(V$2&lt;=$A$1,1,0),IF(V$4="休","",IF(COUNTIF(DATA!W:W,$A:$A)=0,"×","√")),""))</f>
        <v/>
      </c>
      <c r="W27" s="32" t="str">
        <f ca="1">IF($A27="","",IF(IF(W$2&lt;=$A$1,1,0),IF(W$4="休","",IF(COUNTIF(DATA!X:X,$A:$A)=0,"×","√")),""))</f>
        <v/>
      </c>
      <c r="X27" s="32" t="str">
        <f ca="1">IF($A27="","",IF(IF(X$2&lt;=$A$1,1,0),IF(X$4="休","",IF(COUNTIF(DATA!Y:Y,$A:$A)=0,"×","√")),""))</f>
        <v/>
      </c>
      <c r="Y27" s="32" t="str">
        <f ca="1">IF($A27="","",IF(IF(Y$2&lt;=$A$1,1,0),IF(Y$4="休","",IF(COUNTIF(DATA!Z:Z,$A:$A)=0,"×","√")),""))</f>
        <v/>
      </c>
      <c r="Z27" s="32" t="str">
        <f ca="1">IF($A27="","",IF(IF(Z$2&lt;=$A$1,1,0),IF(Z$4="休","",IF(COUNTIF(DATA!AA:AA,$A:$A)=0,"×","√")),""))</f>
        <v/>
      </c>
      <c r="AA27" s="32" t="str">
        <f ca="1">IF($A27="","",IF(IF(AA$2&lt;=$A$1,1,0),IF(AA$4="休","",IF(COUNTIF(DATA!AB:AB,$A:$A)=0,"×","√")),""))</f>
        <v/>
      </c>
      <c r="AB27" s="32" t="str">
        <f ca="1">IF($A27="","",IF(IF(AB$2&lt;=$A$1,1,0),IF(AB$4="休","",IF(COUNTIF(DATA!AC:AC,$A:$A)=0,"×","√")),""))</f>
        <v/>
      </c>
      <c r="AC27" s="32" t="str">
        <f ca="1">IF($A27="","",IF(IF(AC$2&lt;=$A$1,1,0),IF(AC$4="休","",IF(COUNTIF(DATA!AD:AD,$A:$A)=0,"×","√")),""))</f>
        <v/>
      </c>
      <c r="AD27" s="32" t="str">
        <f ca="1">IF($A27="","",IF(IF(AD$2&lt;=$A$1,1,0),IF(AD$4="休","",IF(COUNTIF(DATA!AE:AE,$A:$A)=0,"×","√")),""))</f>
        <v/>
      </c>
      <c r="AE27" s="32" t="str">
        <f ca="1">IF($A27="","",IF(IF(AE$2&lt;=$A$1,1,0),IF(AE$4="休","",IF(COUNTIF(DATA!AF:AF,$A:$A)=0,"×","√")),""))</f>
        <v/>
      </c>
      <c r="AF27" s="32" t="str">
        <f ca="1">IF($A27="","",IF(IF(AF$2&lt;=$A$1,1,0),IF(AF$4="休","",IF(COUNTIF(DATA!AG:AG,$A:$A)=0,"×","√")),""))</f>
        <v/>
      </c>
      <c r="AG27" s="32" t="str">
        <f ca="1">IF($A27="","",IF(IF(AG$2&lt;=$A$1,1,0),IF(AG$4="休","",IF(COUNTIF(DATA!AH:AH,$A:$A)=0,"×","√")),""))</f>
        <v/>
      </c>
      <c r="AH27" s="32" t="str">
        <f ca="1">IF($A27="","",IF(IF(AH$2&lt;=$A$1,1,0),IF(AH$4="休","",IF(COUNTIF(DATA!AI:AI,$A:$A)=0,"×","√")),""))</f>
        <v/>
      </c>
      <c r="AI27" s="32" t="str">
        <f ca="1">IF($A27="","",IF(IF(AI$2&lt;=$A$1,1,0),IF(AI$4="休","",IF(COUNTIF(DATA!AJ:AJ,$A:$A)=0,"×","√")),""))</f>
        <v/>
      </c>
      <c r="AJ27" s="32" t="str">
        <f ca="1">IF($A27="","",IF(IF(AJ$2&lt;=$A$1,1,0),IF(AJ$4="休","",IF(COUNTIF(DATA!AK:AK,$A:$A)=0,"×","√")),""))</f>
        <v/>
      </c>
      <c r="AK27" s="32" t="str">
        <f ca="1">IF($A27="","",IF(IF(AK$2&lt;=$A$1,1,0),IF(AK$4="休","",IF(COUNTIF(DATA!AL:AL,$A:$A)=0,"×","√")),""))</f>
        <v/>
      </c>
      <c r="AL27" s="32" t="str">
        <f ca="1">IF($A27="","",IF(IF(AL$2&lt;=$A$1,1,0),IF(AL$4="休","",IF(COUNTIF(DATA!AM:AM,$A:$A)=0,"×","√")),""))</f>
        <v/>
      </c>
      <c r="AM27" s="32" t="str">
        <f ca="1">IF($A27="","",IF(IF(AM$2&lt;=$A$1,1,0),IF(AM$4="休","",IF(COUNTIF(DATA!AN:AN,$A:$A)=0,"×","√")),""))</f>
        <v/>
      </c>
      <c r="AN27" s="32" t="str">
        <f ca="1">IF($A27="","",IF(IF(AN$2&lt;=$A$1,1,0),IF(AN$4="休","",IF(COUNTIF(DATA!AO:AO,$A:$A)=0,"×","√")),""))</f>
        <v/>
      </c>
      <c r="AO27" s="32" t="str">
        <f ca="1">IF($A27="","",IF(IF(AO$2&lt;=$A$1,1,0),IF(AO$4="休","",IF(COUNTIF(DATA!AP:AP,$A:$A)=0,"×","√")),""))</f>
        <v/>
      </c>
      <c r="AP27" s="32" t="str">
        <f ca="1">IF($A27="","",IF(IF(AP$2&lt;=$A$1,1,0),IF(AP$4="休","",IF(COUNTIF(DATA!AQ:AQ,$A:$A)=0,"×","√")),""))</f>
        <v/>
      </c>
      <c r="AQ27" s="32" t="str">
        <f ca="1">IF($A27="","",IF(IF(AQ$2&lt;=$A$1,1,0),IF(AQ$4="休","",IF(COUNTIF(DATA!AR:AR,$A:$A)=0,"×","√")),""))</f>
        <v/>
      </c>
      <c r="AR27" s="32" t="str">
        <f ca="1">IF($A27="","",IF(IF(AR$2&lt;=$A$1,1,0),IF(AR$4="休","",IF(COUNTIF(DATA!AS:AS,$A:$A)=0,"×","√")),""))</f>
        <v/>
      </c>
      <c r="AS27" s="32" t="str">
        <f ca="1">IF($A27="","",IF(IF(AS$2&lt;=$A$1,1,0),IF(AS$4="休","",IF(COUNTIF(DATA!AT:AT,$A:$A)=0,"×","√")),""))</f>
        <v/>
      </c>
      <c r="AT27" s="32" t="str">
        <f ca="1">IF($A27="","",IF(IF(AT$2&lt;=$A$1,1,0),IF(AT$4="休","",IF(COUNTIF(DATA!AU:AU,$A:$A)=0,"×","√")),""))</f>
        <v/>
      </c>
      <c r="AU27" s="32" t="str">
        <f ca="1">IF($A27="","",IF(IF(AU$2&lt;=$A$1,1,0),IF(AU$4="休","",IF(COUNTIF(DATA!AV:AV,$A:$A)=0,"×","√")),""))</f>
        <v/>
      </c>
      <c r="AV27" s="32" t="str">
        <f ca="1">IF($A27="","",IF(IF(AV$2&lt;=$A$1,1,0),IF(AV$4="休","",IF(COUNTIF(DATA!AW:AW,$A:$A)=0,"×","√")),""))</f>
        <v/>
      </c>
      <c r="AW27" s="32" t="str">
        <f ca="1">IF($A27="","",IF(IF(AW$2&lt;=$A$1,1,0),IF(AW$4="休","",IF(COUNTIF(DATA!AX:AX,$A:$A)=0,"×","√")),""))</f>
        <v/>
      </c>
      <c r="AX27" s="32" t="str">
        <f ca="1">IF($A27="","",IF(IF(AX$2&lt;=$A$1,1,0),IF(AX$4="休","",IF(COUNTIF(DATA!AY:AY,$A:$A)=0,"×","√")),""))</f>
        <v/>
      </c>
      <c r="AY27" s="32" t="str">
        <f ca="1">IF($A27="","",IF(IF(AY$2&lt;=$A$1,1,0),IF(AY$4="休","",IF(COUNTIF(DATA!AZ:AZ,$A:$A)=0,"×","√")),""))</f>
        <v/>
      </c>
      <c r="AZ27" s="32" t="str">
        <f ca="1">IF($A27="","",IF(IF(AZ$2&lt;=$A$1,1,0),IF(AZ$4="休","",IF(COUNTIF(DATA!BA:BA,$A:$A)=0,"×","√")),""))</f>
        <v/>
      </c>
      <c r="BA27" s="32" t="str">
        <f ca="1">IF($A27="","",IF(IF(BA$2&lt;=$A$1,1,0),IF(BA$4="休","",IF(COUNTIF(DATA!BB:BB,$A:$A)=0,"×","√")),""))</f>
        <v/>
      </c>
      <c r="BB27" s="32" t="str">
        <f ca="1">IF($A27="","",IF(IF(BB$2&lt;=$A$1,1,0),IF(BB$4="休","",IF(COUNTIF(DATA!BC:BC,$A:$A)=0,"×","√")),""))</f>
        <v/>
      </c>
      <c r="BC27" s="32" t="str">
        <f ca="1">IF($A27="","",IF(IF(BC$2&lt;=$A$1,1,0),IF(BC$4="休","",IF(COUNTIF(DATA!BD:BD,$A:$A)=0,"×","√")),""))</f>
        <v/>
      </c>
      <c r="BD27" s="32" t="str">
        <f ca="1">IF($A27="","",IF(IF(BD$2&lt;=$A$1,1,0),IF(BD$4="休","",IF(COUNTIF(DATA!BE:BE,$A:$A)=0,"×","√")),""))</f>
        <v/>
      </c>
      <c r="BE27" s="32" t="str">
        <f ca="1">IF($A27="","",IF(IF(BE$2&lt;=$A$1,1,0),IF(BE$4="休","",IF(COUNTIF(DATA!BF:BF,$A:$A)=0,"×","√")),""))</f>
        <v/>
      </c>
      <c r="BF27" s="32" t="str">
        <f ca="1">IF($A27="","",IF(IF(BF$2&lt;=$A$1,1,0),IF(BF$4="休","",IF(COUNTIF(DATA!BG:BG,$A:$A)=0,"×","√")),""))</f>
        <v/>
      </c>
      <c r="BG27" s="32" t="str">
        <f ca="1">IF($A27="","",IF(IF(BG$2&lt;=$A$1,1,0),IF(BG$4="休","",IF(COUNTIF(DATA!BH:BH,$A:$A)=0,"×","√")),""))</f>
        <v/>
      </c>
      <c r="BH27" s="32" t="str">
        <f ca="1">IF($A27="","",IF(IF(BH$2&lt;=$A$1,1,0),IF(BH$4="休","",IF(COUNTIF(DATA!BI:BI,$A:$A)=0,"×","√")),""))</f>
        <v/>
      </c>
      <c r="BI27" s="32" t="str">
        <f ca="1">IF($A27="","",IF(IF(BI$2&lt;=$A$1,1,0),IF(BI$4="休","",IF(COUNTIF(DATA!BJ:BJ,$A:$A)=0,"×","√")),""))</f>
        <v/>
      </c>
      <c r="BJ27" s="32" t="str">
        <f ca="1">IF($A27="","",IF(IF(BJ$2&lt;=$A$1,1,0),IF(BJ$4="休","",IF(COUNTIF(DATA!BK:BK,$A:$A)=0,"×","√")),""))</f>
        <v/>
      </c>
      <c r="BK27" s="32" t="str">
        <f ca="1">IF($A27="","",IF(IF(BK$2&lt;=$A$1,1,0),IF(BK$4="休","",IF(COUNTIF(DATA!BL:BL,$A:$A)=0,"×","√")),""))</f>
        <v/>
      </c>
      <c r="BL27" s="32" t="str">
        <f ca="1">IF($A27="","",IF(IF(BL$2&lt;=$A$1,1,0),IF(BL$4="休","",IF(COUNTIF(DATA!BM:BM,$A:$A)=0,"×","√")),""))</f>
        <v/>
      </c>
      <c r="BM27" s="32" t="str">
        <f ca="1">IF($A27="","",IF(IF(BM$2&lt;=$A$1,1,0),IF(BM$4="休","",IF(COUNTIF(DATA!BN:BN,$A:$A)=0,"×","√")),""))</f>
        <v/>
      </c>
      <c r="BN27" s="32" t="str">
        <f ca="1">IF($A27="","",IF(IF(BN$2&lt;=$A$1,1,0),IF(BN$4="休","",IF(COUNTIF(DATA!BO:BO,$A:$A)=0,"×","√")),""))</f>
        <v/>
      </c>
      <c r="BO27" s="32" t="str">
        <f ca="1">IF($A27="","",IF(IF(BO$2&lt;=$A$1,1,0),IF(BO$4="休","",IF(COUNTIF(DATA!BP:BP,$A:$A)=0,"×","√")),""))</f>
        <v/>
      </c>
      <c r="BP27" s="32" t="str">
        <f ca="1">IF($A27="","",IF(IF(BP$2&lt;=$A$1,1,0),IF(BP$4="休","",IF(COUNTIF(DATA!BQ:BQ,$A:$A)=0,"×","√")),""))</f>
        <v/>
      </c>
      <c r="BQ27" s="32" t="str">
        <f ca="1">IF($A27="","",IF(IF(BQ$2&lt;=$A$1,1,0),IF(BQ$4="休","",IF(COUNTIF(DATA!BR:BR,$A:$A)=0,"×","√")),""))</f>
        <v/>
      </c>
      <c r="BR27" s="32" t="str">
        <f ca="1">IF($A27="","",IF(IF(BR$2&lt;=$A$1,1,0),IF(BR$4="休","",IF(COUNTIF(DATA!BS:BS,$A:$A)=0,"×","√")),""))</f>
        <v/>
      </c>
      <c r="BS27" s="32" t="str">
        <f ca="1">IF($A27="","",IF(IF(BS$2&lt;=$A$1,1,0),IF(BS$4="休","",IF(COUNTIF(DATA!BT:BT,$A:$A)=0,"×","√")),""))</f>
        <v/>
      </c>
      <c r="BT27" s="32" t="str">
        <f ca="1">IF($A27="","",IF(IF(BT$2&lt;=$A$1,1,0),IF(BT$4="休","",IF(COUNTIF(DATA!BU:BU,$A:$A)=0,"×","√")),""))</f>
        <v/>
      </c>
      <c r="BU27" s="32" t="str">
        <f ca="1">IF($A27="","",IF(IF(BU$2&lt;=$A$1,1,0),IF(BU$4="休","",IF(COUNTIF(DATA!BV:BV,$A:$A)=0,"×","√")),""))</f>
        <v/>
      </c>
      <c r="BV27" s="32" t="str">
        <f ca="1">IF($A27="","",IF(IF(BV$2&lt;=$A$1,1,0),IF(BV$4="休","",IF(COUNTIF(DATA!BW:BW,$A:$A)=0,"×","√")),""))</f>
        <v/>
      </c>
      <c r="BW27" s="32" t="str">
        <f ca="1">IF($A27="","",IF(IF(BW$2&lt;=$A$1,1,0),IF(BW$4="休","",IF(COUNTIF(DATA!BX:BX,$A:$A)=0,"×","√")),""))</f>
        <v/>
      </c>
      <c r="BX27" s="32" t="str">
        <f ca="1">IF($A27="","",IF(IF(BX$2&lt;=$A$1,1,0),IF(BX$4="休","",IF(COUNTIF(DATA!BY:BY,$A:$A)=0,"×","√")),""))</f>
        <v/>
      </c>
      <c r="BY27" s="32" t="str">
        <f ca="1">IF($A27="","",IF(IF(BY$2&lt;=$A$1,1,0),IF(BY$4="休","",IF(COUNTIF(DATA!BZ:BZ,$A:$A)=0,"×","√")),""))</f>
        <v/>
      </c>
      <c r="BZ27" s="32" t="str">
        <f ca="1">IF($A27="","",IF(IF(BZ$2&lt;=$A$1,1,0),IF(BZ$4="休","",IF(COUNTIF(DATA!CA:CA,$A:$A)=0,"×","√")),""))</f>
        <v/>
      </c>
      <c r="CA27" s="32" t="str">
        <f ca="1">IF($A27="","",IF(IF(CA$2&lt;=$A$1,1,0),IF(CA$4="休","",IF(COUNTIF(DATA!CB:CB,$A:$A)=0,"×","√")),""))</f>
        <v/>
      </c>
      <c r="CB27" s="32" t="str">
        <f ca="1">IF($A27="","",IF(IF(CB$2&lt;=$A$1,1,0),IF(CB$4="休","",IF(COUNTIF(DATA!CC:CC,$A:$A)=0,"×","√")),""))</f>
        <v/>
      </c>
      <c r="CC27" s="32" t="str">
        <f ca="1">IF($A27="","",IF(IF(CC$2&lt;=$A$1,1,0),IF(CC$4="休","",IF(COUNTIF(DATA!CD:CD,$A:$A)=0,"×","√")),""))</f>
        <v/>
      </c>
      <c r="CD27" s="32" t="str">
        <f ca="1">IF($A27="","",IF(IF(CD$2&lt;=$A$1,1,0),IF(CD$4="休","",IF(COUNTIF(DATA!CE:CE,$A:$A)=0,"×","√")),""))</f>
        <v/>
      </c>
      <c r="CE27" s="32" t="str">
        <f ca="1">IF($A27="","",IF(IF(CE$2&lt;=$A$1,1,0),IF(CE$4="休","",IF(COUNTIF(DATA!CF:CF,$A:$A)=0,"×","√")),""))</f>
        <v/>
      </c>
      <c r="CF27" s="32" t="str">
        <f ca="1">IF($A27="","",IF(IF(CF$2&lt;=$A$1,1,0),IF(CF$4="休","",IF(COUNTIF(DATA!CG:CG,$A:$A)=0,"×","√")),""))</f>
        <v/>
      </c>
      <c r="CG27" s="32" t="str">
        <f ca="1">IF($A27="","",IF(IF(CG$2&lt;=$A$1,1,0),IF(CG$4="休","",IF(COUNTIF(DATA!CH:CH,$A:$A)=0,"×","√")),""))</f>
        <v/>
      </c>
      <c r="CH27" s="32" t="str">
        <f ca="1">IF($A27="","",IF(IF(CH$2&lt;=$A$1,1,0),IF(CH$4="休","",IF(COUNTIF(DATA!CI:CI,$A:$A)=0,"×","√")),""))</f>
        <v/>
      </c>
      <c r="CI27" s="32" t="str">
        <f ca="1">IF($A27="","",IF(IF(CI$2&lt;=$A$1,1,0),IF(CI$4="休","",IF(COUNTIF(DATA!CJ:CJ,$A:$A)=0,"×","√")),""))</f>
        <v/>
      </c>
      <c r="CJ27" s="32" t="str">
        <f ca="1">IF($A27="","",IF(IF(CJ$2&lt;=$A$1,1,0),IF(CJ$4="休","",IF(COUNTIF(DATA!CK:CK,$A:$A)=0,"×","√")),""))</f>
        <v/>
      </c>
      <c r="CK27" s="32" t="str">
        <f ca="1">IF($A27="","",IF(IF(CK$2&lt;=$A$1,1,0),IF(CK$4="休","",IF(COUNTIF(DATA!CL:CL,$A:$A)=0,"×","√")),""))</f>
        <v/>
      </c>
      <c r="CL27" s="32" t="str">
        <f ca="1">IF($A27="","",IF(IF(CL$2&lt;=$A$1,1,0),IF(CL$4="休","",IF(COUNTIF(DATA!CM:CM,$A:$A)=0,"×","√")),""))</f>
        <v/>
      </c>
      <c r="CM27" s="32" t="str">
        <f ca="1">IF($A27="","",IF(IF(CM$2&lt;=$A$1,1,0),IF(CM$4="休","",IF(COUNTIF(DATA!CN:CN,$A:$A)=0,"×","√")),""))</f>
        <v/>
      </c>
      <c r="CN27" s="32" t="str">
        <f ca="1">IF($A27="","",IF(IF(CN$2&lt;=$A$1,1,0),IF(CN$4="休","",IF(COUNTIF(DATA!CO:CO,$A:$A)=0,"×","√")),""))</f>
        <v/>
      </c>
      <c r="CO27" s="32" t="str">
        <f ca="1">IF($A27="","",IF(IF(CO$2&lt;=$A$1,1,0),IF(CO$4="休","",IF(COUNTIF(DATA!CP:CP,$A:$A)=0,"×","√")),""))</f>
        <v/>
      </c>
      <c r="CP27" s="32" t="str">
        <f ca="1">IF($A27="","",IF(IF(CP$2&lt;=$A$1,1,0),IF(CP$4="休","",IF(COUNTIF(DATA!CQ:CQ,$A:$A)=0,"×","√")),""))</f>
        <v/>
      </c>
      <c r="CQ27" s="32" t="str">
        <f ca="1">IF($A27="","",IF(IF(CQ$2&lt;=$A$1,1,0),IF(CQ$4="休","",IF(COUNTIF(DATA!CR:CR,$A:$A)=0,"×","√")),""))</f>
        <v/>
      </c>
      <c r="CR27" s="32" t="str">
        <f ca="1">IF($A27="","",IF(IF(CR$2&lt;=$A$1,1,0),IF(CR$4="休","",IF(COUNTIF(DATA!CS:CS,$A:$A)=0,"×","√")),""))</f>
        <v/>
      </c>
    </row>
    <row r="28" s="26" customFormat="1" ht="18.75" spans="1:96">
      <c r="A28" s="32" t="str">
        <f>DATA!$A27&amp;""</f>
        <v>柯常铝</v>
      </c>
      <c r="B28" s="32" t="str">
        <f ca="1">IF($A28="","",IF(IF(B$2&lt;=$A$1,1,0),IF(B$4="休","",IF(COUNTIF(DATA!C:C,$A:$A)=0,"×","√")),""))</f>
        <v>√</v>
      </c>
      <c r="C28" s="32" t="str">
        <f ca="1">IF($A28="","",IF(IF(C$2&lt;=$A$1,1,0),IF(C$4="休","",IF(COUNTIF(DATA!D:D,$A:$A)=0,"×","√")),""))</f>
        <v>√</v>
      </c>
      <c r="D28" s="32" t="str">
        <f ca="1">IF($A28="","",IF(IF(D$2&lt;=$A$1,1,0),IF(D$4="休","",IF(COUNTIF(DATA!E:E,$A:$A)=0,"×","√")),""))</f>
        <v>√</v>
      </c>
      <c r="E28" s="32" t="str">
        <f ca="1">IF($A28="","",IF(IF(E$2&lt;=$A$1,1,0),IF(E$4="休","",IF(COUNTIF(DATA!F:F,$A:$A)=0,"×","√")),""))</f>
        <v>√</v>
      </c>
      <c r="F28" s="32" t="str">
        <f ca="1">IF($A28="","",IF(IF(F$2&lt;=$A$1,1,0),IF(F$4="休","",IF(COUNTIF(DATA!G:G,$A:$A)=0,"×","√")),""))</f>
        <v>√</v>
      </c>
      <c r="G28" s="32" t="str">
        <f ca="1">IF($A28="","",IF(IF(G$2&lt;=$A$1,1,0),IF(G$4="休","",IF(COUNTIF(DATA!H:H,$A:$A)=0,"×","√")),""))</f>
        <v>√</v>
      </c>
      <c r="H28" s="32" t="str">
        <f ca="1">IF($A28="","",IF(IF(H$2&lt;=$A$1,1,0),IF(H$4="休","",IF(COUNTIF(DATA!I:I,$A:$A)=0,"×","√")),""))</f>
        <v>√</v>
      </c>
      <c r="I28" s="32" t="str">
        <f ca="1">IF($A28="","",IF(IF(I$2&lt;=$A$1,1,0),IF(I$4="休","",IF(COUNTIF(DATA!J:J,$A:$A)=0,"×","√")),""))</f>
        <v>√</v>
      </c>
      <c r="J28" s="32" t="str">
        <f ca="1">IF($A28="","",IF(IF(J$2&lt;=$A$1,1,0),IF(J$4="休","",IF(COUNTIF(DATA!K:K,$A:$A)=0,"×","√")),""))</f>
        <v/>
      </c>
      <c r="K28" s="32" t="str">
        <f ca="1">IF($A28="","",IF(IF(K$2&lt;=$A$1,1,0),IF(K$4="休","",IF(COUNTIF(DATA!L:L,$A:$A)=0,"×","√")),""))</f>
        <v/>
      </c>
      <c r="L28" s="32" t="str">
        <f ca="1">IF($A28="","",IF(IF(L$2&lt;=$A$1,1,0),IF(L$4="休","",IF(COUNTIF(DATA!M:M,$A:$A)=0,"×","√")),""))</f>
        <v/>
      </c>
      <c r="M28" s="32" t="str">
        <f ca="1">IF($A28="","",IF(IF(M$2&lt;=$A$1,1,0),IF(M$4="休","",IF(COUNTIF(DATA!N:N,$A:$A)=0,"×","√")),""))</f>
        <v/>
      </c>
      <c r="N28" s="32" t="str">
        <f ca="1">IF($A28="","",IF(IF(N$2&lt;=$A$1,1,0),IF(N$4="休","",IF(COUNTIF(DATA!O:O,$A:$A)=0,"×","√")),""))</f>
        <v/>
      </c>
      <c r="O28" s="32" t="str">
        <f ca="1">IF($A28="","",IF(IF(O$2&lt;=$A$1,1,0),IF(O$4="休","",IF(COUNTIF(DATA!P:P,$A:$A)=0,"×","√")),""))</f>
        <v/>
      </c>
      <c r="P28" s="32" t="str">
        <f ca="1">IF($A28="","",IF(IF(P$2&lt;=$A$1,1,0),IF(P$4="休","",IF(COUNTIF(DATA!Q:Q,$A:$A)=0,"×","√")),""))</f>
        <v/>
      </c>
      <c r="Q28" s="32" t="str">
        <f ca="1">IF($A28="","",IF(IF(Q$2&lt;=$A$1,1,0),IF(Q$4="休","",IF(COUNTIF(DATA!R:R,$A:$A)=0,"×","√")),""))</f>
        <v/>
      </c>
      <c r="R28" s="32" t="str">
        <f ca="1">IF($A28="","",IF(IF(R$2&lt;=$A$1,1,0),IF(R$4="休","",IF(COUNTIF(DATA!S:S,$A:$A)=0,"×","√")),""))</f>
        <v/>
      </c>
      <c r="S28" s="32" t="str">
        <f ca="1">IF($A28="","",IF(IF(S$2&lt;=$A$1,1,0),IF(S$4="休","",IF(COUNTIF(DATA!T:T,$A:$A)=0,"×","√")),""))</f>
        <v/>
      </c>
      <c r="T28" s="32" t="str">
        <f ca="1">IF($A28="","",IF(IF(T$2&lt;=$A$1,1,0),IF(T$4="休","",IF(COUNTIF(DATA!U:U,$A:$A)=0,"×","√")),""))</f>
        <v/>
      </c>
      <c r="U28" s="32" t="str">
        <f ca="1">IF($A28="","",IF(IF(U$2&lt;=$A$1,1,0),IF(U$4="休","",IF(COUNTIF(DATA!V:V,$A:$A)=0,"×","√")),""))</f>
        <v/>
      </c>
      <c r="V28" s="32" t="str">
        <f ca="1">IF($A28="","",IF(IF(V$2&lt;=$A$1,1,0),IF(V$4="休","",IF(COUNTIF(DATA!W:W,$A:$A)=0,"×","√")),""))</f>
        <v/>
      </c>
      <c r="W28" s="32" t="str">
        <f ca="1">IF($A28="","",IF(IF(W$2&lt;=$A$1,1,0),IF(W$4="休","",IF(COUNTIF(DATA!X:X,$A:$A)=0,"×","√")),""))</f>
        <v/>
      </c>
      <c r="X28" s="32" t="str">
        <f ca="1">IF($A28="","",IF(IF(X$2&lt;=$A$1,1,0),IF(X$4="休","",IF(COUNTIF(DATA!Y:Y,$A:$A)=0,"×","√")),""))</f>
        <v/>
      </c>
      <c r="Y28" s="32" t="str">
        <f ca="1">IF($A28="","",IF(IF(Y$2&lt;=$A$1,1,0),IF(Y$4="休","",IF(COUNTIF(DATA!Z:Z,$A:$A)=0,"×","√")),""))</f>
        <v/>
      </c>
      <c r="Z28" s="32" t="str">
        <f ca="1">IF($A28="","",IF(IF(Z$2&lt;=$A$1,1,0),IF(Z$4="休","",IF(COUNTIF(DATA!AA:AA,$A:$A)=0,"×","√")),""))</f>
        <v/>
      </c>
      <c r="AA28" s="32" t="str">
        <f ca="1">IF($A28="","",IF(IF(AA$2&lt;=$A$1,1,0),IF(AA$4="休","",IF(COUNTIF(DATA!AB:AB,$A:$A)=0,"×","√")),""))</f>
        <v/>
      </c>
      <c r="AB28" s="32" t="str">
        <f ca="1">IF($A28="","",IF(IF(AB$2&lt;=$A$1,1,0),IF(AB$4="休","",IF(COUNTIF(DATA!AC:AC,$A:$A)=0,"×","√")),""))</f>
        <v/>
      </c>
      <c r="AC28" s="32" t="str">
        <f ca="1">IF($A28="","",IF(IF(AC$2&lt;=$A$1,1,0),IF(AC$4="休","",IF(COUNTIF(DATA!AD:AD,$A:$A)=0,"×","√")),""))</f>
        <v/>
      </c>
      <c r="AD28" s="32" t="str">
        <f ca="1">IF($A28="","",IF(IF(AD$2&lt;=$A$1,1,0),IF(AD$4="休","",IF(COUNTIF(DATA!AE:AE,$A:$A)=0,"×","√")),""))</f>
        <v/>
      </c>
      <c r="AE28" s="32" t="str">
        <f ca="1">IF($A28="","",IF(IF(AE$2&lt;=$A$1,1,0),IF(AE$4="休","",IF(COUNTIF(DATA!AF:AF,$A:$A)=0,"×","√")),""))</f>
        <v/>
      </c>
      <c r="AF28" s="32" t="str">
        <f ca="1">IF($A28="","",IF(IF(AF$2&lt;=$A$1,1,0),IF(AF$4="休","",IF(COUNTIF(DATA!AG:AG,$A:$A)=0,"×","√")),""))</f>
        <v/>
      </c>
      <c r="AG28" s="32" t="str">
        <f ca="1">IF($A28="","",IF(IF(AG$2&lt;=$A$1,1,0),IF(AG$4="休","",IF(COUNTIF(DATA!AH:AH,$A:$A)=0,"×","√")),""))</f>
        <v/>
      </c>
      <c r="AH28" s="32" t="str">
        <f ca="1">IF($A28="","",IF(IF(AH$2&lt;=$A$1,1,0),IF(AH$4="休","",IF(COUNTIF(DATA!AI:AI,$A:$A)=0,"×","√")),""))</f>
        <v/>
      </c>
      <c r="AI28" s="32" t="str">
        <f ca="1">IF($A28="","",IF(IF(AI$2&lt;=$A$1,1,0),IF(AI$4="休","",IF(COUNTIF(DATA!AJ:AJ,$A:$A)=0,"×","√")),""))</f>
        <v/>
      </c>
      <c r="AJ28" s="32" t="str">
        <f ca="1">IF($A28="","",IF(IF(AJ$2&lt;=$A$1,1,0),IF(AJ$4="休","",IF(COUNTIF(DATA!AK:AK,$A:$A)=0,"×","√")),""))</f>
        <v/>
      </c>
      <c r="AK28" s="32" t="str">
        <f ca="1">IF($A28="","",IF(IF(AK$2&lt;=$A$1,1,0),IF(AK$4="休","",IF(COUNTIF(DATA!AL:AL,$A:$A)=0,"×","√")),""))</f>
        <v/>
      </c>
      <c r="AL28" s="32" t="str">
        <f ca="1">IF($A28="","",IF(IF(AL$2&lt;=$A$1,1,0),IF(AL$4="休","",IF(COUNTIF(DATA!AM:AM,$A:$A)=0,"×","√")),""))</f>
        <v/>
      </c>
      <c r="AM28" s="32" t="str">
        <f ca="1">IF($A28="","",IF(IF(AM$2&lt;=$A$1,1,0),IF(AM$4="休","",IF(COUNTIF(DATA!AN:AN,$A:$A)=0,"×","√")),""))</f>
        <v/>
      </c>
      <c r="AN28" s="32" t="str">
        <f ca="1">IF($A28="","",IF(IF(AN$2&lt;=$A$1,1,0),IF(AN$4="休","",IF(COUNTIF(DATA!AO:AO,$A:$A)=0,"×","√")),""))</f>
        <v/>
      </c>
      <c r="AO28" s="32" t="str">
        <f ca="1">IF($A28="","",IF(IF(AO$2&lt;=$A$1,1,0),IF(AO$4="休","",IF(COUNTIF(DATA!AP:AP,$A:$A)=0,"×","√")),""))</f>
        <v/>
      </c>
      <c r="AP28" s="32" t="str">
        <f ca="1">IF($A28="","",IF(IF(AP$2&lt;=$A$1,1,0),IF(AP$4="休","",IF(COUNTIF(DATA!AQ:AQ,$A:$A)=0,"×","√")),""))</f>
        <v/>
      </c>
      <c r="AQ28" s="32" t="str">
        <f ca="1">IF($A28="","",IF(IF(AQ$2&lt;=$A$1,1,0),IF(AQ$4="休","",IF(COUNTIF(DATA!AR:AR,$A:$A)=0,"×","√")),""))</f>
        <v/>
      </c>
      <c r="AR28" s="32" t="str">
        <f ca="1">IF($A28="","",IF(IF(AR$2&lt;=$A$1,1,0),IF(AR$4="休","",IF(COUNTIF(DATA!AS:AS,$A:$A)=0,"×","√")),""))</f>
        <v/>
      </c>
      <c r="AS28" s="32" t="str">
        <f ca="1">IF($A28="","",IF(IF(AS$2&lt;=$A$1,1,0),IF(AS$4="休","",IF(COUNTIF(DATA!AT:AT,$A:$A)=0,"×","√")),""))</f>
        <v/>
      </c>
      <c r="AT28" s="32" t="str">
        <f ca="1">IF($A28="","",IF(IF(AT$2&lt;=$A$1,1,0),IF(AT$4="休","",IF(COUNTIF(DATA!AU:AU,$A:$A)=0,"×","√")),""))</f>
        <v/>
      </c>
      <c r="AU28" s="32" t="str">
        <f ca="1">IF($A28="","",IF(IF(AU$2&lt;=$A$1,1,0),IF(AU$4="休","",IF(COUNTIF(DATA!AV:AV,$A:$A)=0,"×","√")),""))</f>
        <v/>
      </c>
      <c r="AV28" s="32" t="str">
        <f ca="1">IF($A28="","",IF(IF(AV$2&lt;=$A$1,1,0),IF(AV$4="休","",IF(COUNTIF(DATA!AW:AW,$A:$A)=0,"×","√")),""))</f>
        <v/>
      </c>
      <c r="AW28" s="32" t="str">
        <f ca="1">IF($A28="","",IF(IF(AW$2&lt;=$A$1,1,0),IF(AW$4="休","",IF(COUNTIF(DATA!AX:AX,$A:$A)=0,"×","√")),""))</f>
        <v/>
      </c>
      <c r="AX28" s="32" t="str">
        <f ca="1">IF($A28="","",IF(IF(AX$2&lt;=$A$1,1,0),IF(AX$4="休","",IF(COUNTIF(DATA!AY:AY,$A:$A)=0,"×","√")),""))</f>
        <v/>
      </c>
      <c r="AY28" s="32" t="str">
        <f ca="1">IF($A28="","",IF(IF(AY$2&lt;=$A$1,1,0),IF(AY$4="休","",IF(COUNTIF(DATA!AZ:AZ,$A:$A)=0,"×","√")),""))</f>
        <v/>
      </c>
      <c r="AZ28" s="32" t="str">
        <f ca="1">IF($A28="","",IF(IF(AZ$2&lt;=$A$1,1,0),IF(AZ$4="休","",IF(COUNTIF(DATA!BA:BA,$A:$A)=0,"×","√")),""))</f>
        <v/>
      </c>
      <c r="BA28" s="32" t="str">
        <f ca="1">IF($A28="","",IF(IF(BA$2&lt;=$A$1,1,0),IF(BA$4="休","",IF(COUNTIF(DATA!BB:BB,$A:$A)=0,"×","√")),""))</f>
        <v/>
      </c>
      <c r="BB28" s="32" t="str">
        <f ca="1">IF($A28="","",IF(IF(BB$2&lt;=$A$1,1,0),IF(BB$4="休","",IF(COUNTIF(DATA!BC:BC,$A:$A)=0,"×","√")),""))</f>
        <v/>
      </c>
      <c r="BC28" s="32" t="str">
        <f ca="1">IF($A28="","",IF(IF(BC$2&lt;=$A$1,1,0),IF(BC$4="休","",IF(COUNTIF(DATA!BD:BD,$A:$A)=0,"×","√")),""))</f>
        <v/>
      </c>
      <c r="BD28" s="32" t="str">
        <f ca="1">IF($A28="","",IF(IF(BD$2&lt;=$A$1,1,0),IF(BD$4="休","",IF(COUNTIF(DATA!BE:BE,$A:$A)=0,"×","√")),""))</f>
        <v/>
      </c>
      <c r="BE28" s="32" t="str">
        <f ca="1">IF($A28="","",IF(IF(BE$2&lt;=$A$1,1,0),IF(BE$4="休","",IF(COUNTIF(DATA!BF:BF,$A:$A)=0,"×","√")),""))</f>
        <v/>
      </c>
      <c r="BF28" s="32" t="str">
        <f ca="1">IF($A28="","",IF(IF(BF$2&lt;=$A$1,1,0),IF(BF$4="休","",IF(COUNTIF(DATA!BG:BG,$A:$A)=0,"×","√")),""))</f>
        <v/>
      </c>
      <c r="BG28" s="32" t="str">
        <f ca="1">IF($A28="","",IF(IF(BG$2&lt;=$A$1,1,0),IF(BG$4="休","",IF(COUNTIF(DATA!BH:BH,$A:$A)=0,"×","√")),""))</f>
        <v/>
      </c>
      <c r="BH28" s="32" t="str">
        <f ca="1">IF($A28="","",IF(IF(BH$2&lt;=$A$1,1,0),IF(BH$4="休","",IF(COUNTIF(DATA!BI:BI,$A:$A)=0,"×","√")),""))</f>
        <v/>
      </c>
      <c r="BI28" s="32" t="str">
        <f ca="1">IF($A28="","",IF(IF(BI$2&lt;=$A$1,1,0),IF(BI$4="休","",IF(COUNTIF(DATA!BJ:BJ,$A:$A)=0,"×","√")),""))</f>
        <v/>
      </c>
      <c r="BJ28" s="32" t="str">
        <f ca="1">IF($A28="","",IF(IF(BJ$2&lt;=$A$1,1,0),IF(BJ$4="休","",IF(COUNTIF(DATA!BK:BK,$A:$A)=0,"×","√")),""))</f>
        <v/>
      </c>
      <c r="BK28" s="32" t="str">
        <f ca="1">IF($A28="","",IF(IF(BK$2&lt;=$A$1,1,0),IF(BK$4="休","",IF(COUNTIF(DATA!BL:BL,$A:$A)=0,"×","√")),""))</f>
        <v/>
      </c>
      <c r="BL28" s="32" t="str">
        <f ca="1">IF($A28="","",IF(IF(BL$2&lt;=$A$1,1,0),IF(BL$4="休","",IF(COUNTIF(DATA!BM:BM,$A:$A)=0,"×","√")),""))</f>
        <v/>
      </c>
      <c r="BM28" s="32" t="str">
        <f ca="1">IF($A28="","",IF(IF(BM$2&lt;=$A$1,1,0),IF(BM$4="休","",IF(COUNTIF(DATA!BN:BN,$A:$A)=0,"×","√")),""))</f>
        <v/>
      </c>
      <c r="BN28" s="32" t="str">
        <f ca="1">IF($A28="","",IF(IF(BN$2&lt;=$A$1,1,0),IF(BN$4="休","",IF(COUNTIF(DATA!BO:BO,$A:$A)=0,"×","√")),""))</f>
        <v/>
      </c>
      <c r="BO28" s="32" t="str">
        <f ca="1">IF($A28="","",IF(IF(BO$2&lt;=$A$1,1,0),IF(BO$4="休","",IF(COUNTIF(DATA!BP:BP,$A:$A)=0,"×","√")),""))</f>
        <v/>
      </c>
      <c r="BP28" s="32" t="str">
        <f ca="1">IF($A28="","",IF(IF(BP$2&lt;=$A$1,1,0),IF(BP$4="休","",IF(COUNTIF(DATA!BQ:BQ,$A:$A)=0,"×","√")),""))</f>
        <v/>
      </c>
      <c r="BQ28" s="32" t="str">
        <f ca="1">IF($A28="","",IF(IF(BQ$2&lt;=$A$1,1,0),IF(BQ$4="休","",IF(COUNTIF(DATA!BR:BR,$A:$A)=0,"×","√")),""))</f>
        <v/>
      </c>
      <c r="BR28" s="32" t="str">
        <f ca="1">IF($A28="","",IF(IF(BR$2&lt;=$A$1,1,0),IF(BR$4="休","",IF(COUNTIF(DATA!BS:BS,$A:$A)=0,"×","√")),""))</f>
        <v/>
      </c>
      <c r="BS28" s="32" t="str">
        <f ca="1">IF($A28="","",IF(IF(BS$2&lt;=$A$1,1,0),IF(BS$4="休","",IF(COUNTIF(DATA!BT:BT,$A:$A)=0,"×","√")),""))</f>
        <v/>
      </c>
      <c r="BT28" s="32" t="str">
        <f ca="1">IF($A28="","",IF(IF(BT$2&lt;=$A$1,1,0),IF(BT$4="休","",IF(COUNTIF(DATA!BU:BU,$A:$A)=0,"×","√")),""))</f>
        <v/>
      </c>
      <c r="BU28" s="32" t="str">
        <f ca="1">IF($A28="","",IF(IF(BU$2&lt;=$A$1,1,0),IF(BU$4="休","",IF(COUNTIF(DATA!BV:BV,$A:$A)=0,"×","√")),""))</f>
        <v/>
      </c>
      <c r="BV28" s="32" t="str">
        <f ca="1">IF($A28="","",IF(IF(BV$2&lt;=$A$1,1,0),IF(BV$4="休","",IF(COUNTIF(DATA!BW:BW,$A:$A)=0,"×","√")),""))</f>
        <v/>
      </c>
      <c r="BW28" s="32" t="str">
        <f ca="1">IF($A28="","",IF(IF(BW$2&lt;=$A$1,1,0),IF(BW$4="休","",IF(COUNTIF(DATA!BX:BX,$A:$A)=0,"×","√")),""))</f>
        <v/>
      </c>
      <c r="BX28" s="32" t="str">
        <f ca="1">IF($A28="","",IF(IF(BX$2&lt;=$A$1,1,0),IF(BX$4="休","",IF(COUNTIF(DATA!BY:BY,$A:$A)=0,"×","√")),""))</f>
        <v/>
      </c>
      <c r="BY28" s="32" t="str">
        <f ca="1">IF($A28="","",IF(IF(BY$2&lt;=$A$1,1,0),IF(BY$4="休","",IF(COUNTIF(DATA!BZ:BZ,$A:$A)=0,"×","√")),""))</f>
        <v/>
      </c>
      <c r="BZ28" s="32" t="str">
        <f ca="1">IF($A28="","",IF(IF(BZ$2&lt;=$A$1,1,0),IF(BZ$4="休","",IF(COUNTIF(DATA!CA:CA,$A:$A)=0,"×","√")),""))</f>
        <v/>
      </c>
      <c r="CA28" s="32" t="str">
        <f ca="1">IF($A28="","",IF(IF(CA$2&lt;=$A$1,1,0),IF(CA$4="休","",IF(COUNTIF(DATA!CB:CB,$A:$A)=0,"×","√")),""))</f>
        <v/>
      </c>
      <c r="CB28" s="32" t="str">
        <f ca="1">IF($A28="","",IF(IF(CB$2&lt;=$A$1,1,0),IF(CB$4="休","",IF(COUNTIF(DATA!CC:CC,$A:$A)=0,"×","√")),""))</f>
        <v/>
      </c>
      <c r="CC28" s="32" t="str">
        <f ca="1">IF($A28="","",IF(IF(CC$2&lt;=$A$1,1,0),IF(CC$4="休","",IF(COUNTIF(DATA!CD:CD,$A:$A)=0,"×","√")),""))</f>
        <v/>
      </c>
      <c r="CD28" s="32" t="str">
        <f ca="1">IF($A28="","",IF(IF(CD$2&lt;=$A$1,1,0),IF(CD$4="休","",IF(COUNTIF(DATA!CE:CE,$A:$A)=0,"×","√")),""))</f>
        <v/>
      </c>
      <c r="CE28" s="32" t="str">
        <f ca="1">IF($A28="","",IF(IF(CE$2&lt;=$A$1,1,0),IF(CE$4="休","",IF(COUNTIF(DATA!CF:CF,$A:$A)=0,"×","√")),""))</f>
        <v/>
      </c>
      <c r="CF28" s="32" t="str">
        <f ca="1">IF($A28="","",IF(IF(CF$2&lt;=$A$1,1,0),IF(CF$4="休","",IF(COUNTIF(DATA!CG:CG,$A:$A)=0,"×","√")),""))</f>
        <v/>
      </c>
      <c r="CG28" s="32" t="str">
        <f ca="1">IF($A28="","",IF(IF(CG$2&lt;=$A$1,1,0),IF(CG$4="休","",IF(COUNTIF(DATA!CH:CH,$A:$A)=0,"×","√")),""))</f>
        <v/>
      </c>
      <c r="CH28" s="32" t="str">
        <f ca="1">IF($A28="","",IF(IF(CH$2&lt;=$A$1,1,0),IF(CH$4="休","",IF(COUNTIF(DATA!CI:CI,$A:$A)=0,"×","√")),""))</f>
        <v/>
      </c>
      <c r="CI28" s="32" t="str">
        <f ca="1">IF($A28="","",IF(IF(CI$2&lt;=$A$1,1,0),IF(CI$4="休","",IF(COUNTIF(DATA!CJ:CJ,$A:$A)=0,"×","√")),""))</f>
        <v/>
      </c>
      <c r="CJ28" s="32" t="str">
        <f ca="1">IF($A28="","",IF(IF(CJ$2&lt;=$A$1,1,0),IF(CJ$4="休","",IF(COUNTIF(DATA!CK:CK,$A:$A)=0,"×","√")),""))</f>
        <v/>
      </c>
      <c r="CK28" s="32" t="str">
        <f ca="1">IF($A28="","",IF(IF(CK$2&lt;=$A$1,1,0),IF(CK$4="休","",IF(COUNTIF(DATA!CL:CL,$A:$A)=0,"×","√")),""))</f>
        <v/>
      </c>
      <c r="CL28" s="32" t="str">
        <f ca="1">IF($A28="","",IF(IF(CL$2&lt;=$A$1,1,0),IF(CL$4="休","",IF(COUNTIF(DATA!CM:CM,$A:$A)=0,"×","√")),""))</f>
        <v/>
      </c>
      <c r="CM28" s="32" t="str">
        <f ca="1">IF($A28="","",IF(IF(CM$2&lt;=$A$1,1,0),IF(CM$4="休","",IF(COUNTIF(DATA!CN:CN,$A:$A)=0,"×","√")),""))</f>
        <v/>
      </c>
      <c r="CN28" s="32" t="str">
        <f ca="1">IF($A28="","",IF(IF(CN$2&lt;=$A$1,1,0),IF(CN$4="休","",IF(COUNTIF(DATA!CO:CO,$A:$A)=0,"×","√")),""))</f>
        <v/>
      </c>
      <c r="CO28" s="32" t="str">
        <f ca="1">IF($A28="","",IF(IF(CO$2&lt;=$A$1,1,0),IF(CO$4="休","",IF(COUNTIF(DATA!CP:CP,$A:$A)=0,"×","√")),""))</f>
        <v/>
      </c>
      <c r="CP28" s="32" t="str">
        <f ca="1">IF($A28="","",IF(IF(CP$2&lt;=$A$1,1,0),IF(CP$4="休","",IF(COUNTIF(DATA!CQ:CQ,$A:$A)=0,"×","√")),""))</f>
        <v/>
      </c>
      <c r="CQ28" s="32" t="str">
        <f ca="1">IF($A28="","",IF(IF(CQ$2&lt;=$A$1,1,0),IF(CQ$4="休","",IF(COUNTIF(DATA!CR:CR,$A:$A)=0,"×","√")),""))</f>
        <v/>
      </c>
      <c r="CR28" s="32" t="str">
        <f ca="1">IF($A28="","",IF(IF(CR$2&lt;=$A$1,1,0),IF(CR$4="休","",IF(COUNTIF(DATA!CS:CS,$A:$A)=0,"×","√")),""))</f>
        <v/>
      </c>
    </row>
    <row r="29" s="26" customFormat="1" ht="18.75" spans="1:96">
      <c r="A29" s="32" t="str">
        <f>DATA!$A28&amp;""</f>
        <v>余良成</v>
      </c>
      <c r="B29" s="32" t="str">
        <f ca="1">IF($A29="","",IF(IF(B$2&lt;=$A$1,1,0),IF(B$4="休","",IF(COUNTIF(DATA!C:C,$A:$A)=0,"×","√")),""))</f>
        <v>√</v>
      </c>
      <c r="C29" s="32" t="str">
        <f ca="1">IF($A29="","",IF(IF(C$2&lt;=$A$1,1,0),IF(C$4="休","",IF(COUNTIF(DATA!D:D,$A:$A)=0,"×","√")),""))</f>
        <v>√</v>
      </c>
      <c r="D29" s="32" t="str">
        <f ca="1">IF($A29="","",IF(IF(D$2&lt;=$A$1,1,0),IF(D$4="休","",IF(COUNTIF(DATA!E:E,$A:$A)=0,"×","√")),""))</f>
        <v>√</v>
      </c>
      <c r="E29" s="32" t="str">
        <f ca="1">IF($A29="","",IF(IF(E$2&lt;=$A$1,1,0),IF(E$4="休","",IF(COUNTIF(DATA!F:F,$A:$A)=0,"×","√")),""))</f>
        <v>√</v>
      </c>
      <c r="F29" s="32" t="str">
        <f ca="1">IF($A29="","",IF(IF(F$2&lt;=$A$1,1,0),IF(F$4="休","",IF(COUNTIF(DATA!G:G,$A:$A)=0,"×","√")),""))</f>
        <v>√</v>
      </c>
      <c r="G29" s="32" t="str">
        <f ca="1">IF($A29="","",IF(IF(G$2&lt;=$A$1,1,0),IF(G$4="休","",IF(COUNTIF(DATA!H:H,$A:$A)=0,"×","√")),""))</f>
        <v>√</v>
      </c>
      <c r="H29" s="32" t="str">
        <f ca="1">IF($A29="","",IF(IF(H$2&lt;=$A$1,1,0),IF(H$4="休","",IF(COUNTIF(DATA!I:I,$A:$A)=0,"×","√")),""))</f>
        <v>√</v>
      </c>
      <c r="I29" s="32" t="str">
        <f ca="1">IF($A29="","",IF(IF(I$2&lt;=$A$1,1,0),IF(I$4="休","",IF(COUNTIF(DATA!J:J,$A:$A)=0,"×","√")),""))</f>
        <v>√</v>
      </c>
      <c r="J29" s="32" t="str">
        <f ca="1">IF($A29="","",IF(IF(J$2&lt;=$A$1,1,0),IF(J$4="休","",IF(COUNTIF(DATA!K:K,$A:$A)=0,"×","√")),""))</f>
        <v/>
      </c>
      <c r="K29" s="32" t="str">
        <f ca="1">IF($A29="","",IF(IF(K$2&lt;=$A$1,1,0),IF(K$4="休","",IF(COUNTIF(DATA!L:L,$A:$A)=0,"×","√")),""))</f>
        <v/>
      </c>
      <c r="L29" s="32" t="str">
        <f ca="1">IF($A29="","",IF(IF(L$2&lt;=$A$1,1,0),IF(L$4="休","",IF(COUNTIF(DATA!M:M,$A:$A)=0,"×","√")),""))</f>
        <v/>
      </c>
      <c r="M29" s="32" t="str">
        <f ca="1">IF($A29="","",IF(IF(M$2&lt;=$A$1,1,0),IF(M$4="休","",IF(COUNTIF(DATA!N:N,$A:$A)=0,"×","√")),""))</f>
        <v/>
      </c>
      <c r="N29" s="32" t="str">
        <f ca="1">IF($A29="","",IF(IF(N$2&lt;=$A$1,1,0),IF(N$4="休","",IF(COUNTIF(DATA!O:O,$A:$A)=0,"×","√")),""))</f>
        <v/>
      </c>
      <c r="O29" s="32" t="str">
        <f ca="1">IF($A29="","",IF(IF(O$2&lt;=$A$1,1,0),IF(O$4="休","",IF(COUNTIF(DATA!P:P,$A:$A)=0,"×","√")),""))</f>
        <v/>
      </c>
      <c r="P29" s="32" t="str">
        <f ca="1">IF($A29="","",IF(IF(P$2&lt;=$A$1,1,0),IF(P$4="休","",IF(COUNTIF(DATA!Q:Q,$A:$A)=0,"×","√")),""))</f>
        <v/>
      </c>
      <c r="Q29" s="32" t="str">
        <f ca="1">IF($A29="","",IF(IF(Q$2&lt;=$A$1,1,0),IF(Q$4="休","",IF(COUNTIF(DATA!R:R,$A:$A)=0,"×","√")),""))</f>
        <v/>
      </c>
      <c r="R29" s="32" t="str">
        <f ca="1">IF($A29="","",IF(IF(R$2&lt;=$A$1,1,0),IF(R$4="休","",IF(COUNTIF(DATA!S:S,$A:$A)=0,"×","√")),""))</f>
        <v/>
      </c>
      <c r="S29" s="32" t="str">
        <f ca="1">IF($A29="","",IF(IF(S$2&lt;=$A$1,1,0),IF(S$4="休","",IF(COUNTIF(DATA!T:T,$A:$A)=0,"×","√")),""))</f>
        <v/>
      </c>
      <c r="T29" s="32" t="str">
        <f ca="1">IF($A29="","",IF(IF(T$2&lt;=$A$1,1,0),IF(T$4="休","",IF(COUNTIF(DATA!U:U,$A:$A)=0,"×","√")),""))</f>
        <v/>
      </c>
      <c r="U29" s="32" t="str">
        <f ca="1">IF($A29="","",IF(IF(U$2&lt;=$A$1,1,0),IF(U$4="休","",IF(COUNTIF(DATA!V:V,$A:$A)=0,"×","√")),""))</f>
        <v/>
      </c>
      <c r="V29" s="32" t="str">
        <f ca="1">IF($A29="","",IF(IF(V$2&lt;=$A$1,1,0),IF(V$4="休","",IF(COUNTIF(DATA!W:W,$A:$A)=0,"×","√")),""))</f>
        <v/>
      </c>
      <c r="W29" s="32" t="str">
        <f ca="1">IF($A29="","",IF(IF(W$2&lt;=$A$1,1,0),IF(W$4="休","",IF(COUNTIF(DATA!X:X,$A:$A)=0,"×","√")),""))</f>
        <v/>
      </c>
      <c r="X29" s="32" t="str">
        <f ca="1">IF($A29="","",IF(IF(X$2&lt;=$A$1,1,0),IF(X$4="休","",IF(COUNTIF(DATA!Y:Y,$A:$A)=0,"×","√")),""))</f>
        <v/>
      </c>
      <c r="Y29" s="32" t="str">
        <f ca="1">IF($A29="","",IF(IF(Y$2&lt;=$A$1,1,0),IF(Y$4="休","",IF(COUNTIF(DATA!Z:Z,$A:$A)=0,"×","√")),""))</f>
        <v/>
      </c>
      <c r="Z29" s="32" t="str">
        <f ca="1">IF($A29="","",IF(IF(Z$2&lt;=$A$1,1,0),IF(Z$4="休","",IF(COUNTIF(DATA!AA:AA,$A:$A)=0,"×","√")),""))</f>
        <v/>
      </c>
      <c r="AA29" s="32" t="str">
        <f ca="1">IF($A29="","",IF(IF(AA$2&lt;=$A$1,1,0),IF(AA$4="休","",IF(COUNTIF(DATA!AB:AB,$A:$A)=0,"×","√")),""))</f>
        <v/>
      </c>
      <c r="AB29" s="32" t="str">
        <f ca="1">IF($A29="","",IF(IF(AB$2&lt;=$A$1,1,0),IF(AB$4="休","",IF(COUNTIF(DATA!AC:AC,$A:$A)=0,"×","√")),""))</f>
        <v/>
      </c>
      <c r="AC29" s="32" t="str">
        <f ca="1">IF($A29="","",IF(IF(AC$2&lt;=$A$1,1,0),IF(AC$4="休","",IF(COUNTIF(DATA!AD:AD,$A:$A)=0,"×","√")),""))</f>
        <v/>
      </c>
      <c r="AD29" s="32" t="str">
        <f ca="1">IF($A29="","",IF(IF(AD$2&lt;=$A$1,1,0),IF(AD$4="休","",IF(COUNTIF(DATA!AE:AE,$A:$A)=0,"×","√")),""))</f>
        <v/>
      </c>
      <c r="AE29" s="32" t="str">
        <f ca="1">IF($A29="","",IF(IF(AE$2&lt;=$A$1,1,0),IF(AE$4="休","",IF(COUNTIF(DATA!AF:AF,$A:$A)=0,"×","√")),""))</f>
        <v/>
      </c>
      <c r="AF29" s="32" t="str">
        <f ca="1">IF($A29="","",IF(IF(AF$2&lt;=$A$1,1,0),IF(AF$4="休","",IF(COUNTIF(DATA!AG:AG,$A:$A)=0,"×","√")),""))</f>
        <v/>
      </c>
      <c r="AG29" s="32" t="str">
        <f ca="1">IF($A29="","",IF(IF(AG$2&lt;=$A$1,1,0),IF(AG$4="休","",IF(COUNTIF(DATA!AH:AH,$A:$A)=0,"×","√")),""))</f>
        <v/>
      </c>
      <c r="AH29" s="32" t="str">
        <f ca="1">IF($A29="","",IF(IF(AH$2&lt;=$A$1,1,0),IF(AH$4="休","",IF(COUNTIF(DATA!AI:AI,$A:$A)=0,"×","√")),""))</f>
        <v/>
      </c>
      <c r="AI29" s="32" t="str">
        <f ca="1">IF($A29="","",IF(IF(AI$2&lt;=$A$1,1,0),IF(AI$4="休","",IF(COUNTIF(DATA!AJ:AJ,$A:$A)=0,"×","√")),""))</f>
        <v/>
      </c>
      <c r="AJ29" s="32" t="str">
        <f ca="1">IF($A29="","",IF(IF(AJ$2&lt;=$A$1,1,0),IF(AJ$4="休","",IF(COUNTIF(DATA!AK:AK,$A:$A)=0,"×","√")),""))</f>
        <v/>
      </c>
      <c r="AK29" s="32" t="str">
        <f ca="1">IF($A29="","",IF(IF(AK$2&lt;=$A$1,1,0),IF(AK$4="休","",IF(COUNTIF(DATA!AL:AL,$A:$A)=0,"×","√")),""))</f>
        <v/>
      </c>
      <c r="AL29" s="32" t="str">
        <f ca="1">IF($A29="","",IF(IF(AL$2&lt;=$A$1,1,0),IF(AL$4="休","",IF(COUNTIF(DATA!AM:AM,$A:$A)=0,"×","√")),""))</f>
        <v/>
      </c>
      <c r="AM29" s="32" t="str">
        <f ca="1">IF($A29="","",IF(IF(AM$2&lt;=$A$1,1,0),IF(AM$4="休","",IF(COUNTIF(DATA!AN:AN,$A:$A)=0,"×","√")),""))</f>
        <v/>
      </c>
      <c r="AN29" s="32" t="str">
        <f ca="1">IF($A29="","",IF(IF(AN$2&lt;=$A$1,1,0),IF(AN$4="休","",IF(COUNTIF(DATA!AO:AO,$A:$A)=0,"×","√")),""))</f>
        <v/>
      </c>
      <c r="AO29" s="32" t="str">
        <f ca="1">IF($A29="","",IF(IF(AO$2&lt;=$A$1,1,0),IF(AO$4="休","",IF(COUNTIF(DATA!AP:AP,$A:$A)=0,"×","√")),""))</f>
        <v/>
      </c>
      <c r="AP29" s="32" t="str">
        <f ca="1">IF($A29="","",IF(IF(AP$2&lt;=$A$1,1,0),IF(AP$4="休","",IF(COUNTIF(DATA!AQ:AQ,$A:$A)=0,"×","√")),""))</f>
        <v/>
      </c>
      <c r="AQ29" s="32" t="str">
        <f ca="1">IF($A29="","",IF(IF(AQ$2&lt;=$A$1,1,0),IF(AQ$4="休","",IF(COUNTIF(DATA!AR:AR,$A:$A)=0,"×","√")),""))</f>
        <v/>
      </c>
      <c r="AR29" s="32" t="str">
        <f ca="1">IF($A29="","",IF(IF(AR$2&lt;=$A$1,1,0),IF(AR$4="休","",IF(COUNTIF(DATA!AS:AS,$A:$A)=0,"×","√")),""))</f>
        <v/>
      </c>
      <c r="AS29" s="32" t="str">
        <f ca="1">IF($A29="","",IF(IF(AS$2&lt;=$A$1,1,0),IF(AS$4="休","",IF(COUNTIF(DATA!AT:AT,$A:$A)=0,"×","√")),""))</f>
        <v/>
      </c>
      <c r="AT29" s="32" t="str">
        <f ca="1">IF($A29="","",IF(IF(AT$2&lt;=$A$1,1,0),IF(AT$4="休","",IF(COUNTIF(DATA!AU:AU,$A:$A)=0,"×","√")),""))</f>
        <v/>
      </c>
      <c r="AU29" s="32" t="str">
        <f ca="1">IF($A29="","",IF(IF(AU$2&lt;=$A$1,1,0),IF(AU$4="休","",IF(COUNTIF(DATA!AV:AV,$A:$A)=0,"×","√")),""))</f>
        <v/>
      </c>
      <c r="AV29" s="32" t="str">
        <f ca="1">IF($A29="","",IF(IF(AV$2&lt;=$A$1,1,0),IF(AV$4="休","",IF(COUNTIF(DATA!AW:AW,$A:$A)=0,"×","√")),""))</f>
        <v/>
      </c>
      <c r="AW29" s="32" t="str">
        <f ca="1">IF($A29="","",IF(IF(AW$2&lt;=$A$1,1,0),IF(AW$4="休","",IF(COUNTIF(DATA!AX:AX,$A:$A)=0,"×","√")),""))</f>
        <v/>
      </c>
      <c r="AX29" s="32" t="str">
        <f ca="1">IF($A29="","",IF(IF(AX$2&lt;=$A$1,1,0),IF(AX$4="休","",IF(COUNTIF(DATA!AY:AY,$A:$A)=0,"×","√")),""))</f>
        <v/>
      </c>
      <c r="AY29" s="32" t="str">
        <f ca="1">IF($A29="","",IF(IF(AY$2&lt;=$A$1,1,0),IF(AY$4="休","",IF(COUNTIF(DATA!AZ:AZ,$A:$A)=0,"×","√")),""))</f>
        <v/>
      </c>
      <c r="AZ29" s="32" t="str">
        <f ca="1">IF($A29="","",IF(IF(AZ$2&lt;=$A$1,1,0),IF(AZ$4="休","",IF(COUNTIF(DATA!BA:BA,$A:$A)=0,"×","√")),""))</f>
        <v/>
      </c>
      <c r="BA29" s="32" t="str">
        <f ca="1">IF($A29="","",IF(IF(BA$2&lt;=$A$1,1,0),IF(BA$4="休","",IF(COUNTIF(DATA!BB:BB,$A:$A)=0,"×","√")),""))</f>
        <v/>
      </c>
      <c r="BB29" s="32" t="str">
        <f ca="1">IF($A29="","",IF(IF(BB$2&lt;=$A$1,1,0),IF(BB$4="休","",IF(COUNTIF(DATA!BC:BC,$A:$A)=0,"×","√")),""))</f>
        <v/>
      </c>
      <c r="BC29" s="32" t="str">
        <f ca="1">IF($A29="","",IF(IF(BC$2&lt;=$A$1,1,0),IF(BC$4="休","",IF(COUNTIF(DATA!BD:BD,$A:$A)=0,"×","√")),""))</f>
        <v/>
      </c>
      <c r="BD29" s="32" t="str">
        <f ca="1">IF($A29="","",IF(IF(BD$2&lt;=$A$1,1,0),IF(BD$4="休","",IF(COUNTIF(DATA!BE:BE,$A:$A)=0,"×","√")),""))</f>
        <v/>
      </c>
      <c r="BE29" s="32" t="str">
        <f ca="1">IF($A29="","",IF(IF(BE$2&lt;=$A$1,1,0),IF(BE$4="休","",IF(COUNTIF(DATA!BF:BF,$A:$A)=0,"×","√")),""))</f>
        <v/>
      </c>
      <c r="BF29" s="32" t="str">
        <f ca="1">IF($A29="","",IF(IF(BF$2&lt;=$A$1,1,0),IF(BF$4="休","",IF(COUNTIF(DATA!BG:BG,$A:$A)=0,"×","√")),""))</f>
        <v/>
      </c>
      <c r="BG29" s="32" t="str">
        <f ca="1">IF($A29="","",IF(IF(BG$2&lt;=$A$1,1,0),IF(BG$4="休","",IF(COUNTIF(DATA!BH:BH,$A:$A)=0,"×","√")),""))</f>
        <v/>
      </c>
      <c r="BH29" s="32" t="str">
        <f ca="1">IF($A29="","",IF(IF(BH$2&lt;=$A$1,1,0),IF(BH$4="休","",IF(COUNTIF(DATA!BI:BI,$A:$A)=0,"×","√")),""))</f>
        <v/>
      </c>
      <c r="BI29" s="32" t="str">
        <f ca="1">IF($A29="","",IF(IF(BI$2&lt;=$A$1,1,0),IF(BI$4="休","",IF(COUNTIF(DATA!BJ:BJ,$A:$A)=0,"×","√")),""))</f>
        <v/>
      </c>
      <c r="BJ29" s="32" t="str">
        <f ca="1">IF($A29="","",IF(IF(BJ$2&lt;=$A$1,1,0),IF(BJ$4="休","",IF(COUNTIF(DATA!BK:BK,$A:$A)=0,"×","√")),""))</f>
        <v/>
      </c>
      <c r="BK29" s="32" t="str">
        <f ca="1">IF($A29="","",IF(IF(BK$2&lt;=$A$1,1,0),IF(BK$4="休","",IF(COUNTIF(DATA!BL:BL,$A:$A)=0,"×","√")),""))</f>
        <v/>
      </c>
      <c r="BL29" s="32" t="str">
        <f ca="1">IF($A29="","",IF(IF(BL$2&lt;=$A$1,1,0),IF(BL$4="休","",IF(COUNTIF(DATA!BM:BM,$A:$A)=0,"×","√")),""))</f>
        <v/>
      </c>
      <c r="BM29" s="32" t="str">
        <f ca="1">IF($A29="","",IF(IF(BM$2&lt;=$A$1,1,0),IF(BM$4="休","",IF(COUNTIF(DATA!BN:BN,$A:$A)=0,"×","√")),""))</f>
        <v/>
      </c>
      <c r="BN29" s="32" t="str">
        <f ca="1">IF($A29="","",IF(IF(BN$2&lt;=$A$1,1,0),IF(BN$4="休","",IF(COUNTIF(DATA!BO:BO,$A:$A)=0,"×","√")),""))</f>
        <v/>
      </c>
      <c r="BO29" s="32" t="str">
        <f ca="1">IF($A29="","",IF(IF(BO$2&lt;=$A$1,1,0),IF(BO$4="休","",IF(COUNTIF(DATA!BP:BP,$A:$A)=0,"×","√")),""))</f>
        <v/>
      </c>
      <c r="BP29" s="32" t="str">
        <f ca="1">IF($A29="","",IF(IF(BP$2&lt;=$A$1,1,0),IF(BP$4="休","",IF(COUNTIF(DATA!BQ:BQ,$A:$A)=0,"×","√")),""))</f>
        <v/>
      </c>
      <c r="BQ29" s="32" t="str">
        <f ca="1">IF($A29="","",IF(IF(BQ$2&lt;=$A$1,1,0),IF(BQ$4="休","",IF(COUNTIF(DATA!BR:BR,$A:$A)=0,"×","√")),""))</f>
        <v/>
      </c>
      <c r="BR29" s="32" t="str">
        <f ca="1">IF($A29="","",IF(IF(BR$2&lt;=$A$1,1,0),IF(BR$4="休","",IF(COUNTIF(DATA!BS:BS,$A:$A)=0,"×","√")),""))</f>
        <v/>
      </c>
      <c r="BS29" s="32" t="str">
        <f ca="1">IF($A29="","",IF(IF(BS$2&lt;=$A$1,1,0),IF(BS$4="休","",IF(COUNTIF(DATA!BT:BT,$A:$A)=0,"×","√")),""))</f>
        <v/>
      </c>
      <c r="BT29" s="32" t="str">
        <f ca="1">IF($A29="","",IF(IF(BT$2&lt;=$A$1,1,0),IF(BT$4="休","",IF(COUNTIF(DATA!BU:BU,$A:$A)=0,"×","√")),""))</f>
        <v/>
      </c>
      <c r="BU29" s="32" t="str">
        <f ca="1">IF($A29="","",IF(IF(BU$2&lt;=$A$1,1,0),IF(BU$4="休","",IF(COUNTIF(DATA!BV:BV,$A:$A)=0,"×","√")),""))</f>
        <v/>
      </c>
      <c r="BV29" s="32" t="str">
        <f ca="1">IF($A29="","",IF(IF(BV$2&lt;=$A$1,1,0),IF(BV$4="休","",IF(COUNTIF(DATA!BW:BW,$A:$A)=0,"×","√")),""))</f>
        <v/>
      </c>
      <c r="BW29" s="32" t="str">
        <f ca="1">IF($A29="","",IF(IF(BW$2&lt;=$A$1,1,0),IF(BW$4="休","",IF(COUNTIF(DATA!BX:BX,$A:$A)=0,"×","√")),""))</f>
        <v/>
      </c>
      <c r="BX29" s="32" t="str">
        <f ca="1">IF($A29="","",IF(IF(BX$2&lt;=$A$1,1,0),IF(BX$4="休","",IF(COUNTIF(DATA!BY:BY,$A:$A)=0,"×","√")),""))</f>
        <v/>
      </c>
      <c r="BY29" s="32" t="str">
        <f ca="1">IF($A29="","",IF(IF(BY$2&lt;=$A$1,1,0),IF(BY$4="休","",IF(COUNTIF(DATA!BZ:BZ,$A:$A)=0,"×","√")),""))</f>
        <v/>
      </c>
      <c r="BZ29" s="32" t="str">
        <f ca="1">IF($A29="","",IF(IF(BZ$2&lt;=$A$1,1,0),IF(BZ$4="休","",IF(COUNTIF(DATA!CA:CA,$A:$A)=0,"×","√")),""))</f>
        <v/>
      </c>
      <c r="CA29" s="32" t="str">
        <f ca="1">IF($A29="","",IF(IF(CA$2&lt;=$A$1,1,0),IF(CA$4="休","",IF(COUNTIF(DATA!CB:CB,$A:$A)=0,"×","√")),""))</f>
        <v/>
      </c>
      <c r="CB29" s="32" t="str">
        <f ca="1">IF($A29="","",IF(IF(CB$2&lt;=$A$1,1,0),IF(CB$4="休","",IF(COUNTIF(DATA!CC:CC,$A:$A)=0,"×","√")),""))</f>
        <v/>
      </c>
      <c r="CC29" s="32" t="str">
        <f ca="1">IF($A29="","",IF(IF(CC$2&lt;=$A$1,1,0),IF(CC$4="休","",IF(COUNTIF(DATA!CD:CD,$A:$A)=0,"×","√")),""))</f>
        <v/>
      </c>
      <c r="CD29" s="32" t="str">
        <f ca="1">IF($A29="","",IF(IF(CD$2&lt;=$A$1,1,0),IF(CD$4="休","",IF(COUNTIF(DATA!CE:CE,$A:$A)=0,"×","√")),""))</f>
        <v/>
      </c>
      <c r="CE29" s="32" t="str">
        <f ca="1">IF($A29="","",IF(IF(CE$2&lt;=$A$1,1,0),IF(CE$4="休","",IF(COUNTIF(DATA!CF:CF,$A:$A)=0,"×","√")),""))</f>
        <v/>
      </c>
      <c r="CF29" s="32" t="str">
        <f ca="1">IF($A29="","",IF(IF(CF$2&lt;=$A$1,1,0),IF(CF$4="休","",IF(COUNTIF(DATA!CG:CG,$A:$A)=0,"×","√")),""))</f>
        <v/>
      </c>
      <c r="CG29" s="32" t="str">
        <f ca="1">IF($A29="","",IF(IF(CG$2&lt;=$A$1,1,0),IF(CG$4="休","",IF(COUNTIF(DATA!CH:CH,$A:$A)=0,"×","√")),""))</f>
        <v/>
      </c>
      <c r="CH29" s="32" t="str">
        <f ca="1">IF($A29="","",IF(IF(CH$2&lt;=$A$1,1,0),IF(CH$4="休","",IF(COUNTIF(DATA!CI:CI,$A:$A)=0,"×","√")),""))</f>
        <v/>
      </c>
      <c r="CI29" s="32" t="str">
        <f ca="1">IF($A29="","",IF(IF(CI$2&lt;=$A$1,1,0),IF(CI$4="休","",IF(COUNTIF(DATA!CJ:CJ,$A:$A)=0,"×","√")),""))</f>
        <v/>
      </c>
      <c r="CJ29" s="32" t="str">
        <f ca="1">IF($A29="","",IF(IF(CJ$2&lt;=$A$1,1,0),IF(CJ$4="休","",IF(COUNTIF(DATA!CK:CK,$A:$A)=0,"×","√")),""))</f>
        <v/>
      </c>
      <c r="CK29" s="32" t="str">
        <f ca="1">IF($A29="","",IF(IF(CK$2&lt;=$A$1,1,0),IF(CK$4="休","",IF(COUNTIF(DATA!CL:CL,$A:$A)=0,"×","√")),""))</f>
        <v/>
      </c>
      <c r="CL29" s="32" t="str">
        <f ca="1">IF($A29="","",IF(IF(CL$2&lt;=$A$1,1,0),IF(CL$4="休","",IF(COUNTIF(DATA!CM:CM,$A:$A)=0,"×","√")),""))</f>
        <v/>
      </c>
      <c r="CM29" s="32" t="str">
        <f ca="1">IF($A29="","",IF(IF(CM$2&lt;=$A$1,1,0),IF(CM$4="休","",IF(COUNTIF(DATA!CN:CN,$A:$A)=0,"×","√")),""))</f>
        <v/>
      </c>
      <c r="CN29" s="32" t="str">
        <f ca="1">IF($A29="","",IF(IF(CN$2&lt;=$A$1,1,0),IF(CN$4="休","",IF(COUNTIF(DATA!CO:CO,$A:$A)=0,"×","√")),""))</f>
        <v/>
      </c>
      <c r="CO29" s="32" t="str">
        <f ca="1">IF($A29="","",IF(IF(CO$2&lt;=$A$1,1,0),IF(CO$4="休","",IF(COUNTIF(DATA!CP:CP,$A:$A)=0,"×","√")),""))</f>
        <v/>
      </c>
      <c r="CP29" s="32" t="str">
        <f ca="1">IF($A29="","",IF(IF(CP$2&lt;=$A$1,1,0),IF(CP$4="休","",IF(COUNTIF(DATA!CQ:CQ,$A:$A)=0,"×","√")),""))</f>
        <v/>
      </c>
      <c r="CQ29" s="32" t="str">
        <f ca="1">IF($A29="","",IF(IF(CQ$2&lt;=$A$1,1,0),IF(CQ$4="休","",IF(COUNTIF(DATA!CR:CR,$A:$A)=0,"×","√")),""))</f>
        <v/>
      </c>
      <c r="CR29" s="32" t="str">
        <f ca="1">IF($A29="","",IF(IF(CR$2&lt;=$A$1,1,0),IF(CR$4="休","",IF(COUNTIF(DATA!CS:CS,$A:$A)=0,"×","√")),""))</f>
        <v/>
      </c>
    </row>
    <row r="30" s="26" customFormat="1" ht="18.75" spans="1:96">
      <c r="A30" s="32" t="str">
        <f>DATA!$A29&amp;""</f>
        <v>黄文辉</v>
      </c>
      <c r="B30" s="32" t="str">
        <f ca="1">IF($A30="","",IF(IF(B$2&lt;=$A$1,1,0),IF(B$4="休","",IF(COUNTIF(DATA!C:C,$A:$A)=0,"×","√")),""))</f>
        <v>√</v>
      </c>
      <c r="C30" s="32" t="str">
        <f ca="1">IF($A30="","",IF(IF(C$2&lt;=$A$1,1,0),IF(C$4="休","",IF(COUNTIF(DATA!D:D,$A:$A)=0,"×","√")),""))</f>
        <v>√</v>
      </c>
      <c r="D30" s="32" t="str">
        <f ca="1">IF($A30="","",IF(IF(D$2&lt;=$A$1,1,0),IF(D$4="休","",IF(COUNTIF(DATA!E:E,$A:$A)=0,"×","√")),""))</f>
        <v>√</v>
      </c>
      <c r="E30" s="32" t="str">
        <f ca="1">IF($A30="","",IF(IF(E$2&lt;=$A$1,1,0),IF(E$4="休","",IF(COUNTIF(DATA!F:F,$A:$A)=0,"×","√")),""))</f>
        <v>√</v>
      </c>
      <c r="F30" s="32" t="str">
        <f ca="1">IF($A30="","",IF(IF(F$2&lt;=$A$1,1,0),IF(F$4="休","",IF(COUNTIF(DATA!G:G,$A:$A)=0,"×","√")),""))</f>
        <v>√</v>
      </c>
      <c r="G30" s="32" t="str">
        <f ca="1">IF($A30="","",IF(IF(G$2&lt;=$A$1,1,0),IF(G$4="休","",IF(COUNTIF(DATA!H:H,$A:$A)=0,"×","√")),""))</f>
        <v>√</v>
      </c>
      <c r="H30" s="32" t="str">
        <f ca="1">IF($A30="","",IF(IF(H$2&lt;=$A$1,1,0),IF(H$4="休","",IF(COUNTIF(DATA!I:I,$A:$A)=0,"×","√")),""))</f>
        <v>√</v>
      </c>
      <c r="I30" s="32" t="str">
        <f ca="1">IF($A30="","",IF(IF(I$2&lt;=$A$1,1,0),IF(I$4="休","",IF(COUNTIF(DATA!J:J,$A:$A)=0,"×","√")),""))</f>
        <v>√</v>
      </c>
      <c r="J30" s="32" t="str">
        <f ca="1">IF($A30="","",IF(IF(J$2&lt;=$A$1,1,0),IF(J$4="休","",IF(COUNTIF(DATA!K:K,$A:$A)=0,"×","√")),""))</f>
        <v/>
      </c>
      <c r="K30" s="32" t="str">
        <f ca="1">IF($A30="","",IF(IF(K$2&lt;=$A$1,1,0),IF(K$4="休","",IF(COUNTIF(DATA!L:L,$A:$A)=0,"×","√")),""))</f>
        <v/>
      </c>
      <c r="L30" s="32" t="str">
        <f ca="1">IF($A30="","",IF(IF(L$2&lt;=$A$1,1,0),IF(L$4="休","",IF(COUNTIF(DATA!M:M,$A:$A)=0,"×","√")),""))</f>
        <v/>
      </c>
      <c r="M30" s="32" t="str">
        <f ca="1">IF($A30="","",IF(IF(M$2&lt;=$A$1,1,0),IF(M$4="休","",IF(COUNTIF(DATA!N:N,$A:$A)=0,"×","√")),""))</f>
        <v/>
      </c>
      <c r="N30" s="32" t="str">
        <f ca="1">IF($A30="","",IF(IF(N$2&lt;=$A$1,1,0),IF(N$4="休","",IF(COUNTIF(DATA!O:O,$A:$A)=0,"×","√")),""))</f>
        <v/>
      </c>
      <c r="O30" s="32" t="str">
        <f ca="1">IF($A30="","",IF(IF(O$2&lt;=$A$1,1,0),IF(O$4="休","",IF(COUNTIF(DATA!P:P,$A:$A)=0,"×","√")),""))</f>
        <v/>
      </c>
      <c r="P30" s="32" t="str">
        <f ca="1">IF($A30="","",IF(IF(P$2&lt;=$A$1,1,0),IF(P$4="休","",IF(COUNTIF(DATA!Q:Q,$A:$A)=0,"×","√")),""))</f>
        <v/>
      </c>
      <c r="Q30" s="32" t="str">
        <f ca="1">IF($A30="","",IF(IF(Q$2&lt;=$A$1,1,0),IF(Q$4="休","",IF(COUNTIF(DATA!R:R,$A:$A)=0,"×","√")),""))</f>
        <v/>
      </c>
      <c r="R30" s="32" t="str">
        <f ca="1">IF($A30="","",IF(IF(R$2&lt;=$A$1,1,0),IF(R$4="休","",IF(COUNTIF(DATA!S:S,$A:$A)=0,"×","√")),""))</f>
        <v/>
      </c>
      <c r="S30" s="32" t="str">
        <f ca="1">IF($A30="","",IF(IF(S$2&lt;=$A$1,1,0),IF(S$4="休","",IF(COUNTIF(DATA!T:T,$A:$A)=0,"×","√")),""))</f>
        <v/>
      </c>
      <c r="T30" s="32" t="str">
        <f ca="1">IF($A30="","",IF(IF(T$2&lt;=$A$1,1,0),IF(T$4="休","",IF(COUNTIF(DATA!U:U,$A:$A)=0,"×","√")),""))</f>
        <v/>
      </c>
      <c r="U30" s="32" t="str">
        <f ca="1">IF($A30="","",IF(IF(U$2&lt;=$A$1,1,0),IF(U$4="休","",IF(COUNTIF(DATA!V:V,$A:$A)=0,"×","√")),""))</f>
        <v/>
      </c>
      <c r="V30" s="32" t="str">
        <f ca="1">IF($A30="","",IF(IF(V$2&lt;=$A$1,1,0),IF(V$4="休","",IF(COUNTIF(DATA!W:W,$A:$A)=0,"×","√")),""))</f>
        <v/>
      </c>
      <c r="W30" s="32" t="str">
        <f ca="1">IF($A30="","",IF(IF(W$2&lt;=$A$1,1,0),IF(W$4="休","",IF(COUNTIF(DATA!X:X,$A:$A)=0,"×","√")),""))</f>
        <v/>
      </c>
      <c r="X30" s="32" t="str">
        <f ca="1">IF($A30="","",IF(IF(X$2&lt;=$A$1,1,0),IF(X$4="休","",IF(COUNTIF(DATA!Y:Y,$A:$A)=0,"×","√")),""))</f>
        <v/>
      </c>
      <c r="Y30" s="32" t="str">
        <f ca="1">IF($A30="","",IF(IF(Y$2&lt;=$A$1,1,0),IF(Y$4="休","",IF(COUNTIF(DATA!Z:Z,$A:$A)=0,"×","√")),""))</f>
        <v/>
      </c>
      <c r="Z30" s="32" t="str">
        <f ca="1">IF($A30="","",IF(IF(Z$2&lt;=$A$1,1,0),IF(Z$4="休","",IF(COUNTIF(DATA!AA:AA,$A:$A)=0,"×","√")),""))</f>
        <v/>
      </c>
      <c r="AA30" s="32" t="str">
        <f ca="1">IF($A30="","",IF(IF(AA$2&lt;=$A$1,1,0),IF(AA$4="休","",IF(COUNTIF(DATA!AB:AB,$A:$A)=0,"×","√")),""))</f>
        <v/>
      </c>
      <c r="AB30" s="32" t="str">
        <f ca="1">IF($A30="","",IF(IF(AB$2&lt;=$A$1,1,0),IF(AB$4="休","",IF(COUNTIF(DATA!AC:AC,$A:$A)=0,"×","√")),""))</f>
        <v/>
      </c>
      <c r="AC30" s="32" t="str">
        <f ca="1">IF($A30="","",IF(IF(AC$2&lt;=$A$1,1,0),IF(AC$4="休","",IF(COUNTIF(DATA!AD:AD,$A:$A)=0,"×","√")),""))</f>
        <v/>
      </c>
      <c r="AD30" s="32" t="str">
        <f ca="1">IF($A30="","",IF(IF(AD$2&lt;=$A$1,1,0),IF(AD$4="休","",IF(COUNTIF(DATA!AE:AE,$A:$A)=0,"×","√")),""))</f>
        <v/>
      </c>
      <c r="AE30" s="32" t="str">
        <f ca="1">IF($A30="","",IF(IF(AE$2&lt;=$A$1,1,0),IF(AE$4="休","",IF(COUNTIF(DATA!AF:AF,$A:$A)=0,"×","√")),""))</f>
        <v/>
      </c>
      <c r="AF30" s="32" t="str">
        <f ca="1">IF($A30="","",IF(IF(AF$2&lt;=$A$1,1,0),IF(AF$4="休","",IF(COUNTIF(DATA!AG:AG,$A:$A)=0,"×","√")),""))</f>
        <v/>
      </c>
      <c r="AG30" s="32" t="str">
        <f ca="1">IF($A30="","",IF(IF(AG$2&lt;=$A$1,1,0),IF(AG$4="休","",IF(COUNTIF(DATA!AH:AH,$A:$A)=0,"×","√")),""))</f>
        <v/>
      </c>
      <c r="AH30" s="32" t="str">
        <f ca="1">IF($A30="","",IF(IF(AH$2&lt;=$A$1,1,0),IF(AH$4="休","",IF(COUNTIF(DATA!AI:AI,$A:$A)=0,"×","√")),""))</f>
        <v/>
      </c>
      <c r="AI30" s="32" t="str">
        <f ca="1">IF($A30="","",IF(IF(AI$2&lt;=$A$1,1,0),IF(AI$4="休","",IF(COUNTIF(DATA!AJ:AJ,$A:$A)=0,"×","√")),""))</f>
        <v/>
      </c>
      <c r="AJ30" s="32" t="str">
        <f ca="1">IF($A30="","",IF(IF(AJ$2&lt;=$A$1,1,0),IF(AJ$4="休","",IF(COUNTIF(DATA!AK:AK,$A:$A)=0,"×","√")),""))</f>
        <v/>
      </c>
      <c r="AK30" s="32" t="str">
        <f ca="1">IF($A30="","",IF(IF(AK$2&lt;=$A$1,1,0),IF(AK$4="休","",IF(COUNTIF(DATA!AL:AL,$A:$A)=0,"×","√")),""))</f>
        <v/>
      </c>
      <c r="AL30" s="32" t="str">
        <f ca="1">IF($A30="","",IF(IF(AL$2&lt;=$A$1,1,0),IF(AL$4="休","",IF(COUNTIF(DATA!AM:AM,$A:$A)=0,"×","√")),""))</f>
        <v/>
      </c>
      <c r="AM30" s="32" t="str">
        <f ca="1">IF($A30="","",IF(IF(AM$2&lt;=$A$1,1,0),IF(AM$4="休","",IF(COUNTIF(DATA!AN:AN,$A:$A)=0,"×","√")),""))</f>
        <v/>
      </c>
      <c r="AN30" s="32" t="str">
        <f ca="1">IF($A30="","",IF(IF(AN$2&lt;=$A$1,1,0),IF(AN$4="休","",IF(COUNTIF(DATA!AO:AO,$A:$A)=0,"×","√")),""))</f>
        <v/>
      </c>
      <c r="AO30" s="32" t="str">
        <f ca="1">IF($A30="","",IF(IF(AO$2&lt;=$A$1,1,0),IF(AO$4="休","",IF(COUNTIF(DATA!AP:AP,$A:$A)=0,"×","√")),""))</f>
        <v/>
      </c>
      <c r="AP30" s="32" t="str">
        <f ca="1">IF($A30="","",IF(IF(AP$2&lt;=$A$1,1,0),IF(AP$4="休","",IF(COUNTIF(DATA!AQ:AQ,$A:$A)=0,"×","√")),""))</f>
        <v/>
      </c>
      <c r="AQ30" s="32" t="str">
        <f ca="1">IF($A30="","",IF(IF(AQ$2&lt;=$A$1,1,0),IF(AQ$4="休","",IF(COUNTIF(DATA!AR:AR,$A:$A)=0,"×","√")),""))</f>
        <v/>
      </c>
      <c r="AR30" s="32" t="str">
        <f ca="1">IF($A30="","",IF(IF(AR$2&lt;=$A$1,1,0),IF(AR$4="休","",IF(COUNTIF(DATA!AS:AS,$A:$A)=0,"×","√")),""))</f>
        <v/>
      </c>
      <c r="AS30" s="32" t="str">
        <f ca="1">IF($A30="","",IF(IF(AS$2&lt;=$A$1,1,0),IF(AS$4="休","",IF(COUNTIF(DATA!AT:AT,$A:$A)=0,"×","√")),""))</f>
        <v/>
      </c>
      <c r="AT30" s="32" t="str">
        <f ca="1">IF($A30="","",IF(IF(AT$2&lt;=$A$1,1,0),IF(AT$4="休","",IF(COUNTIF(DATA!AU:AU,$A:$A)=0,"×","√")),""))</f>
        <v/>
      </c>
      <c r="AU30" s="32" t="str">
        <f ca="1">IF($A30="","",IF(IF(AU$2&lt;=$A$1,1,0),IF(AU$4="休","",IF(COUNTIF(DATA!AV:AV,$A:$A)=0,"×","√")),""))</f>
        <v/>
      </c>
      <c r="AV30" s="32" t="str">
        <f ca="1">IF($A30="","",IF(IF(AV$2&lt;=$A$1,1,0),IF(AV$4="休","",IF(COUNTIF(DATA!AW:AW,$A:$A)=0,"×","√")),""))</f>
        <v/>
      </c>
      <c r="AW30" s="32" t="str">
        <f ca="1">IF($A30="","",IF(IF(AW$2&lt;=$A$1,1,0),IF(AW$4="休","",IF(COUNTIF(DATA!AX:AX,$A:$A)=0,"×","√")),""))</f>
        <v/>
      </c>
      <c r="AX30" s="32" t="str">
        <f ca="1">IF($A30="","",IF(IF(AX$2&lt;=$A$1,1,0),IF(AX$4="休","",IF(COUNTIF(DATA!AY:AY,$A:$A)=0,"×","√")),""))</f>
        <v/>
      </c>
      <c r="AY30" s="32" t="str">
        <f ca="1">IF($A30="","",IF(IF(AY$2&lt;=$A$1,1,0),IF(AY$4="休","",IF(COUNTIF(DATA!AZ:AZ,$A:$A)=0,"×","√")),""))</f>
        <v/>
      </c>
      <c r="AZ30" s="32" t="str">
        <f ca="1">IF($A30="","",IF(IF(AZ$2&lt;=$A$1,1,0),IF(AZ$4="休","",IF(COUNTIF(DATA!BA:BA,$A:$A)=0,"×","√")),""))</f>
        <v/>
      </c>
      <c r="BA30" s="32" t="str">
        <f ca="1">IF($A30="","",IF(IF(BA$2&lt;=$A$1,1,0),IF(BA$4="休","",IF(COUNTIF(DATA!BB:BB,$A:$A)=0,"×","√")),""))</f>
        <v/>
      </c>
      <c r="BB30" s="32" t="str">
        <f ca="1">IF($A30="","",IF(IF(BB$2&lt;=$A$1,1,0),IF(BB$4="休","",IF(COUNTIF(DATA!BC:BC,$A:$A)=0,"×","√")),""))</f>
        <v/>
      </c>
      <c r="BC30" s="32" t="str">
        <f ca="1">IF($A30="","",IF(IF(BC$2&lt;=$A$1,1,0),IF(BC$4="休","",IF(COUNTIF(DATA!BD:BD,$A:$A)=0,"×","√")),""))</f>
        <v/>
      </c>
      <c r="BD30" s="32" t="str">
        <f ca="1">IF($A30="","",IF(IF(BD$2&lt;=$A$1,1,0),IF(BD$4="休","",IF(COUNTIF(DATA!BE:BE,$A:$A)=0,"×","√")),""))</f>
        <v/>
      </c>
      <c r="BE30" s="32" t="str">
        <f ca="1">IF($A30="","",IF(IF(BE$2&lt;=$A$1,1,0),IF(BE$4="休","",IF(COUNTIF(DATA!BF:BF,$A:$A)=0,"×","√")),""))</f>
        <v/>
      </c>
      <c r="BF30" s="32" t="str">
        <f ca="1">IF($A30="","",IF(IF(BF$2&lt;=$A$1,1,0),IF(BF$4="休","",IF(COUNTIF(DATA!BG:BG,$A:$A)=0,"×","√")),""))</f>
        <v/>
      </c>
      <c r="BG30" s="32" t="str">
        <f ca="1">IF($A30="","",IF(IF(BG$2&lt;=$A$1,1,0),IF(BG$4="休","",IF(COUNTIF(DATA!BH:BH,$A:$A)=0,"×","√")),""))</f>
        <v/>
      </c>
      <c r="BH30" s="32" t="str">
        <f ca="1">IF($A30="","",IF(IF(BH$2&lt;=$A$1,1,0),IF(BH$4="休","",IF(COUNTIF(DATA!BI:BI,$A:$A)=0,"×","√")),""))</f>
        <v/>
      </c>
      <c r="BI30" s="32" t="str">
        <f ca="1">IF($A30="","",IF(IF(BI$2&lt;=$A$1,1,0),IF(BI$4="休","",IF(COUNTIF(DATA!BJ:BJ,$A:$A)=0,"×","√")),""))</f>
        <v/>
      </c>
      <c r="BJ30" s="32" t="str">
        <f ca="1">IF($A30="","",IF(IF(BJ$2&lt;=$A$1,1,0),IF(BJ$4="休","",IF(COUNTIF(DATA!BK:BK,$A:$A)=0,"×","√")),""))</f>
        <v/>
      </c>
      <c r="BK30" s="32" t="str">
        <f ca="1">IF($A30="","",IF(IF(BK$2&lt;=$A$1,1,0),IF(BK$4="休","",IF(COUNTIF(DATA!BL:BL,$A:$A)=0,"×","√")),""))</f>
        <v/>
      </c>
      <c r="BL30" s="32" t="str">
        <f ca="1">IF($A30="","",IF(IF(BL$2&lt;=$A$1,1,0),IF(BL$4="休","",IF(COUNTIF(DATA!BM:BM,$A:$A)=0,"×","√")),""))</f>
        <v/>
      </c>
      <c r="BM30" s="32" t="str">
        <f ca="1">IF($A30="","",IF(IF(BM$2&lt;=$A$1,1,0),IF(BM$4="休","",IF(COUNTIF(DATA!BN:BN,$A:$A)=0,"×","√")),""))</f>
        <v/>
      </c>
      <c r="BN30" s="32" t="str">
        <f ca="1">IF($A30="","",IF(IF(BN$2&lt;=$A$1,1,0),IF(BN$4="休","",IF(COUNTIF(DATA!BO:BO,$A:$A)=0,"×","√")),""))</f>
        <v/>
      </c>
      <c r="BO30" s="32" t="str">
        <f ca="1">IF($A30="","",IF(IF(BO$2&lt;=$A$1,1,0),IF(BO$4="休","",IF(COUNTIF(DATA!BP:BP,$A:$A)=0,"×","√")),""))</f>
        <v/>
      </c>
      <c r="BP30" s="32" t="str">
        <f ca="1">IF($A30="","",IF(IF(BP$2&lt;=$A$1,1,0),IF(BP$4="休","",IF(COUNTIF(DATA!BQ:BQ,$A:$A)=0,"×","√")),""))</f>
        <v/>
      </c>
      <c r="BQ30" s="32" t="str">
        <f ca="1">IF($A30="","",IF(IF(BQ$2&lt;=$A$1,1,0),IF(BQ$4="休","",IF(COUNTIF(DATA!BR:BR,$A:$A)=0,"×","√")),""))</f>
        <v/>
      </c>
      <c r="BR30" s="32" t="str">
        <f ca="1">IF($A30="","",IF(IF(BR$2&lt;=$A$1,1,0),IF(BR$4="休","",IF(COUNTIF(DATA!BS:BS,$A:$A)=0,"×","√")),""))</f>
        <v/>
      </c>
      <c r="BS30" s="32" t="str">
        <f ca="1">IF($A30="","",IF(IF(BS$2&lt;=$A$1,1,0),IF(BS$4="休","",IF(COUNTIF(DATA!BT:BT,$A:$A)=0,"×","√")),""))</f>
        <v/>
      </c>
      <c r="BT30" s="32" t="str">
        <f ca="1">IF($A30="","",IF(IF(BT$2&lt;=$A$1,1,0),IF(BT$4="休","",IF(COUNTIF(DATA!BU:BU,$A:$A)=0,"×","√")),""))</f>
        <v/>
      </c>
      <c r="BU30" s="32" t="str">
        <f ca="1">IF($A30="","",IF(IF(BU$2&lt;=$A$1,1,0),IF(BU$4="休","",IF(COUNTIF(DATA!BV:BV,$A:$A)=0,"×","√")),""))</f>
        <v/>
      </c>
      <c r="BV30" s="32" t="str">
        <f ca="1">IF($A30="","",IF(IF(BV$2&lt;=$A$1,1,0),IF(BV$4="休","",IF(COUNTIF(DATA!BW:BW,$A:$A)=0,"×","√")),""))</f>
        <v/>
      </c>
      <c r="BW30" s="32" t="str">
        <f ca="1">IF($A30="","",IF(IF(BW$2&lt;=$A$1,1,0),IF(BW$4="休","",IF(COUNTIF(DATA!BX:BX,$A:$A)=0,"×","√")),""))</f>
        <v/>
      </c>
      <c r="BX30" s="32" t="str">
        <f ca="1">IF($A30="","",IF(IF(BX$2&lt;=$A$1,1,0),IF(BX$4="休","",IF(COUNTIF(DATA!BY:BY,$A:$A)=0,"×","√")),""))</f>
        <v/>
      </c>
      <c r="BY30" s="32" t="str">
        <f ca="1">IF($A30="","",IF(IF(BY$2&lt;=$A$1,1,0),IF(BY$4="休","",IF(COUNTIF(DATA!BZ:BZ,$A:$A)=0,"×","√")),""))</f>
        <v/>
      </c>
      <c r="BZ30" s="32" t="str">
        <f ca="1">IF($A30="","",IF(IF(BZ$2&lt;=$A$1,1,0),IF(BZ$4="休","",IF(COUNTIF(DATA!CA:CA,$A:$A)=0,"×","√")),""))</f>
        <v/>
      </c>
      <c r="CA30" s="32" t="str">
        <f ca="1">IF($A30="","",IF(IF(CA$2&lt;=$A$1,1,0),IF(CA$4="休","",IF(COUNTIF(DATA!CB:CB,$A:$A)=0,"×","√")),""))</f>
        <v/>
      </c>
      <c r="CB30" s="32" t="str">
        <f ca="1">IF($A30="","",IF(IF(CB$2&lt;=$A$1,1,0),IF(CB$4="休","",IF(COUNTIF(DATA!CC:CC,$A:$A)=0,"×","√")),""))</f>
        <v/>
      </c>
      <c r="CC30" s="32" t="str">
        <f ca="1">IF($A30="","",IF(IF(CC$2&lt;=$A$1,1,0),IF(CC$4="休","",IF(COUNTIF(DATA!CD:CD,$A:$A)=0,"×","√")),""))</f>
        <v/>
      </c>
      <c r="CD30" s="32" t="str">
        <f ca="1">IF($A30="","",IF(IF(CD$2&lt;=$A$1,1,0),IF(CD$4="休","",IF(COUNTIF(DATA!CE:CE,$A:$A)=0,"×","√")),""))</f>
        <v/>
      </c>
      <c r="CE30" s="32" t="str">
        <f ca="1">IF($A30="","",IF(IF(CE$2&lt;=$A$1,1,0),IF(CE$4="休","",IF(COUNTIF(DATA!CF:CF,$A:$A)=0,"×","√")),""))</f>
        <v/>
      </c>
      <c r="CF30" s="32" t="str">
        <f ca="1">IF($A30="","",IF(IF(CF$2&lt;=$A$1,1,0),IF(CF$4="休","",IF(COUNTIF(DATA!CG:CG,$A:$A)=0,"×","√")),""))</f>
        <v/>
      </c>
      <c r="CG30" s="32" t="str">
        <f ca="1">IF($A30="","",IF(IF(CG$2&lt;=$A$1,1,0),IF(CG$4="休","",IF(COUNTIF(DATA!CH:CH,$A:$A)=0,"×","√")),""))</f>
        <v/>
      </c>
      <c r="CH30" s="32" t="str">
        <f ca="1">IF($A30="","",IF(IF(CH$2&lt;=$A$1,1,0),IF(CH$4="休","",IF(COUNTIF(DATA!CI:CI,$A:$A)=0,"×","√")),""))</f>
        <v/>
      </c>
      <c r="CI30" s="32" t="str">
        <f ca="1">IF($A30="","",IF(IF(CI$2&lt;=$A$1,1,0),IF(CI$4="休","",IF(COUNTIF(DATA!CJ:CJ,$A:$A)=0,"×","√")),""))</f>
        <v/>
      </c>
      <c r="CJ30" s="32" t="str">
        <f ca="1">IF($A30="","",IF(IF(CJ$2&lt;=$A$1,1,0),IF(CJ$4="休","",IF(COUNTIF(DATA!CK:CK,$A:$A)=0,"×","√")),""))</f>
        <v/>
      </c>
      <c r="CK30" s="32" t="str">
        <f ca="1">IF($A30="","",IF(IF(CK$2&lt;=$A$1,1,0),IF(CK$4="休","",IF(COUNTIF(DATA!CL:CL,$A:$A)=0,"×","√")),""))</f>
        <v/>
      </c>
      <c r="CL30" s="32" t="str">
        <f ca="1">IF($A30="","",IF(IF(CL$2&lt;=$A$1,1,0),IF(CL$4="休","",IF(COUNTIF(DATA!CM:CM,$A:$A)=0,"×","√")),""))</f>
        <v/>
      </c>
      <c r="CM30" s="32" t="str">
        <f ca="1">IF($A30="","",IF(IF(CM$2&lt;=$A$1,1,0),IF(CM$4="休","",IF(COUNTIF(DATA!CN:CN,$A:$A)=0,"×","√")),""))</f>
        <v/>
      </c>
      <c r="CN30" s="32" t="str">
        <f ca="1">IF($A30="","",IF(IF(CN$2&lt;=$A$1,1,0),IF(CN$4="休","",IF(COUNTIF(DATA!CO:CO,$A:$A)=0,"×","√")),""))</f>
        <v/>
      </c>
      <c r="CO30" s="32" t="str">
        <f ca="1">IF($A30="","",IF(IF(CO$2&lt;=$A$1,1,0),IF(CO$4="休","",IF(COUNTIF(DATA!CP:CP,$A:$A)=0,"×","√")),""))</f>
        <v/>
      </c>
      <c r="CP30" s="32" t="str">
        <f ca="1">IF($A30="","",IF(IF(CP$2&lt;=$A$1,1,0),IF(CP$4="休","",IF(COUNTIF(DATA!CQ:CQ,$A:$A)=0,"×","√")),""))</f>
        <v/>
      </c>
      <c r="CQ30" s="32" t="str">
        <f ca="1">IF($A30="","",IF(IF(CQ$2&lt;=$A$1,1,0),IF(CQ$4="休","",IF(COUNTIF(DATA!CR:CR,$A:$A)=0,"×","√")),""))</f>
        <v/>
      </c>
      <c r="CR30" s="32" t="str">
        <f ca="1">IF($A30="","",IF(IF(CR$2&lt;=$A$1,1,0),IF(CR$4="休","",IF(COUNTIF(DATA!CS:CS,$A:$A)=0,"×","√")),""))</f>
        <v/>
      </c>
    </row>
    <row r="31" s="26" customFormat="1" ht="18.75" spans="1:96">
      <c r="A31" s="32" t="str">
        <f>DATA!$A30&amp;""</f>
        <v>冯俊</v>
      </c>
      <c r="B31" s="32" t="str">
        <f ca="1">IF($A31="","",IF(IF(B$2&lt;=$A$1,1,0),IF(B$4="休","",IF(COUNTIF(DATA!C:C,$A:$A)=0,"×","√")),""))</f>
        <v>×</v>
      </c>
      <c r="C31" s="32" t="str">
        <f ca="1">IF($A31="","",IF(IF(C$2&lt;=$A$1,1,0),IF(C$4="休","",IF(COUNTIF(DATA!D:D,$A:$A)=0,"×","√")),""))</f>
        <v>×</v>
      </c>
      <c r="D31" s="32" t="str">
        <f ca="1">IF($A31="","",IF(IF(D$2&lt;=$A$1,1,0),IF(D$4="休","",IF(COUNTIF(DATA!E:E,$A:$A)=0,"×","√")),""))</f>
        <v>√</v>
      </c>
      <c r="E31" s="32" t="str">
        <f ca="1">IF($A31="","",IF(IF(E$2&lt;=$A$1,1,0),IF(E$4="休","",IF(COUNTIF(DATA!F:F,$A:$A)=0,"×","√")),""))</f>
        <v>√</v>
      </c>
      <c r="F31" s="32" t="str">
        <f ca="1">IF($A31="","",IF(IF(F$2&lt;=$A$1,1,0),IF(F$4="休","",IF(COUNTIF(DATA!G:G,$A:$A)=0,"×","√")),""))</f>
        <v>√</v>
      </c>
      <c r="G31" s="32" t="str">
        <f ca="1">IF($A31="","",IF(IF(G$2&lt;=$A$1,1,0),IF(G$4="休","",IF(COUNTIF(DATA!H:H,$A:$A)=0,"×","√")),""))</f>
        <v>√</v>
      </c>
      <c r="H31" s="32" t="str">
        <f ca="1">IF($A31="","",IF(IF(H$2&lt;=$A$1,1,0),IF(H$4="休","",IF(COUNTIF(DATA!I:I,$A:$A)=0,"×","√")),""))</f>
        <v>√</v>
      </c>
      <c r="I31" s="32" t="str">
        <f ca="1">IF($A31="","",IF(IF(I$2&lt;=$A$1,1,0),IF(I$4="休","",IF(COUNTIF(DATA!J:J,$A:$A)=0,"×","√")),""))</f>
        <v>√</v>
      </c>
      <c r="J31" s="32" t="str">
        <f ca="1">IF($A31="","",IF(IF(J$2&lt;=$A$1,1,0),IF(J$4="休","",IF(COUNTIF(DATA!K:K,$A:$A)=0,"×","√")),""))</f>
        <v/>
      </c>
      <c r="K31" s="32" t="str">
        <f ca="1">IF($A31="","",IF(IF(K$2&lt;=$A$1,1,0),IF(K$4="休","",IF(COUNTIF(DATA!L:L,$A:$A)=0,"×","√")),""))</f>
        <v/>
      </c>
      <c r="L31" s="32" t="str">
        <f ca="1">IF($A31="","",IF(IF(L$2&lt;=$A$1,1,0),IF(L$4="休","",IF(COUNTIF(DATA!M:M,$A:$A)=0,"×","√")),""))</f>
        <v/>
      </c>
      <c r="M31" s="32" t="str">
        <f ca="1">IF($A31="","",IF(IF(M$2&lt;=$A$1,1,0),IF(M$4="休","",IF(COUNTIF(DATA!N:N,$A:$A)=0,"×","√")),""))</f>
        <v/>
      </c>
      <c r="N31" s="32" t="str">
        <f ca="1">IF($A31="","",IF(IF(N$2&lt;=$A$1,1,0),IF(N$4="休","",IF(COUNTIF(DATA!O:O,$A:$A)=0,"×","√")),""))</f>
        <v/>
      </c>
      <c r="O31" s="32" t="str">
        <f ca="1">IF($A31="","",IF(IF(O$2&lt;=$A$1,1,0),IF(O$4="休","",IF(COUNTIF(DATA!P:P,$A:$A)=0,"×","√")),""))</f>
        <v/>
      </c>
      <c r="P31" s="32" t="str">
        <f ca="1">IF($A31="","",IF(IF(P$2&lt;=$A$1,1,0),IF(P$4="休","",IF(COUNTIF(DATA!Q:Q,$A:$A)=0,"×","√")),""))</f>
        <v/>
      </c>
      <c r="Q31" s="32" t="str">
        <f ca="1">IF($A31="","",IF(IF(Q$2&lt;=$A$1,1,0),IF(Q$4="休","",IF(COUNTIF(DATA!R:R,$A:$A)=0,"×","√")),""))</f>
        <v/>
      </c>
      <c r="R31" s="32" t="str">
        <f ca="1">IF($A31="","",IF(IF(R$2&lt;=$A$1,1,0),IF(R$4="休","",IF(COUNTIF(DATA!S:S,$A:$A)=0,"×","√")),""))</f>
        <v/>
      </c>
      <c r="S31" s="32" t="str">
        <f ca="1">IF($A31="","",IF(IF(S$2&lt;=$A$1,1,0),IF(S$4="休","",IF(COUNTIF(DATA!T:T,$A:$A)=0,"×","√")),""))</f>
        <v/>
      </c>
      <c r="T31" s="32" t="str">
        <f ca="1">IF($A31="","",IF(IF(T$2&lt;=$A$1,1,0),IF(T$4="休","",IF(COUNTIF(DATA!U:U,$A:$A)=0,"×","√")),""))</f>
        <v/>
      </c>
      <c r="U31" s="32" t="str">
        <f ca="1">IF($A31="","",IF(IF(U$2&lt;=$A$1,1,0),IF(U$4="休","",IF(COUNTIF(DATA!V:V,$A:$A)=0,"×","√")),""))</f>
        <v/>
      </c>
      <c r="V31" s="32" t="str">
        <f ca="1">IF($A31="","",IF(IF(V$2&lt;=$A$1,1,0),IF(V$4="休","",IF(COUNTIF(DATA!W:W,$A:$A)=0,"×","√")),""))</f>
        <v/>
      </c>
      <c r="W31" s="32" t="str">
        <f ca="1">IF($A31="","",IF(IF(W$2&lt;=$A$1,1,0),IF(W$4="休","",IF(COUNTIF(DATA!X:X,$A:$A)=0,"×","√")),""))</f>
        <v/>
      </c>
      <c r="X31" s="32" t="str">
        <f ca="1">IF($A31="","",IF(IF(X$2&lt;=$A$1,1,0),IF(X$4="休","",IF(COUNTIF(DATA!Y:Y,$A:$A)=0,"×","√")),""))</f>
        <v/>
      </c>
      <c r="Y31" s="32" t="str">
        <f ca="1">IF($A31="","",IF(IF(Y$2&lt;=$A$1,1,0),IF(Y$4="休","",IF(COUNTIF(DATA!Z:Z,$A:$A)=0,"×","√")),""))</f>
        <v/>
      </c>
      <c r="Z31" s="32" t="str">
        <f ca="1">IF($A31="","",IF(IF(Z$2&lt;=$A$1,1,0),IF(Z$4="休","",IF(COUNTIF(DATA!AA:AA,$A:$A)=0,"×","√")),""))</f>
        <v/>
      </c>
      <c r="AA31" s="32" t="str">
        <f ca="1">IF($A31="","",IF(IF(AA$2&lt;=$A$1,1,0),IF(AA$4="休","",IF(COUNTIF(DATA!AB:AB,$A:$A)=0,"×","√")),""))</f>
        <v/>
      </c>
      <c r="AB31" s="32" t="str">
        <f ca="1">IF($A31="","",IF(IF(AB$2&lt;=$A$1,1,0),IF(AB$4="休","",IF(COUNTIF(DATA!AC:AC,$A:$A)=0,"×","√")),""))</f>
        <v/>
      </c>
      <c r="AC31" s="32" t="str">
        <f ca="1">IF($A31="","",IF(IF(AC$2&lt;=$A$1,1,0),IF(AC$4="休","",IF(COUNTIF(DATA!AD:AD,$A:$A)=0,"×","√")),""))</f>
        <v/>
      </c>
      <c r="AD31" s="32" t="str">
        <f ca="1">IF($A31="","",IF(IF(AD$2&lt;=$A$1,1,0),IF(AD$4="休","",IF(COUNTIF(DATA!AE:AE,$A:$A)=0,"×","√")),""))</f>
        <v/>
      </c>
      <c r="AE31" s="32" t="str">
        <f ca="1">IF($A31="","",IF(IF(AE$2&lt;=$A$1,1,0),IF(AE$4="休","",IF(COUNTIF(DATA!AF:AF,$A:$A)=0,"×","√")),""))</f>
        <v/>
      </c>
      <c r="AF31" s="32" t="str">
        <f ca="1">IF($A31="","",IF(IF(AF$2&lt;=$A$1,1,0),IF(AF$4="休","",IF(COUNTIF(DATA!AG:AG,$A:$A)=0,"×","√")),""))</f>
        <v/>
      </c>
      <c r="AG31" s="32" t="str">
        <f ca="1">IF($A31="","",IF(IF(AG$2&lt;=$A$1,1,0),IF(AG$4="休","",IF(COUNTIF(DATA!AH:AH,$A:$A)=0,"×","√")),""))</f>
        <v/>
      </c>
      <c r="AH31" s="32" t="str">
        <f ca="1">IF($A31="","",IF(IF(AH$2&lt;=$A$1,1,0),IF(AH$4="休","",IF(COUNTIF(DATA!AI:AI,$A:$A)=0,"×","√")),""))</f>
        <v/>
      </c>
      <c r="AI31" s="32" t="str">
        <f ca="1">IF($A31="","",IF(IF(AI$2&lt;=$A$1,1,0),IF(AI$4="休","",IF(COUNTIF(DATA!AJ:AJ,$A:$A)=0,"×","√")),""))</f>
        <v/>
      </c>
      <c r="AJ31" s="32" t="str">
        <f ca="1">IF($A31="","",IF(IF(AJ$2&lt;=$A$1,1,0),IF(AJ$4="休","",IF(COUNTIF(DATA!AK:AK,$A:$A)=0,"×","√")),""))</f>
        <v/>
      </c>
      <c r="AK31" s="32" t="str">
        <f ca="1">IF($A31="","",IF(IF(AK$2&lt;=$A$1,1,0),IF(AK$4="休","",IF(COUNTIF(DATA!AL:AL,$A:$A)=0,"×","√")),""))</f>
        <v/>
      </c>
      <c r="AL31" s="32" t="str">
        <f ca="1">IF($A31="","",IF(IF(AL$2&lt;=$A$1,1,0),IF(AL$4="休","",IF(COUNTIF(DATA!AM:AM,$A:$A)=0,"×","√")),""))</f>
        <v/>
      </c>
      <c r="AM31" s="32" t="str">
        <f ca="1">IF($A31="","",IF(IF(AM$2&lt;=$A$1,1,0),IF(AM$4="休","",IF(COUNTIF(DATA!AN:AN,$A:$A)=0,"×","√")),""))</f>
        <v/>
      </c>
      <c r="AN31" s="32" t="str">
        <f ca="1">IF($A31="","",IF(IF(AN$2&lt;=$A$1,1,0),IF(AN$4="休","",IF(COUNTIF(DATA!AO:AO,$A:$A)=0,"×","√")),""))</f>
        <v/>
      </c>
      <c r="AO31" s="32" t="str">
        <f ca="1">IF($A31="","",IF(IF(AO$2&lt;=$A$1,1,0),IF(AO$4="休","",IF(COUNTIF(DATA!AP:AP,$A:$A)=0,"×","√")),""))</f>
        <v/>
      </c>
      <c r="AP31" s="32" t="str">
        <f ca="1">IF($A31="","",IF(IF(AP$2&lt;=$A$1,1,0),IF(AP$4="休","",IF(COUNTIF(DATA!AQ:AQ,$A:$A)=0,"×","√")),""))</f>
        <v/>
      </c>
      <c r="AQ31" s="32" t="str">
        <f ca="1">IF($A31="","",IF(IF(AQ$2&lt;=$A$1,1,0),IF(AQ$4="休","",IF(COUNTIF(DATA!AR:AR,$A:$A)=0,"×","√")),""))</f>
        <v/>
      </c>
      <c r="AR31" s="32" t="str">
        <f ca="1">IF($A31="","",IF(IF(AR$2&lt;=$A$1,1,0),IF(AR$4="休","",IF(COUNTIF(DATA!AS:AS,$A:$A)=0,"×","√")),""))</f>
        <v/>
      </c>
      <c r="AS31" s="32" t="str">
        <f ca="1">IF($A31="","",IF(IF(AS$2&lt;=$A$1,1,0),IF(AS$4="休","",IF(COUNTIF(DATA!AT:AT,$A:$A)=0,"×","√")),""))</f>
        <v/>
      </c>
      <c r="AT31" s="32" t="str">
        <f ca="1">IF($A31="","",IF(IF(AT$2&lt;=$A$1,1,0),IF(AT$4="休","",IF(COUNTIF(DATA!AU:AU,$A:$A)=0,"×","√")),""))</f>
        <v/>
      </c>
      <c r="AU31" s="32" t="str">
        <f ca="1">IF($A31="","",IF(IF(AU$2&lt;=$A$1,1,0),IF(AU$4="休","",IF(COUNTIF(DATA!AV:AV,$A:$A)=0,"×","√")),""))</f>
        <v/>
      </c>
      <c r="AV31" s="32" t="str">
        <f ca="1">IF($A31="","",IF(IF(AV$2&lt;=$A$1,1,0),IF(AV$4="休","",IF(COUNTIF(DATA!AW:AW,$A:$A)=0,"×","√")),""))</f>
        <v/>
      </c>
      <c r="AW31" s="32" t="str">
        <f ca="1">IF($A31="","",IF(IF(AW$2&lt;=$A$1,1,0),IF(AW$4="休","",IF(COUNTIF(DATA!AX:AX,$A:$A)=0,"×","√")),""))</f>
        <v/>
      </c>
      <c r="AX31" s="32" t="str">
        <f ca="1">IF($A31="","",IF(IF(AX$2&lt;=$A$1,1,0),IF(AX$4="休","",IF(COUNTIF(DATA!AY:AY,$A:$A)=0,"×","√")),""))</f>
        <v/>
      </c>
      <c r="AY31" s="32" t="str">
        <f ca="1">IF($A31="","",IF(IF(AY$2&lt;=$A$1,1,0),IF(AY$4="休","",IF(COUNTIF(DATA!AZ:AZ,$A:$A)=0,"×","√")),""))</f>
        <v/>
      </c>
      <c r="AZ31" s="32" t="str">
        <f ca="1">IF($A31="","",IF(IF(AZ$2&lt;=$A$1,1,0),IF(AZ$4="休","",IF(COUNTIF(DATA!BA:BA,$A:$A)=0,"×","√")),""))</f>
        <v/>
      </c>
      <c r="BA31" s="32" t="str">
        <f ca="1">IF($A31="","",IF(IF(BA$2&lt;=$A$1,1,0),IF(BA$4="休","",IF(COUNTIF(DATA!BB:BB,$A:$A)=0,"×","√")),""))</f>
        <v/>
      </c>
      <c r="BB31" s="32" t="str">
        <f ca="1">IF($A31="","",IF(IF(BB$2&lt;=$A$1,1,0),IF(BB$4="休","",IF(COUNTIF(DATA!BC:BC,$A:$A)=0,"×","√")),""))</f>
        <v/>
      </c>
      <c r="BC31" s="32" t="str">
        <f ca="1">IF($A31="","",IF(IF(BC$2&lt;=$A$1,1,0),IF(BC$4="休","",IF(COUNTIF(DATA!BD:BD,$A:$A)=0,"×","√")),""))</f>
        <v/>
      </c>
      <c r="BD31" s="32" t="str">
        <f ca="1">IF($A31="","",IF(IF(BD$2&lt;=$A$1,1,0),IF(BD$4="休","",IF(COUNTIF(DATA!BE:BE,$A:$A)=0,"×","√")),""))</f>
        <v/>
      </c>
      <c r="BE31" s="32" t="str">
        <f ca="1">IF($A31="","",IF(IF(BE$2&lt;=$A$1,1,0),IF(BE$4="休","",IF(COUNTIF(DATA!BF:BF,$A:$A)=0,"×","√")),""))</f>
        <v/>
      </c>
      <c r="BF31" s="32" t="str">
        <f ca="1">IF($A31="","",IF(IF(BF$2&lt;=$A$1,1,0),IF(BF$4="休","",IF(COUNTIF(DATA!BG:BG,$A:$A)=0,"×","√")),""))</f>
        <v/>
      </c>
      <c r="BG31" s="32" t="str">
        <f ca="1">IF($A31="","",IF(IF(BG$2&lt;=$A$1,1,0),IF(BG$4="休","",IF(COUNTIF(DATA!BH:BH,$A:$A)=0,"×","√")),""))</f>
        <v/>
      </c>
      <c r="BH31" s="32" t="str">
        <f ca="1">IF($A31="","",IF(IF(BH$2&lt;=$A$1,1,0),IF(BH$4="休","",IF(COUNTIF(DATA!BI:BI,$A:$A)=0,"×","√")),""))</f>
        <v/>
      </c>
      <c r="BI31" s="32" t="str">
        <f ca="1">IF($A31="","",IF(IF(BI$2&lt;=$A$1,1,0),IF(BI$4="休","",IF(COUNTIF(DATA!BJ:BJ,$A:$A)=0,"×","√")),""))</f>
        <v/>
      </c>
      <c r="BJ31" s="32" t="str">
        <f ca="1">IF($A31="","",IF(IF(BJ$2&lt;=$A$1,1,0),IF(BJ$4="休","",IF(COUNTIF(DATA!BK:BK,$A:$A)=0,"×","√")),""))</f>
        <v/>
      </c>
      <c r="BK31" s="32" t="str">
        <f ca="1">IF($A31="","",IF(IF(BK$2&lt;=$A$1,1,0),IF(BK$4="休","",IF(COUNTIF(DATA!BL:BL,$A:$A)=0,"×","√")),""))</f>
        <v/>
      </c>
      <c r="BL31" s="32" t="str">
        <f ca="1">IF($A31="","",IF(IF(BL$2&lt;=$A$1,1,0),IF(BL$4="休","",IF(COUNTIF(DATA!BM:BM,$A:$A)=0,"×","√")),""))</f>
        <v/>
      </c>
      <c r="BM31" s="32" t="str">
        <f ca="1">IF($A31="","",IF(IF(BM$2&lt;=$A$1,1,0),IF(BM$4="休","",IF(COUNTIF(DATA!BN:BN,$A:$A)=0,"×","√")),""))</f>
        <v/>
      </c>
      <c r="BN31" s="32" t="str">
        <f ca="1">IF($A31="","",IF(IF(BN$2&lt;=$A$1,1,0),IF(BN$4="休","",IF(COUNTIF(DATA!BO:BO,$A:$A)=0,"×","√")),""))</f>
        <v/>
      </c>
      <c r="BO31" s="32" t="str">
        <f ca="1">IF($A31="","",IF(IF(BO$2&lt;=$A$1,1,0),IF(BO$4="休","",IF(COUNTIF(DATA!BP:BP,$A:$A)=0,"×","√")),""))</f>
        <v/>
      </c>
      <c r="BP31" s="32" t="str">
        <f ca="1">IF($A31="","",IF(IF(BP$2&lt;=$A$1,1,0),IF(BP$4="休","",IF(COUNTIF(DATA!BQ:BQ,$A:$A)=0,"×","√")),""))</f>
        <v/>
      </c>
      <c r="BQ31" s="32" t="str">
        <f ca="1">IF($A31="","",IF(IF(BQ$2&lt;=$A$1,1,0),IF(BQ$4="休","",IF(COUNTIF(DATA!BR:BR,$A:$A)=0,"×","√")),""))</f>
        <v/>
      </c>
      <c r="BR31" s="32" t="str">
        <f ca="1">IF($A31="","",IF(IF(BR$2&lt;=$A$1,1,0),IF(BR$4="休","",IF(COUNTIF(DATA!BS:BS,$A:$A)=0,"×","√")),""))</f>
        <v/>
      </c>
      <c r="BS31" s="32" t="str">
        <f ca="1">IF($A31="","",IF(IF(BS$2&lt;=$A$1,1,0),IF(BS$4="休","",IF(COUNTIF(DATA!BT:BT,$A:$A)=0,"×","√")),""))</f>
        <v/>
      </c>
      <c r="BT31" s="32" t="str">
        <f ca="1">IF($A31="","",IF(IF(BT$2&lt;=$A$1,1,0),IF(BT$4="休","",IF(COUNTIF(DATA!BU:BU,$A:$A)=0,"×","√")),""))</f>
        <v/>
      </c>
      <c r="BU31" s="32" t="str">
        <f ca="1">IF($A31="","",IF(IF(BU$2&lt;=$A$1,1,0),IF(BU$4="休","",IF(COUNTIF(DATA!BV:BV,$A:$A)=0,"×","√")),""))</f>
        <v/>
      </c>
      <c r="BV31" s="32" t="str">
        <f ca="1">IF($A31="","",IF(IF(BV$2&lt;=$A$1,1,0),IF(BV$4="休","",IF(COUNTIF(DATA!BW:BW,$A:$A)=0,"×","√")),""))</f>
        <v/>
      </c>
      <c r="BW31" s="32" t="str">
        <f ca="1">IF($A31="","",IF(IF(BW$2&lt;=$A$1,1,0),IF(BW$4="休","",IF(COUNTIF(DATA!BX:BX,$A:$A)=0,"×","√")),""))</f>
        <v/>
      </c>
      <c r="BX31" s="32" t="str">
        <f ca="1">IF($A31="","",IF(IF(BX$2&lt;=$A$1,1,0),IF(BX$4="休","",IF(COUNTIF(DATA!BY:BY,$A:$A)=0,"×","√")),""))</f>
        <v/>
      </c>
      <c r="BY31" s="32" t="str">
        <f ca="1">IF($A31="","",IF(IF(BY$2&lt;=$A$1,1,0),IF(BY$4="休","",IF(COUNTIF(DATA!BZ:BZ,$A:$A)=0,"×","√")),""))</f>
        <v/>
      </c>
      <c r="BZ31" s="32" t="str">
        <f ca="1">IF($A31="","",IF(IF(BZ$2&lt;=$A$1,1,0),IF(BZ$4="休","",IF(COUNTIF(DATA!CA:CA,$A:$A)=0,"×","√")),""))</f>
        <v/>
      </c>
      <c r="CA31" s="32" t="str">
        <f ca="1">IF($A31="","",IF(IF(CA$2&lt;=$A$1,1,0),IF(CA$4="休","",IF(COUNTIF(DATA!CB:CB,$A:$A)=0,"×","√")),""))</f>
        <v/>
      </c>
      <c r="CB31" s="32" t="str">
        <f ca="1">IF($A31="","",IF(IF(CB$2&lt;=$A$1,1,0),IF(CB$4="休","",IF(COUNTIF(DATA!CC:CC,$A:$A)=0,"×","√")),""))</f>
        <v/>
      </c>
      <c r="CC31" s="32" t="str">
        <f ca="1">IF($A31="","",IF(IF(CC$2&lt;=$A$1,1,0),IF(CC$4="休","",IF(COUNTIF(DATA!CD:CD,$A:$A)=0,"×","√")),""))</f>
        <v/>
      </c>
      <c r="CD31" s="32" t="str">
        <f ca="1">IF($A31="","",IF(IF(CD$2&lt;=$A$1,1,0),IF(CD$4="休","",IF(COUNTIF(DATA!CE:CE,$A:$A)=0,"×","√")),""))</f>
        <v/>
      </c>
      <c r="CE31" s="32" t="str">
        <f ca="1">IF($A31="","",IF(IF(CE$2&lt;=$A$1,1,0),IF(CE$4="休","",IF(COUNTIF(DATA!CF:CF,$A:$A)=0,"×","√")),""))</f>
        <v/>
      </c>
      <c r="CF31" s="32" t="str">
        <f ca="1">IF($A31="","",IF(IF(CF$2&lt;=$A$1,1,0),IF(CF$4="休","",IF(COUNTIF(DATA!CG:CG,$A:$A)=0,"×","√")),""))</f>
        <v/>
      </c>
      <c r="CG31" s="32" t="str">
        <f ca="1">IF($A31="","",IF(IF(CG$2&lt;=$A$1,1,0),IF(CG$4="休","",IF(COUNTIF(DATA!CH:CH,$A:$A)=0,"×","√")),""))</f>
        <v/>
      </c>
      <c r="CH31" s="32" t="str">
        <f ca="1">IF($A31="","",IF(IF(CH$2&lt;=$A$1,1,0),IF(CH$4="休","",IF(COUNTIF(DATA!CI:CI,$A:$A)=0,"×","√")),""))</f>
        <v/>
      </c>
      <c r="CI31" s="32" t="str">
        <f ca="1">IF($A31="","",IF(IF(CI$2&lt;=$A$1,1,0),IF(CI$4="休","",IF(COUNTIF(DATA!CJ:CJ,$A:$A)=0,"×","√")),""))</f>
        <v/>
      </c>
      <c r="CJ31" s="32" t="str">
        <f ca="1">IF($A31="","",IF(IF(CJ$2&lt;=$A$1,1,0),IF(CJ$4="休","",IF(COUNTIF(DATA!CK:CK,$A:$A)=0,"×","√")),""))</f>
        <v/>
      </c>
      <c r="CK31" s="32" t="str">
        <f ca="1">IF($A31="","",IF(IF(CK$2&lt;=$A$1,1,0),IF(CK$4="休","",IF(COUNTIF(DATA!CL:CL,$A:$A)=0,"×","√")),""))</f>
        <v/>
      </c>
      <c r="CL31" s="32" t="str">
        <f ca="1">IF($A31="","",IF(IF(CL$2&lt;=$A$1,1,0),IF(CL$4="休","",IF(COUNTIF(DATA!CM:CM,$A:$A)=0,"×","√")),""))</f>
        <v/>
      </c>
      <c r="CM31" s="32" t="str">
        <f ca="1">IF($A31="","",IF(IF(CM$2&lt;=$A$1,1,0),IF(CM$4="休","",IF(COUNTIF(DATA!CN:CN,$A:$A)=0,"×","√")),""))</f>
        <v/>
      </c>
      <c r="CN31" s="32" t="str">
        <f ca="1">IF($A31="","",IF(IF(CN$2&lt;=$A$1,1,0),IF(CN$4="休","",IF(COUNTIF(DATA!CO:CO,$A:$A)=0,"×","√")),""))</f>
        <v/>
      </c>
      <c r="CO31" s="32" t="str">
        <f ca="1">IF($A31="","",IF(IF(CO$2&lt;=$A$1,1,0),IF(CO$4="休","",IF(COUNTIF(DATA!CP:CP,$A:$A)=0,"×","√")),""))</f>
        <v/>
      </c>
      <c r="CP31" s="32" t="str">
        <f ca="1">IF($A31="","",IF(IF(CP$2&lt;=$A$1,1,0),IF(CP$4="休","",IF(COUNTIF(DATA!CQ:CQ,$A:$A)=0,"×","√")),""))</f>
        <v/>
      </c>
      <c r="CQ31" s="32" t="str">
        <f ca="1">IF($A31="","",IF(IF(CQ$2&lt;=$A$1,1,0),IF(CQ$4="休","",IF(COUNTIF(DATA!CR:CR,$A:$A)=0,"×","√")),""))</f>
        <v/>
      </c>
      <c r="CR31" s="32" t="str">
        <f ca="1">IF($A31="","",IF(IF(CR$2&lt;=$A$1,1,0),IF(CR$4="休","",IF(COUNTIF(DATA!CS:CS,$A:$A)=0,"×","√")),""))</f>
        <v/>
      </c>
    </row>
    <row r="32" s="26" customFormat="1" ht="18.75" spans="1:96">
      <c r="A32" s="32" t="str">
        <f>DATA!$A31&amp;""</f>
        <v>陈创业</v>
      </c>
      <c r="B32" s="32" t="str">
        <f ca="1">IF($A32="","",IF(IF(B$2&lt;=$A$1,1,0),IF(B$4="休","",IF(COUNTIF(DATA!C:C,$A:$A)=0,"×","√")),""))</f>
        <v>√</v>
      </c>
      <c r="C32" s="32" t="str">
        <f ca="1">IF($A32="","",IF(IF(C$2&lt;=$A$1,1,0),IF(C$4="休","",IF(COUNTIF(DATA!D:D,$A:$A)=0,"×","√")),""))</f>
        <v>√</v>
      </c>
      <c r="D32" s="32" t="str">
        <f ca="1">IF($A32="","",IF(IF(D$2&lt;=$A$1,1,0),IF(D$4="休","",IF(COUNTIF(DATA!E:E,$A:$A)=0,"×","√")),""))</f>
        <v>√</v>
      </c>
      <c r="E32" s="32" t="str">
        <f ca="1">IF($A32="","",IF(IF(E$2&lt;=$A$1,1,0),IF(E$4="休","",IF(COUNTIF(DATA!F:F,$A:$A)=0,"×","√")),""))</f>
        <v>√</v>
      </c>
      <c r="F32" s="32" t="str">
        <f ca="1">IF($A32="","",IF(IF(F$2&lt;=$A$1,1,0),IF(F$4="休","",IF(COUNTIF(DATA!G:G,$A:$A)=0,"×","√")),""))</f>
        <v>√</v>
      </c>
      <c r="G32" s="32" t="str">
        <f ca="1">IF($A32="","",IF(IF(G$2&lt;=$A$1,1,0),IF(G$4="休","",IF(COUNTIF(DATA!H:H,$A:$A)=0,"×","√")),""))</f>
        <v>√</v>
      </c>
      <c r="H32" s="32" t="str">
        <f ca="1">IF($A32="","",IF(IF(H$2&lt;=$A$1,1,0),IF(H$4="休","",IF(COUNTIF(DATA!I:I,$A:$A)=0,"×","√")),""))</f>
        <v>√</v>
      </c>
      <c r="I32" s="32" t="str">
        <f ca="1">IF($A32="","",IF(IF(I$2&lt;=$A$1,1,0),IF(I$4="休","",IF(COUNTIF(DATA!J:J,$A:$A)=0,"×","√")),""))</f>
        <v>√</v>
      </c>
      <c r="J32" s="32" t="str">
        <f ca="1">IF($A32="","",IF(IF(J$2&lt;=$A$1,1,0),IF(J$4="休","",IF(COUNTIF(DATA!K:K,$A:$A)=0,"×","√")),""))</f>
        <v/>
      </c>
      <c r="K32" s="32" t="str">
        <f ca="1">IF($A32="","",IF(IF(K$2&lt;=$A$1,1,0),IF(K$4="休","",IF(COUNTIF(DATA!L:L,$A:$A)=0,"×","√")),""))</f>
        <v/>
      </c>
      <c r="L32" s="32" t="str">
        <f ca="1">IF($A32="","",IF(IF(L$2&lt;=$A$1,1,0),IF(L$4="休","",IF(COUNTIF(DATA!M:M,$A:$A)=0,"×","√")),""))</f>
        <v/>
      </c>
      <c r="M32" s="32" t="str">
        <f ca="1">IF($A32="","",IF(IF(M$2&lt;=$A$1,1,0),IF(M$4="休","",IF(COUNTIF(DATA!N:N,$A:$A)=0,"×","√")),""))</f>
        <v/>
      </c>
      <c r="N32" s="32" t="str">
        <f ca="1">IF($A32="","",IF(IF(N$2&lt;=$A$1,1,0),IF(N$4="休","",IF(COUNTIF(DATA!O:O,$A:$A)=0,"×","√")),""))</f>
        <v/>
      </c>
      <c r="O32" s="32" t="str">
        <f ca="1">IF($A32="","",IF(IF(O$2&lt;=$A$1,1,0),IF(O$4="休","",IF(COUNTIF(DATA!P:P,$A:$A)=0,"×","√")),""))</f>
        <v/>
      </c>
      <c r="P32" s="32" t="str">
        <f ca="1">IF($A32="","",IF(IF(P$2&lt;=$A$1,1,0),IF(P$4="休","",IF(COUNTIF(DATA!Q:Q,$A:$A)=0,"×","√")),""))</f>
        <v/>
      </c>
      <c r="Q32" s="32" t="str">
        <f ca="1">IF($A32="","",IF(IF(Q$2&lt;=$A$1,1,0),IF(Q$4="休","",IF(COUNTIF(DATA!R:R,$A:$A)=0,"×","√")),""))</f>
        <v/>
      </c>
      <c r="R32" s="32" t="str">
        <f ca="1">IF($A32="","",IF(IF(R$2&lt;=$A$1,1,0),IF(R$4="休","",IF(COUNTIF(DATA!S:S,$A:$A)=0,"×","√")),""))</f>
        <v/>
      </c>
      <c r="S32" s="32" t="str">
        <f ca="1">IF($A32="","",IF(IF(S$2&lt;=$A$1,1,0),IF(S$4="休","",IF(COUNTIF(DATA!T:T,$A:$A)=0,"×","√")),""))</f>
        <v/>
      </c>
      <c r="T32" s="32" t="str">
        <f ca="1">IF($A32="","",IF(IF(T$2&lt;=$A$1,1,0),IF(T$4="休","",IF(COUNTIF(DATA!U:U,$A:$A)=0,"×","√")),""))</f>
        <v/>
      </c>
      <c r="U32" s="32" t="str">
        <f ca="1">IF($A32="","",IF(IF(U$2&lt;=$A$1,1,0),IF(U$4="休","",IF(COUNTIF(DATA!V:V,$A:$A)=0,"×","√")),""))</f>
        <v/>
      </c>
      <c r="V32" s="32" t="str">
        <f ca="1">IF($A32="","",IF(IF(V$2&lt;=$A$1,1,0),IF(V$4="休","",IF(COUNTIF(DATA!W:W,$A:$A)=0,"×","√")),""))</f>
        <v/>
      </c>
      <c r="W32" s="32" t="str">
        <f ca="1">IF($A32="","",IF(IF(W$2&lt;=$A$1,1,0),IF(W$4="休","",IF(COUNTIF(DATA!X:X,$A:$A)=0,"×","√")),""))</f>
        <v/>
      </c>
      <c r="X32" s="32" t="str">
        <f ca="1">IF($A32="","",IF(IF(X$2&lt;=$A$1,1,0),IF(X$4="休","",IF(COUNTIF(DATA!Y:Y,$A:$A)=0,"×","√")),""))</f>
        <v/>
      </c>
      <c r="Y32" s="32" t="str">
        <f ca="1">IF($A32="","",IF(IF(Y$2&lt;=$A$1,1,0),IF(Y$4="休","",IF(COUNTIF(DATA!Z:Z,$A:$A)=0,"×","√")),""))</f>
        <v/>
      </c>
      <c r="Z32" s="32" t="str">
        <f ca="1">IF($A32="","",IF(IF(Z$2&lt;=$A$1,1,0),IF(Z$4="休","",IF(COUNTIF(DATA!AA:AA,$A:$A)=0,"×","√")),""))</f>
        <v/>
      </c>
      <c r="AA32" s="32" t="str">
        <f ca="1">IF($A32="","",IF(IF(AA$2&lt;=$A$1,1,0),IF(AA$4="休","",IF(COUNTIF(DATA!AB:AB,$A:$A)=0,"×","√")),""))</f>
        <v/>
      </c>
      <c r="AB32" s="32" t="str">
        <f ca="1">IF($A32="","",IF(IF(AB$2&lt;=$A$1,1,0),IF(AB$4="休","",IF(COUNTIF(DATA!AC:AC,$A:$A)=0,"×","√")),""))</f>
        <v/>
      </c>
      <c r="AC32" s="32" t="str">
        <f ca="1">IF($A32="","",IF(IF(AC$2&lt;=$A$1,1,0),IF(AC$4="休","",IF(COUNTIF(DATA!AD:AD,$A:$A)=0,"×","√")),""))</f>
        <v/>
      </c>
      <c r="AD32" s="32" t="str">
        <f ca="1">IF($A32="","",IF(IF(AD$2&lt;=$A$1,1,0),IF(AD$4="休","",IF(COUNTIF(DATA!AE:AE,$A:$A)=0,"×","√")),""))</f>
        <v/>
      </c>
      <c r="AE32" s="32" t="str">
        <f ca="1">IF($A32="","",IF(IF(AE$2&lt;=$A$1,1,0),IF(AE$4="休","",IF(COUNTIF(DATA!AF:AF,$A:$A)=0,"×","√")),""))</f>
        <v/>
      </c>
      <c r="AF32" s="32" t="str">
        <f ca="1">IF($A32="","",IF(IF(AF$2&lt;=$A$1,1,0),IF(AF$4="休","",IF(COUNTIF(DATA!AG:AG,$A:$A)=0,"×","√")),""))</f>
        <v/>
      </c>
      <c r="AG32" s="32" t="str">
        <f ca="1">IF($A32="","",IF(IF(AG$2&lt;=$A$1,1,0),IF(AG$4="休","",IF(COUNTIF(DATA!AH:AH,$A:$A)=0,"×","√")),""))</f>
        <v/>
      </c>
      <c r="AH32" s="32" t="str">
        <f ca="1">IF($A32="","",IF(IF(AH$2&lt;=$A$1,1,0),IF(AH$4="休","",IF(COUNTIF(DATA!AI:AI,$A:$A)=0,"×","√")),""))</f>
        <v/>
      </c>
      <c r="AI32" s="32" t="str">
        <f ca="1">IF($A32="","",IF(IF(AI$2&lt;=$A$1,1,0),IF(AI$4="休","",IF(COUNTIF(DATA!AJ:AJ,$A:$A)=0,"×","√")),""))</f>
        <v/>
      </c>
      <c r="AJ32" s="32" t="str">
        <f ca="1">IF($A32="","",IF(IF(AJ$2&lt;=$A$1,1,0),IF(AJ$4="休","",IF(COUNTIF(DATA!AK:AK,$A:$A)=0,"×","√")),""))</f>
        <v/>
      </c>
      <c r="AK32" s="32" t="str">
        <f ca="1">IF($A32="","",IF(IF(AK$2&lt;=$A$1,1,0),IF(AK$4="休","",IF(COUNTIF(DATA!AL:AL,$A:$A)=0,"×","√")),""))</f>
        <v/>
      </c>
      <c r="AL32" s="32" t="str">
        <f ca="1">IF($A32="","",IF(IF(AL$2&lt;=$A$1,1,0),IF(AL$4="休","",IF(COUNTIF(DATA!AM:AM,$A:$A)=0,"×","√")),""))</f>
        <v/>
      </c>
      <c r="AM32" s="32" t="str">
        <f ca="1">IF($A32="","",IF(IF(AM$2&lt;=$A$1,1,0),IF(AM$4="休","",IF(COUNTIF(DATA!AN:AN,$A:$A)=0,"×","√")),""))</f>
        <v/>
      </c>
      <c r="AN32" s="32" t="str">
        <f ca="1">IF($A32="","",IF(IF(AN$2&lt;=$A$1,1,0),IF(AN$4="休","",IF(COUNTIF(DATA!AO:AO,$A:$A)=0,"×","√")),""))</f>
        <v/>
      </c>
      <c r="AO32" s="32" t="str">
        <f ca="1">IF($A32="","",IF(IF(AO$2&lt;=$A$1,1,0),IF(AO$4="休","",IF(COUNTIF(DATA!AP:AP,$A:$A)=0,"×","√")),""))</f>
        <v/>
      </c>
      <c r="AP32" s="32" t="str">
        <f ca="1">IF($A32="","",IF(IF(AP$2&lt;=$A$1,1,0),IF(AP$4="休","",IF(COUNTIF(DATA!AQ:AQ,$A:$A)=0,"×","√")),""))</f>
        <v/>
      </c>
      <c r="AQ32" s="32" t="str">
        <f ca="1">IF($A32="","",IF(IF(AQ$2&lt;=$A$1,1,0),IF(AQ$4="休","",IF(COUNTIF(DATA!AR:AR,$A:$A)=0,"×","√")),""))</f>
        <v/>
      </c>
      <c r="AR32" s="32" t="str">
        <f ca="1">IF($A32="","",IF(IF(AR$2&lt;=$A$1,1,0),IF(AR$4="休","",IF(COUNTIF(DATA!AS:AS,$A:$A)=0,"×","√")),""))</f>
        <v/>
      </c>
      <c r="AS32" s="32" t="str">
        <f ca="1">IF($A32="","",IF(IF(AS$2&lt;=$A$1,1,0),IF(AS$4="休","",IF(COUNTIF(DATA!AT:AT,$A:$A)=0,"×","√")),""))</f>
        <v/>
      </c>
      <c r="AT32" s="32" t="str">
        <f ca="1">IF($A32="","",IF(IF(AT$2&lt;=$A$1,1,0),IF(AT$4="休","",IF(COUNTIF(DATA!AU:AU,$A:$A)=0,"×","√")),""))</f>
        <v/>
      </c>
      <c r="AU32" s="32" t="str">
        <f ca="1">IF($A32="","",IF(IF(AU$2&lt;=$A$1,1,0),IF(AU$4="休","",IF(COUNTIF(DATA!AV:AV,$A:$A)=0,"×","√")),""))</f>
        <v/>
      </c>
      <c r="AV32" s="32" t="str">
        <f ca="1">IF($A32="","",IF(IF(AV$2&lt;=$A$1,1,0),IF(AV$4="休","",IF(COUNTIF(DATA!AW:AW,$A:$A)=0,"×","√")),""))</f>
        <v/>
      </c>
      <c r="AW32" s="32" t="str">
        <f ca="1">IF($A32="","",IF(IF(AW$2&lt;=$A$1,1,0),IF(AW$4="休","",IF(COUNTIF(DATA!AX:AX,$A:$A)=0,"×","√")),""))</f>
        <v/>
      </c>
      <c r="AX32" s="32" t="str">
        <f ca="1">IF($A32="","",IF(IF(AX$2&lt;=$A$1,1,0),IF(AX$4="休","",IF(COUNTIF(DATA!AY:AY,$A:$A)=0,"×","√")),""))</f>
        <v/>
      </c>
      <c r="AY32" s="32" t="str">
        <f ca="1">IF($A32="","",IF(IF(AY$2&lt;=$A$1,1,0),IF(AY$4="休","",IF(COUNTIF(DATA!AZ:AZ,$A:$A)=0,"×","√")),""))</f>
        <v/>
      </c>
      <c r="AZ32" s="32" t="str">
        <f ca="1">IF($A32="","",IF(IF(AZ$2&lt;=$A$1,1,0),IF(AZ$4="休","",IF(COUNTIF(DATA!BA:BA,$A:$A)=0,"×","√")),""))</f>
        <v/>
      </c>
      <c r="BA32" s="32" t="str">
        <f ca="1">IF($A32="","",IF(IF(BA$2&lt;=$A$1,1,0),IF(BA$4="休","",IF(COUNTIF(DATA!BB:BB,$A:$A)=0,"×","√")),""))</f>
        <v/>
      </c>
      <c r="BB32" s="32" t="str">
        <f ca="1">IF($A32="","",IF(IF(BB$2&lt;=$A$1,1,0),IF(BB$4="休","",IF(COUNTIF(DATA!BC:BC,$A:$A)=0,"×","√")),""))</f>
        <v/>
      </c>
      <c r="BC32" s="32" t="str">
        <f ca="1">IF($A32="","",IF(IF(BC$2&lt;=$A$1,1,0),IF(BC$4="休","",IF(COUNTIF(DATA!BD:BD,$A:$A)=0,"×","√")),""))</f>
        <v/>
      </c>
      <c r="BD32" s="32" t="str">
        <f ca="1">IF($A32="","",IF(IF(BD$2&lt;=$A$1,1,0),IF(BD$4="休","",IF(COUNTIF(DATA!BE:BE,$A:$A)=0,"×","√")),""))</f>
        <v/>
      </c>
      <c r="BE32" s="32" t="str">
        <f ca="1">IF($A32="","",IF(IF(BE$2&lt;=$A$1,1,0),IF(BE$4="休","",IF(COUNTIF(DATA!BF:BF,$A:$A)=0,"×","√")),""))</f>
        <v/>
      </c>
      <c r="BF32" s="32" t="str">
        <f ca="1">IF($A32="","",IF(IF(BF$2&lt;=$A$1,1,0),IF(BF$4="休","",IF(COUNTIF(DATA!BG:BG,$A:$A)=0,"×","√")),""))</f>
        <v/>
      </c>
      <c r="BG32" s="32" t="str">
        <f ca="1">IF($A32="","",IF(IF(BG$2&lt;=$A$1,1,0),IF(BG$4="休","",IF(COUNTIF(DATA!BH:BH,$A:$A)=0,"×","√")),""))</f>
        <v/>
      </c>
      <c r="BH32" s="32" t="str">
        <f ca="1">IF($A32="","",IF(IF(BH$2&lt;=$A$1,1,0),IF(BH$4="休","",IF(COUNTIF(DATA!BI:BI,$A:$A)=0,"×","√")),""))</f>
        <v/>
      </c>
      <c r="BI32" s="32" t="str">
        <f ca="1">IF($A32="","",IF(IF(BI$2&lt;=$A$1,1,0),IF(BI$4="休","",IF(COUNTIF(DATA!BJ:BJ,$A:$A)=0,"×","√")),""))</f>
        <v/>
      </c>
      <c r="BJ32" s="32" t="str">
        <f ca="1">IF($A32="","",IF(IF(BJ$2&lt;=$A$1,1,0),IF(BJ$4="休","",IF(COUNTIF(DATA!BK:BK,$A:$A)=0,"×","√")),""))</f>
        <v/>
      </c>
      <c r="BK32" s="32" t="str">
        <f ca="1">IF($A32="","",IF(IF(BK$2&lt;=$A$1,1,0),IF(BK$4="休","",IF(COUNTIF(DATA!BL:BL,$A:$A)=0,"×","√")),""))</f>
        <v/>
      </c>
      <c r="BL32" s="32" t="str">
        <f ca="1">IF($A32="","",IF(IF(BL$2&lt;=$A$1,1,0),IF(BL$4="休","",IF(COUNTIF(DATA!BM:BM,$A:$A)=0,"×","√")),""))</f>
        <v/>
      </c>
      <c r="BM32" s="32" t="str">
        <f ca="1">IF($A32="","",IF(IF(BM$2&lt;=$A$1,1,0),IF(BM$4="休","",IF(COUNTIF(DATA!BN:BN,$A:$A)=0,"×","√")),""))</f>
        <v/>
      </c>
      <c r="BN32" s="32" t="str">
        <f ca="1">IF($A32="","",IF(IF(BN$2&lt;=$A$1,1,0),IF(BN$4="休","",IF(COUNTIF(DATA!BO:BO,$A:$A)=0,"×","√")),""))</f>
        <v/>
      </c>
      <c r="BO32" s="32" t="str">
        <f ca="1">IF($A32="","",IF(IF(BO$2&lt;=$A$1,1,0),IF(BO$4="休","",IF(COUNTIF(DATA!BP:BP,$A:$A)=0,"×","√")),""))</f>
        <v/>
      </c>
      <c r="BP32" s="32" t="str">
        <f ca="1">IF($A32="","",IF(IF(BP$2&lt;=$A$1,1,0),IF(BP$4="休","",IF(COUNTIF(DATA!BQ:BQ,$A:$A)=0,"×","√")),""))</f>
        <v/>
      </c>
      <c r="BQ32" s="32" t="str">
        <f ca="1">IF($A32="","",IF(IF(BQ$2&lt;=$A$1,1,0),IF(BQ$4="休","",IF(COUNTIF(DATA!BR:BR,$A:$A)=0,"×","√")),""))</f>
        <v/>
      </c>
      <c r="BR32" s="32" t="str">
        <f ca="1">IF($A32="","",IF(IF(BR$2&lt;=$A$1,1,0),IF(BR$4="休","",IF(COUNTIF(DATA!BS:BS,$A:$A)=0,"×","√")),""))</f>
        <v/>
      </c>
      <c r="BS32" s="32" t="str">
        <f ca="1">IF($A32="","",IF(IF(BS$2&lt;=$A$1,1,0),IF(BS$4="休","",IF(COUNTIF(DATA!BT:BT,$A:$A)=0,"×","√")),""))</f>
        <v/>
      </c>
      <c r="BT32" s="32" t="str">
        <f ca="1">IF($A32="","",IF(IF(BT$2&lt;=$A$1,1,0),IF(BT$4="休","",IF(COUNTIF(DATA!BU:BU,$A:$A)=0,"×","√")),""))</f>
        <v/>
      </c>
      <c r="BU32" s="32" t="str">
        <f ca="1">IF($A32="","",IF(IF(BU$2&lt;=$A$1,1,0),IF(BU$4="休","",IF(COUNTIF(DATA!BV:BV,$A:$A)=0,"×","√")),""))</f>
        <v/>
      </c>
      <c r="BV32" s="32" t="str">
        <f ca="1">IF($A32="","",IF(IF(BV$2&lt;=$A$1,1,0),IF(BV$4="休","",IF(COUNTIF(DATA!BW:BW,$A:$A)=0,"×","√")),""))</f>
        <v/>
      </c>
      <c r="BW32" s="32" t="str">
        <f ca="1">IF($A32="","",IF(IF(BW$2&lt;=$A$1,1,0),IF(BW$4="休","",IF(COUNTIF(DATA!BX:BX,$A:$A)=0,"×","√")),""))</f>
        <v/>
      </c>
      <c r="BX32" s="32" t="str">
        <f ca="1">IF($A32="","",IF(IF(BX$2&lt;=$A$1,1,0),IF(BX$4="休","",IF(COUNTIF(DATA!BY:BY,$A:$A)=0,"×","√")),""))</f>
        <v/>
      </c>
      <c r="BY32" s="32" t="str">
        <f ca="1">IF($A32="","",IF(IF(BY$2&lt;=$A$1,1,0),IF(BY$4="休","",IF(COUNTIF(DATA!BZ:BZ,$A:$A)=0,"×","√")),""))</f>
        <v/>
      </c>
      <c r="BZ32" s="32" t="str">
        <f ca="1">IF($A32="","",IF(IF(BZ$2&lt;=$A$1,1,0),IF(BZ$4="休","",IF(COUNTIF(DATA!CA:CA,$A:$A)=0,"×","√")),""))</f>
        <v/>
      </c>
      <c r="CA32" s="32" t="str">
        <f ca="1">IF($A32="","",IF(IF(CA$2&lt;=$A$1,1,0),IF(CA$4="休","",IF(COUNTIF(DATA!CB:CB,$A:$A)=0,"×","√")),""))</f>
        <v/>
      </c>
      <c r="CB32" s="32" t="str">
        <f ca="1">IF($A32="","",IF(IF(CB$2&lt;=$A$1,1,0),IF(CB$4="休","",IF(COUNTIF(DATA!CC:CC,$A:$A)=0,"×","√")),""))</f>
        <v/>
      </c>
      <c r="CC32" s="32" t="str">
        <f ca="1">IF($A32="","",IF(IF(CC$2&lt;=$A$1,1,0),IF(CC$4="休","",IF(COUNTIF(DATA!CD:CD,$A:$A)=0,"×","√")),""))</f>
        <v/>
      </c>
      <c r="CD32" s="32" t="str">
        <f ca="1">IF($A32="","",IF(IF(CD$2&lt;=$A$1,1,0),IF(CD$4="休","",IF(COUNTIF(DATA!CE:CE,$A:$A)=0,"×","√")),""))</f>
        <v/>
      </c>
      <c r="CE32" s="32" t="str">
        <f ca="1">IF($A32="","",IF(IF(CE$2&lt;=$A$1,1,0),IF(CE$4="休","",IF(COUNTIF(DATA!CF:CF,$A:$A)=0,"×","√")),""))</f>
        <v/>
      </c>
      <c r="CF32" s="32" t="str">
        <f ca="1">IF($A32="","",IF(IF(CF$2&lt;=$A$1,1,0),IF(CF$4="休","",IF(COUNTIF(DATA!CG:CG,$A:$A)=0,"×","√")),""))</f>
        <v/>
      </c>
      <c r="CG32" s="32" t="str">
        <f ca="1">IF($A32="","",IF(IF(CG$2&lt;=$A$1,1,0),IF(CG$4="休","",IF(COUNTIF(DATA!CH:CH,$A:$A)=0,"×","√")),""))</f>
        <v/>
      </c>
      <c r="CH32" s="32" t="str">
        <f ca="1">IF($A32="","",IF(IF(CH$2&lt;=$A$1,1,0),IF(CH$4="休","",IF(COUNTIF(DATA!CI:CI,$A:$A)=0,"×","√")),""))</f>
        <v/>
      </c>
      <c r="CI32" s="32" t="str">
        <f ca="1">IF($A32="","",IF(IF(CI$2&lt;=$A$1,1,0),IF(CI$4="休","",IF(COUNTIF(DATA!CJ:CJ,$A:$A)=0,"×","√")),""))</f>
        <v/>
      </c>
      <c r="CJ32" s="32" t="str">
        <f ca="1">IF($A32="","",IF(IF(CJ$2&lt;=$A$1,1,0),IF(CJ$4="休","",IF(COUNTIF(DATA!CK:CK,$A:$A)=0,"×","√")),""))</f>
        <v/>
      </c>
      <c r="CK32" s="32" t="str">
        <f ca="1">IF($A32="","",IF(IF(CK$2&lt;=$A$1,1,0),IF(CK$4="休","",IF(COUNTIF(DATA!CL:CL,$A:$A)=0,"×","√")),""))</f>
        <v/>
      </c>
      <c r="CL32" s="32" t="str">
        <f ca="1">IF($A32="","",IF(IF(CL$2&lt;=$A$1,1,0),IF(CL$4="休","",IF(COUNTIF(DATA!CM:CM,$A:$A)=0,"×","√")),""))</f>
        <v/>
      </c>
      <c r="CM32" s="32" t="str">
        <f ca="1">IF($A32="","",IF(IF(CM$2&lt;=$A$1,1,0),IF(CM$4="休","",IF(COUNTIF(DATA!CN:CN,$A:$A)=0,"×","√")),""))</f>
        <v/>
      </c>
      <c r="CN32" s="32" t="str">
        <f ca="1">IF($A32="","",IF(IF(CN$2&lt;=$A$1,1,0),IF(CN$4="休","",IF(COUNTIF(DATA!CO:CO,$A:$A)=0,"×","√")),""))</f>
        <v/>
      </c>
      <c r="CO32" s="32" t="str">
        <f ca="1">IF($A32="","",IF(IF(CO$2&lt;=$A$1,1,0),IF(CO$4="休","",IF(COUNTIF(DATA!CP:CP,$A:$A)=0,"×","√")),""))</f>
        <v/>
      </c>
      <c r="CP32" s="32" t="str">
        <f ca="1">IF($A32="","",IF(IF(CP$2&lt;=$A$1,1,0),IF(CP$4="休","",IF(COUNTIF(DATA!CQ:CQ,$A:$A)=0,"×","√")),""))</f>
        <v/>
      </c>
      <c r="CQ32" s="32" t="str">
        <f ca="1">IF($A32="","",IF(IF(CQ$2&lt;=$A$1,1,0),IF(CQ$4="休","",IF(COUNTIF(DATA!CR:CR,$A:$A)=0,"×","√")),""))</f>
        <v/>
      </c>
      <c r="CR32" s="32" t="str">
        <f ca="1">IF($A32="","",IF(IF(CR$2&lt;=$A$1,1,0),IF(CR$4="休","",IF(COUNTIF(DATA!CS:CS,$A:$A)=0,"×","√")),""))</f>
        <v/>
      </c>
    </row>
    <row r="33" s="26" customFormat="1" ht="18.75" spans="1:96">
      <c r="A33" s="32" t="str">
        <f>DATA!$A32&amp;""</f>
        <v>丁江</v>
      </c>
      <c r="B33" s="32" t="str">
        <f ca="1">IF($A33="","",IF(IF(B$2&lt;=$A$1,1,0),IF(B$4="休","",IF(COUNTIF(DATA!C:C,$A:$A)=0,"×","√")),""))</f>
        <v>√</v>
      </c>
      <c r="C33" s="32" t="str">
        <f ca="1">IF($A33="","",IF(IF(C$2&lt;=$A$1,1,0),IF(C$4="休","",IF(COUNTIF(DATA!D:D,$A:$A)=0,"×","√")),""))</f>
        <v>√</v>
      </c>
      <c r="D33" s="32" t="str">
        <f ca="1">IF($A33="","",IF(IF(D$2&lt;=$A$1,1,0),IF(D$4="休","",IF(COUNTIF(DATA!E:E,$A:$A)=0,"×","√")),""))</f>
        <v>√</v>
      </c>
      <c r="E33" s="32" t="str">
        <f ca="1">IF($A33="","",IF(IF(E$2&lt;=$A$1,1,0),IF(E$4="休","",IF(COUNTIF(DATA!F:F,$A:$A)=0,"×","√")),""))</f>
        <v>√</v>
      </c>
      <c r="F33" s="32" t="str">
        <f ca="1">IF($A33="","",IF(IF(F$2&lt;=$A$1,1,0),IF(F$4="休","",IF(COUNTIF(DATA!G:G,$A:$A)=0,"×","√")),""))</f>
        <v>√</v>
      </c>
      <c r="G33" s="32" t="str">
        <f ca="1">IF($A33="","",IF(IF(G$2&lt;=$A$1,1,0),IF(G$4="休","",IF(COUNTIF(DATA!H:H,$A:$A)=0,"×","√")),""))</f>
        <v>√</v>
      </c>
      <c r="H33" s="32" t="str">
        <f ca="1">IF($A33="","",IF(IF(H$2&lt;=$A$1,1,0),IF(H$4="休","",IF(COUNTIF(DATA!I:I,$A:$A)=0,"×","√")),""))</f>
        <v>√</v>
      </c>
      <c r="I33" s="32" t="str">
        <f ca="1">IF($A33="","",IF(IF(I$2&lt;=$A$1,1,0),IF(I$4="休","",IF(COUNTIF(DATA!J:J,$A:$A)=0,"×","√")),""))</f>
        <v>√</v>
      </c>
      <c r="J33" s="32" t="str">
        <f ca="1">IF($A33="","",IF(IF(J$2&lt;=$A$1,1,0),IF(J$4="休","",IF(COUNTIF(DATA!K:K,$A:$A)=0,"×","√")),""))</f>
        <v/>
      </c>
      <c r="K33" s="32" t="str">
        <f ca="1">IF($A33="","",IF(IF(K$2&lt;=$A$1,1,0),IF(K$4="休","",IF(COUNTIF(DATA!L:L,$A:$A)=0,"×","√")),""))</f>
        <v/>
      </c>
      <c r="L33" s="32" t="str">
        <f ca="1">IF($A33="","",IF(IF(L$2&lt;=$A$1,1,0),IF(L$4="休","",IF(COUNTIF(DATA!M:M,$A:$A)=0,"×","√")),""))</f>
        <v/>
      </c>
      <c r="M33" s="32" t="str">
        <f ca="1">IF($A33="","",IF(IF(M$2&lt;=$A$1,1,0),IF(M$4="休","",IF(COUNTIF(DATA!N:N,$A:$A)=0,"×","√")),""))</f>
        <v/>
      </c>
      <c r="N33" s="32" t="str">
        <f ca="1">IF($A33="","",IF(IF(N$2&lt;=$A$1,1,0),IF(N$4="休","",IF(COUNTIF(DATA!O:O,$A:$A)=0,"×","√")),""))</f>
        <v/>
      </c>
      <c r="O33" s="32" t="str">
        <f ca="1">IF($A33="","",IF(IF(O$2&lt;=$A$1,1,0),IF(O$4="休","",IF(COUNTIF(DATA!P:P,$A:$A)=0,"×","√")),""))</f>
        <v/>
      </c>
      <c r="P33" s="32" t="str">
        <f ca="1">IF($A33="","",IF(IF(P$2&lt;=$A$1,1,0),IF(P$4="休","",IF(COUNTIF(DATA!Q:Q,$A:$A)=0,"×","√")),""))</f>
        <v/>
      </c>
      <c r="Q33" s="32" t="str">
        <f ca="1">IF($A33="","",IF(IF(Q$2&lt;=$A$1,1,0),IF(Q$4="休","",IF(COUNTIF(DATA!R:R,$A:$A)=0,"×","√")),""))</f>
        <v/>
      </c>
      <c r="R33" s="32" t="str">
        <f ca="1">IF($A33="","",IF(IF(R$2&lt;=$A$1,1,0),IF(R$4="休","",IF(COUNTIF(DATA!S:S,$A:$A)=0,"×","√")),""))</f>
        <v/>
      </c>
      <c r="S33" s="32" t="str">
        <f ca="1">IF($A33="","",IF(IF(S$2&lt;=$A$1,1,0),IF(S$4="休","",IF(COUNTIF(DATA!T:T,$A:$A)=0,"×","√")),""))</f>
        <v/>
      </c>
      <c r="T33" s="32" t="str">
        <f ca="1">IF($A33="","",IF(IF(T$2&lt;=$A$1,1,0),IF(T$4="休","",IF(COUNTIF(DATA!U:U,$A:$A)=0,"×","√")),""))</f>
        <v/>
      </c>
      <c r="U33" s="32" t="str">
        <f ca="1">IF($A33="","",IF(IF(U$2&lt;=$A$1,1,0),IF(U$4="休","",IF(COUNTIF(DATA!V:V,$A:$A)=0,"×","√")),""))</f>
        <v/>
      </c>
      <c r="V33" s="32" t="str">
        <f ca="1">IF($A33="","",IF(IF(V$2&lt;=$A$1,1,0),IF(V$4="休","",IF(COUNTIF(DATA!W:W,$A:$A)=0,"×","√")),""))</f>
        <v/>
      </c>
      <c r="W33" s="32" t="str">
        <f ca="1">IF($A33="","",IF(IF(W$2&lt;=$A$1,1,0),IF(W$4="休","",IF(COUNTIF(DATA!X:X,$A:$A)=0,"×","√")),""))</f>
        <v/>
      </c>
      <c r="X33" s="32" t="str">
        <f ca="1">IF($A33="","",IF(IF(X$2&lt;=$A$1,1,0),IF(X$4="休","",IF(COUNTIF(DATA!Y:Y,$A:$A)=0,"×","√")),""))</f>
        <v/>
      </c>
      <c r="Y33" s="32" t="str">
        <f ca="1">IF($A33="","",IF(IF(Y$2&lt;=$A$1,1,0),IF(Y$4="休","",IF(COUNTIF(DATA!Z:Z,$A:$A)=0,"×","√")),""))</f>
        <v/>
      </c>
      <c r="Z33" s="32" t="str">
        <f ca="1">IF($A33="","",IF(IF(Z$2&lt;=$A$1,1,0),IF(Z$4="休","",IF(COUNTIF(DATA!AA:AA,$A:$A)=0,"×","√")),""))</f>
        <v/>
      </c>
      <c r="AA33" s="32" t="str">
        <f ca="1">IF($A33="","",IF(IF(AA$2&lt;=$A$1,1,0),IF(AA$4="休","",IF(COUNTIF(DATA!AB:AB,$A:$A)=0,"×","√")),""))</f>
        <v/>
      </c>
      <c r="AB33" s="32" t="str">
        <f ca="1">IF($A33="","",IF(IF(AB$2&lt;=$A$1,1,0),IF(AB$4="休","",IF(COUNTIF(DATA!AC:AC,$A:$A)=0,"×","√")),""))</f>
        <v/>
      </c>
      <c r="AC33" s="32" t="str">
        <f ca="1">IF($A33="","",IF(IF(AC$2&lt;=$A$1,1,0),IF(AC$4="休","",IF(COUNTIF(DATA!AD:AD,$A:$A)=0,"×","√")),""))</f>
        <v/>
      </c>
      <c r="AD33" s="32" t="str">
        <f ca="1">IF($A33="","",IF(IF(AD$2&lt;=$A$1,1,0),IF(AD$4="休","",IF(COUNTIF(DATA!AE:AE,$A:$A)=0,"×","√")),""))</f>
        <v/>
      </c>
      <c r="AE33" s="32" t="str">
        <f ca="1">IF($A33="","",IF(IF(AE$2&lt;=$A$1,1,0),IF(AE$4="休","",IF(COUNTIF(DATA!AF:AF,$A:$A)=0,"×","√")),""))</f>
        <v/>
      </c>
      <c r="AF33" s="32" t="str">
        <f ca="1">IF($A33="","",IF(IF(AF$2&lt;=$A$1,1,0),IF(AF$4="休","",IF(COUNTIF(DATA!AG:AG,$A:$A)=0,"×","√")),""))</f>
        <v/>
      </c>
      <c r="AG33" s="32" t="str">
        <f ca="1">IF($A33="","",IF(IF(AG$2&lt;=$A$1,1,0),IF(AG$4="休","",IF(COUNTIF(DATA!AH:AH,$A:$A)=0,"×","√")),""))</f>
        <v/>
      </c>
      <c r="AH33" s="32" t="str">
        <f ca="1">IF($A33="","",IF(IF(AH$2&lt;=$A$1,1,0),IF(AH$4="休","",IF(COUNTIF(DATA!AI:AI,$A:$A)=0,"×","√")),""))</f>
        <v/>
      </c>
      <c r="AI33" s="32" t="str">
        <f ca="1">IF($A33="","",IF(IF(AI$2&lt;=$A$1,1,0),IF(AI$4="休","",IF(COUNTIF(DATA!AJ:AJ,$A:$A)=0,"×","√")),""))</f>
        <v/>
      </c>
      <c r="AJ33" s="32" t="str">
        <f ca="1">IF($A33="","",IF(IF(AJ$2&lt;=$A$1,1,0),IF(AJ$4="休","",IF(COUNTIF(DATA!AK:AK,$A:$A)=0,"×","√")),""))</f>
        <v/>
      </c>
      <c r="AK33" s="32" t="str">
        <f ca="1">IF($A33="","",IF(IF(AK$2&lt;=$A$1,1,0),IF(AK$4="休","",IF(COUNTIF(DATA!AL:AL,$A:$A)=0,"×","√")),""))</f>
        <v/>
      </c>
      <c r="AL33" s="32" t="str">
        <f ca="1">IF($A33="","",IF(IF(AL$2&lt;=$A$1,1,0),IF(AL$4="休","",IF(COUNTIF(DATA!AM:AM,$A:$A)=0,"×","√")),""))</f>
        <v/>
      </c>
      <c r="AM33" s="32" t="str">
        <f ca="1">IF($A33="","",IF(IF(AM$2&lt;=$A$1,1,0),IF(AM$4="休","",IF(COUNTIF(DATA!AN:AN,$A:$A)=0,"×","√")),""))</f>
        <v/>
      </c>
      <c r="AN33" s="32" t="str">
        <f ca="1">IF($A33="","",IF(IF(AN$2&lt;=$A$1,1,0),IF(AN$4="休","",IF(COUNTIF(DATA!AO:AO,$A:$A)=0,"×","√")),""))</f>
        <v/>
      </c>
      <c r="AO33" s="32" t="str">
        <f ca="1">IF($A33="","",IF(IF(AO$2&lt;=$A$1,1,0),IF(AO$4="休","",IF(COUNTIF(DATA!AP:AP,$A:$A)=0,"×","√")),""))</f>
        <v/>
      </c>
      <c r="AP33" s="32" t="str">
        <f ca="1">IF($A33="","",IF(IF(AP$2&lt;=$A$1,1,0),IF(AP$4="休","",IF(COUNTIF(DATA!AQ:AQ,$A:$A)=0,"×","√")),""))</f>
        <v/>
      </c>
      <c r="AQ33" s="32" t="str">
        <f ca="1">IF($A33="","",IF(IF(AQ$2&lt;=$A$1,1,0),IF(AQ$4="休","",IF(COUNTIF(DATA!AR:AR,$A:$A)=0,"×","√")),""))</f>
        <v/>
      </c>
      <c r="AR33" s="32" t="str">
        <f ca="1">IF($A33="","",IF(IF(AR$2&lt;=$A$1,1,0),IF(AR$4="休","",IF(COUNTIF(DATA!AS:AS,$A:$A)=0,"×","√")),""))</f>
        <v/>
      </c>
      <c r="AS33" s="32" t="str">
        <f ca="1">IF($A33="","",IF(IF(AS$2&lt;=$A$1,1,0),IF(AS$4="休","",IF(COUNTIF(DATA!AT:AT,$A:$A)=0,"×","√")),""))</f>
        <v/>
      </c>
      <c r="AT33" s="32" t="str">
        <f ca="1">IF($A33="","",IF(IF(AT$2&lt;=$A$1,1,0),IF(AT$4="休","",IF(COUNTIF(DATA!AU:AU,$A:$A)=0,"×","√")),""))</f>
        <v/>
      </c>
      <c r="AU33" s="32" t="str">
        <f ca="1">IF($A33="","",IF(IF(AU$2&lt;=$A$1,1,0),IF(AU$4="休","",IF(COUNTIF(DATA!AV:AV,$A:$A)=0,"×","√")),""))</f>
        <v/>
      </c>
      <c r="AV33" s="32" t="str">
        <f ca="1">IF($A33="","",IF(IF(AV$2&lt;=$A$1,1,0),IF(AV$4="休","",IF(COUNTIF(DATA!AW:AW,$A:$A)=0,"×","√")),""))</f>
        <v/>
      </c>
      <c r="AW33" s="32" t="str">
        <f ca="1">IF($A33="","",IF(IF(AW$2&lt;=$A$1,1,0),IF(AW$4="休","",IF(COUNTIF(DATA!AX:AX,$A:$A)=0,"×","√")),""))</f>
        <v/>
      </c>
      <c r="AX33" s="32" t="str">
        <f ca="1">IF($A33="","",IF(IF(AX$2&lt;=$A$1,1,0),IF(AX$4="休","",IF(COUNTIF(DATA!AY:AY,$A:$A)=0,"×","√")),""))</f>
        <v/>
      </c>
      <c r="AY33" s="32" t="str">
        <f ca="1">IF($A33="","",IF(IF(AY$2&lt;=$A$1,1,0),IF(AY$4="休","",IF(COUNTIF(DATA!AZ:AZ,$A:$A)=0,"×","√")),""))</f>
        <v/>
      </c>
      <c r="AZ33" s="32" t="str">
        <f ca="1">IF($A33="","",IF(IF(AZ$2&lt;=$A$1,1,0),IF(AZ$4="休","",IF(COUNTIF(DATA!BA:BA,$A:$A)=0,"×","√")),""))</f>
        <v/>
      </c>
      <c r="BA33" s="32" t="str">
        <f ca="1">IF($A33="","",IF(IF(BA$2&lt;=$A$1,1,0),IF(BA$4="休","",IF(COUNTIF(DATA!BB:BB,$A:$A)=0,"×","√")),""))</f>
        <v/>
      </c>
      <c r="BB33" s="32" t="str">
        <f ca="1">IF($A33="","",IF(IF(BB$2&lt;=$A$1,1,0),IF(BB$4="休","",IF(COUNTIF(DATA!BC:BC,$A:$A)=0,"×","√")),""))</f>
        <v/>
      </c>
      <c r="BC33" s="32" t="str">
        <f ca="1">IF($A33="","",IF(IF(BC$2&lt;=$A$1,1,0),IF(BC$4="休","",IF(COUNTIF(DATA!BD:BD,$A:$A)=0,"×","√")),""))</f>
        <v/>
      </c>
      <c r="BD33" s="32" t="str">
        <f ca="1">IF($A33="","",IF(IF(BD$2&lt;=$A$1,1,0),IF(BD$4="休","",IF(COUNTIF(DATA!BE:BE,$A:$A)=0,"×","√")),""))</f>
        <v/>
      </c>
      <c r="BE33" s="32" t="str">
        <f ca="1">IF($A33="","",IF(IF(BE$2&lt;=$A$1,1,0),IF(BE$4="休","",IF(COUNTIF(DATA!BF:BF,$A:$A)=0,"×","√")),""))</f>
        <v/>
      </c>
      <c r="BF33" s="32" t="str">
        <f ca="1">IF($A33="","",IF(IF(BF$2&lt;=$A$1,1,0),IF(BF$4="休","",IF(COUNTIF(DATA!BG:BG,$A:$A)=0,"×","√")),""))</f>
        <v/>
      </c>
      <c r="BG33" s="32" t="str">
        <f ca="1">IF($A33="","",IF(IF(BG$2&lt;=$A$1,1,0),IF(BG$4="休","",IF(COUNTIF(DATA!BH:BH,$A:$A)=0,"×","√")),""))</f>
        <v/>
      </c>
      <c r="BH33" s="32" t="str">
        <f ca="1">IF($A33="","",IF(IF(BH$2&lt;=$A$1,1,0),IF(BH$4="休","",IF(COUNTIF(DATA!BI:BI,$A:$A)=0,"×","√")),""))</f>
        <v/>
      </c>
      <c r="BI33" s="32" t="str">
        <f ca="1">IF($A33="","",IF(IF(BI$2&lt;=$A$1,1,0),IF(BI$4="休","",IF(COUNTIF(DATA!BJ:BJ,$A:$A)=0,"×","√")),""))</f>
        <v/>
      </c>
      <c r="BJ33" s="32" t="str">
        <f ca="1">IF($A33="","",IF(IF(BJ$2&lt;=$A$1,1,0),IF(BJ$4="休","",IF(COUNTIF(DATA!BK:BK,$A:$A)=0,"×","√")),""))</f>
        <v/>
      </c>
      <c r="BK33" s="32" t="str">
        <f ca="1">IF($A33="","",IF(IF(BK$2&lt;=$A$1,1,0),IF(BK$4="休","",IF(COUNTIF(DATA!BL:BL,$A:$A)=0,"×","√")),""))</f>
        <v/>
      </c>
      <c r="BL33" s="32" t="str">
        <f ca="1">IF($A33="","",IF(IF(BL$2&lt;=$A$1,1,0),IF(BL$4="休","",IF(COUNTIF(DATA!BM:BM,$A:$A)=0,"×","√")),""))</f>
        <v/>
      </c>
      <c r="BM33" s="32" t="str">
        <f ca="1">IF($A33="","",IF(IF(BM$2&lt;=$A$1,1,0),IF(BM$4="休","",IF(COUNTIF(DATA!BN:BN,$A:$A)=0,"×","√")),""))</f>
        <v/>
      </c>
      <c r="BN33" s="32" t="str">
        <f ca="1">IF($A33="","",IF(IF(BN$2&lt;=$A$1,1,0),IF(BN$4="休","",IF(COUNTIF(DATA!BO:BO,$A:$A)=0,"×","√")),""))</f>
        <v/>
      </c>
      <c r="BO33" s="32" t="str">
        <f ca="1">IF($A33="","",IF(IF(BO$2&lt;=$A$1,1,0),IF(BO$4="休","",IF(COUNTIF(DATA!BP:BP,$A:$A)=0,"×","√")),""))</f>
        <v/>
      </c>
      <c r="BP33" s="32" t="str">
        <f ca="1">IF($A33="","",IF(IF(BP$2&lt;=$A$1,1,0),IF(BP$4="休","",IF(COUNTIF(DATA!BQ:BQ,$A:$A)=0,"×","√")),""))</f>
        <v/>
      </c>
      <c r="BQ33" s="32" t="str">
        <f ca="1">IF($A33="","",IF(IF(BQ$2&lt;=$A$1,1,0),IF(BQ$4="休","",IF(COUNTIF(DATA!BR:BR,$A:$A)=0,"×","√")),""))</f>
        <v/>
      </c>
      <c r="BR33" s="32" t="str">
        <f ca="1">IF($A33="","",IF(IF(BR$2&lt;=$A$1,1,0),IF(BR$4="休","",IF(COUNTIF(DATA!BS:BS,$A:$A)=0,"×","√")),""))</f>
        <v/>
      </c>
      <c r="BS33" s="32" t="str">
        <f ca="1">IF($A33="","",IF(IF(BS$2&lt;=$A$1,1,0),IF(BS$4="休","",IF(COUNTIF(DATA!BT:BT,$A:$A)=0,"×","√")),""))</f>
        <v/>
      </c>
      <c r="BT33" s="32" t="str">
        <f ca="1">IF($A33="","",IF(IF(BT$2&lt;=$A$1,1,0),IF(BT$4="休","",IF(COUNTIF(DATA!BU:BU,$A:$A)=0,"×","√")),""))</f>
        <v/>
      </c>
      <c r="BU33" s="32" t="str">
        <f ca="1">IF($A33="","",IF(IF(BU$2&lt;=$A$1,1,0),IF(BU$4="休","",IF(COUNTIF(DATA!BV:BV,$A:$A)=0,"×","√")),""))</f>
        <v/>
      </c>
      <c r="BV33" s="32" t="str">
        <f ca="1">IF($A33="","",IF(IF(BV$2&lt;=$A$1,1,0),IF(BV$4="休","",IF(COUNTIF(DATA!BW:BW,$A:$A)=0,"×","√")),""))</f>
        <v/>
      </c>
      <c r="BW33" s="32" t="str">
        <f ca="1">IF($A33="","",IF(IF(BW$2&lt;=$A$1,1,0),IF(BW$4="休","",IF(COUNTIF(DATA!BX:BX,$A:$A)=0,"×","√")),""))</f>
        <v/>
      </c>
      <c r="BX33" s="32" t="str">
        <f ca="1">IF($A33="","",IF(IF(BX$2&lt;=$A$1,1,0),IF(BX$4="休","",IF(COUNTIF(DATA!BY:BY,$A:$A)=0,"×","√")),""))</f>
        <v/>
      </c>
      <c r="BY33" s="32" t="str">
        <f ca="1">IF($A33="","",IF(IF(BY$2&lt;=$A$1,1,0),IF(BY$4="休","",IF(COUNTIF(DATA!BZ:BZ,$A:$A)=0,"×","√")),""))</f>
        <v/>
      </c>
      <c r="BZ33" s="32" t="str">
        <f ca="1">IF($A33="","",IF(IF(BZ$2&lt;=$A$1,1,0),IF(BZ$4="休","",IF(COUNTIF(DATA!CA:CA,$A:$A)=0,"×","√")),""))</f>
        <v/>
      </c>
      <c r="CA33" s="32" t="str">
        <f ca="1">IF($A33="","",IF(IF(CA$2&lt;=$A$1,1,0),IF(CA$4="休","",IF(COUNTIF(DATA!CB:CB,$A:$A)=0,"×","√")),""))</f>
        <v/>
      </c>
      <c r="CB33" s="32" t="str">
        <f ca="1">IF($A33="","",IF(IF(CB$2&lt;=$A$1,1,0),IF(CB$4="休","",IF(COUNTIF(DATA!CC:CC,$A:$A)=0,"×","√")),""))</f>
        <v/>
      </c>
      <c r="CC33" s="32" t="str">
        <f ca="1">IF($A33="","",IF(IF(CC$2&lt;=$A$1,1,0),IF(CC$4="休","",IF(COUNTIF(DATA!CD:CD,$A:$A)=0,"×","√")),""))</f>
        <v/>
      </c>
      <c r="CD33" s="32" t="str">
        <f ca="1">IF($A33="","",IF(IF(CD$2&lt;=$A$1,1,0),IF(CD$4="休","",IF(COUNTIF(DATA!CE:CE,$A:$A)=0,"×","√")),""))</f>
        <v/>
      </c>
      <c r="CE33" s="32" t="str">
        <f ca="1">IF($A33="","",IF(IF(CE$2&lt;=$A$1,1,0),IF(CE$4="休","",IF(COUNTIF(DATA!CF:CF,$A:$A)=0,"×","√")),""))</f>
        <v/>
      </c>
      <c r="CF33" s="32" t="str">
        <f ca="1">IF($A33="","",IF(IF(CF$2&lt;=$A$1,1,0),IF(CF$4="休","",IF(COUNTIF(DATA!CG:CG,$A:$A)=0,"×","√")),""))</f>
        <v/>
      </c>
      <c r="CG33" s="32" t="str">
        <f ca="1">IF($A33="","",IF(IF(CG$2&lt;=$A$1,1,0),IF(CG$4="休","",IF(COUNTIF(DATA!CH:CH,$A:$A)=0,"×","√")),""))</f>
        <v/>
      </c>
      <c r="CH33" s="32" t="str">
        <f ca="1">IF($A33="","",IF(IF(CH$2&lt;=$A$1,1,0),IF(CH$4="休","",IF(COUNTIF(DATA!CI:CI,$A:$A)=0,"×","√")),""))</f>
        <v/>
      </c>
      <c r="CI33" s="32" t="str">
        <f ca="1">IF($A33="","",IF(IF(CI$2&lt;=$A$1,1,0),IF(CI$4="休","",IF(COUNTIF(DATA!CJ:CJ,$A:$A)=0,"×","√")),""))</f>
        <v/>
      </c>
      <c r="CJ33" s="32" t="str">
        <f ca="1">IF($A33="","",IF(IF(CJ$2&lt;=$A$1,1,0),IF(CJ$4="休","",IF(COUNTIF(DATA!CK:CK,$A:$A)=0,"×","√")),""))</f>
        <v/>
      </c>
      <c r="CK33" s="32" t="str">
        <f ca="1">IF($A33="","",IF(IF(CK$2&lt;=$A$1,1,0),IF(CK$4="休","",IF(COUNTIF(DATA!CL:CL,$A:$A)=0,"×","√")),""))</f>
        <v/>
      </c>
      <c r="CL33" s="32" t="str">
        <f ca="1">IF($A33="","",IF(IF(CL$2&lt;=$A$1,1,0),IF(CL$4="休","",IF(COUNTIF(DATA!CM:CM,$A:$A)=0,"×","√")),""))</f>
        <v/>
      </c>
      <c r="CM33" s="32" t="str">
        <f ca="1">IF($A33="","",IF(IF(CM$2&lt;=$A$1,1,0),IF(CM$4="休","",IF(COUNTIF(DATA!CN:CN,$A:$A)=0,"×","√")),""))</f>
        <v/>
      </c>
      <c r="CN33" s="32" t="str">
        <f ca="1">IF($A33="","",IF(IF(CN$2&lt;=$A$1,1,0),IF(CN$4="休","",IF(COUNTIF(DATA!CO:CO,$A:$A)=0,"×","√")),""))</f>
        <v/>
      </c>
      <c r="CO33" s="32" t="str">
        <f ca="1">IF($A33="","",IF(IF(CO$2&lt;=$A$1,1,0),IF(CO$4="休","",IF(COUNTIF(DATA!CP:CP,$A:$A)=0,"×","√")),""))</f>
        <v/>
      </c>
      <c r="CP33" s="32" t="str">
        <f ca="1">IF($A33="","",IF(IF(CP$2&lt;=$A$1,1,0),IF(CP$4="休","",IF(COUNTIF(DATA!CQ:CQ,$A:$A)=0,"×","√")),""))</f>
        <v/>
      </c>
      <c r="CQ33" s="32" t="str">
        <f ca="1">IF($A33="","",IF(IF(CQ$2&lt;=$A$1,1,0),IF(CQ$4="休","",IF(COUNTIF(DATA!CR:CR,$A:$A)=0,"×","√")),""))</f>
        <v/>
      </c>
      <c r="CR33" s="32" t="str">
        <f ca="1">IF($A33="","",IF(IF(CR$2&lt;=$A$1,1,0),IF(CR$4="休","",IF(COUNTIF(DATA!CS:CS,$A:$A)=0,"×","√")),""))</f>
        <v/>
      </c>
    </row>
    <row r="34" s="26" customFormat="1" ht="18.75" spans="1:96">
      <c r="A34" s="32" t="str">
        <f>DATA!$A33&amp;""</f>
        <v>杨草晖</v>
      </c>
      <c r="B34" s="32" t="str">
        <f ca="1">IF($A34="","",IF(IF(B$2&lt;=$A$1,1,0),IF(B$4="休","",IF(COUNTIF(DATA!C:C,$A:$A)=0,"×","√")),""))</f>
        <v>√</v>
      </c>
      <c r="C34" s="32" t="str">
        <f ca="1">IF($A34="","",IF(IF(C$2&lt;=$A$1,1,0),IF(C$4="休","",IF(COUNTIF(DATA!D:D,$A:$A)=0,"×","√")),""))</f>
        <v>√</v>
      </c>
      <c r="D34" s="32" t="str">
        <f ca="1">IF($A34="","",IF(IF(D$2&lt;=$A$1,1,0),IF(D$4="休","",IF(COUNTIF(DATA!E:E,$A:$A)=0,"×","√")),""))</f>
        <v>√</v>
      </c>
      <c r="E34" s="32" t="str">
        <f ca="1">IF($A34="","",IF(IF(E$2&lt;=$A$1,1,0),IF(E$4="休","",IF(COUNTIF(DATA!F:F,$A:$A)=0,"×","√")),""))</f>
        <v>√</v>
      </c>
      <c r="F34" s="32" t="str">
        <f ca="1">IF($A34="","",IF(IF(F$2&lt;=$A$1,1,0),IF(F$4="休","",IF(COUNTIF(DATA!G:G,$A:$A)=0,"×","√")),""))</f>
        <v>√</v>
      </c>
      <c r="G34" s="32" t="str">
        <f ca="1">IF($A34="","",IF(IF(G$2&lt;=$A$1,1,0),IF(G$4="休","",IF(COUNTIF(DATA!H:H,$A:$A)=0,"×","√")),""))</f>
        <v>√</v>
      </c>
      <c r="H34" s="32" t="str">
        <f ca="1">IF($A34="","",IF(IF(H$2&lt;=$A$1,1,0),IF(H$4="休","",IF(COUNTIF(DATA!I:I,$A:$A)=0,"×","√")),""))</f>
        <v>√</v>
      </c>
      <c r="I34" s="32" t="str">
        <f ca="1">IF($A34="","",IF(IF(I$2&lt;=$A$1,1,0),IF(I$4="休","",IF(COUNTIF(DATA!J:J,$A:$A)=0,"×","√")),""))</f>
        <v>√</v>
      </c>
      <c r="J34" s="32" t="str">
        <f ca="1">IF($A34="","",IF(IF(J$2&lt;=$A$1,1,0),IF(J$4="休","",IF(COUNTIF(DATA!K:K,$A:$A)=0,"×","√")),""))</f>
        <v/>
      </c>
      <c r="K34" s="32" t="str">
        <f ca="1">IF($A34="","",IF(IF(K$2&lt;=$A$1,1,0),IF(K$4="休","",IF(COUNTIF(DATA!L:L,$A:$A)=0,"×","√")),""))</f>
        <v/>
      </c>
      <c r="L34" s="32" t="str">
        <f ca="1">IF($A34="","",IF(IF(L$2&lt;=$A$1,1,0),IF(L$4="休","",IF(COUNTIF(DATA!M:M,$A:$A)=0,"×","√")),""))</f>
        <v/>
      </c>
      <c r="M34" s="32" t="str">
        <f ca="1">IF($A34="","",IF(IF(M$2&lt;=$A$1,1,0),IF(M$4="休","",IF(COUNTIF(DATA!N:N,$A:$A)=0,"×","√")),""))</f>
        <v/>
      </c>
      <c r="N34" s="32" t="str">
        <f ca="1">IF($A34="","",IF(IF(N$2&lt;=$A$1,1,0),IF(N$4="休","",IF(COUNTIF(DATA!O:O,$A:$A)=0,"×","√")),""))</f>
        <v/>
      </c>
      <c r="O34" s="32" t="str">
        <f ca="1">IF($A34="","",IF(IF(O$2&lt;=$A$1,1,0),IF(O$4="休","",IF(COUNTIF(DATA!P:P,$A:$A)=0,"×","√")),""))</f>
        <v/>
      </c>
      <c r="P34" s="32" t="str">
        <f ca="1">IF($A34="","",IF(IF(P$2&lt;=$A$1,1,0),IF(P$4="休","",IF(COUNTIF(DATA!Q:Q,$A:$A)=0,"×","√")),""))</f>
        <v/>
      </c>
      <c r="Q34" s="32" t="str">
        <f ca="1">IF($A34="","",IF(IF(Q$2&lt;=$A$1,1,0),IF(Q$4="休","",IF(COUNTIF(DATA!R:R,$A:$A)=0,"×","√")),""))</f>
        <v/>
      </c>
      <c r="R34" s="32" t="str">
        <f ca="1">IF($A34="","",IF(IF(R$2&lt;=$A$1,1,0),IF(R$4="休","",IF(COUNTIF(DATA!S:S,$A:$A)=0,"×","√")),""))</f>
        <v/>
      </c>
      <c r="S34" s="32" t="str">
        <f ca="1">IF($A34="","",IF(IF(S$2&lt;=$A$1,1,0),IF(S$4="休","",IF(COUNTIF(DATA!T:T,$A:$A)=0,"×","√")),""))</f>
        <v/>
      </c>
      <c r="T34" s="32" t="str">
        <f ca="1">IF($A34="","",IF(IF(T$2&lt;=$A$1,1,0),IF(T$4="休","",IF(COUNTIF(DATA!U:U,$A:$A)=0,"×","√")),""))</f>
        <v/>
      </c>
      <c r="U34" s="32" t="str">
        <f ca="1">IF($A34="","",IF(IF(U$2&lt;=$A$1,1,0),IF(U$4="休","",IF(COUNTIF(DATA!V:V,$A:$A)=0,"×","√")),""))</f>
        <v/>
      </c>
      <c r="V34" s="32" t="str">
        <f ca="1">IF($A34="","",IF(IF(V$2&lt;=$A$1,1,0),IF(V$4="休","",IF(COUNTIF(DATA!W:W,$A:$A)=0,"×","√")),""))</f>
        <v/>
      </c>
      <c r="W34" s="32" t="str">
        <f ca="1">IF($A34="","",IF(IF(W$2&lt;=$A$1,1,0),IF(W$4="休","",IF(COUNTIF(DATA!X:X,$A:$A)=0,"×","√")),""))</f>
        <v/>
      </c>
      <c r="X34" s="32" t="str">
        <f ca="1">IF($A34="","",IF(IF(X$2&lt;=$A$1,1,0),IF(X$4="休","",IF(COUNTIF(DATA!Y:Y,$A:$A)=0,"×","√")),""))</f>
        <v/>
      </c>
      <c r="Y34" s="32" t="str">
        <f ca="1">IF($A34="","",IF(IF(Y$2&lt;=$A$1,1,0),IF(Y$4="休","",IF(COUNTIF(DATA!Z:Z,$A:$A)=0,"×","√")),""))</f>
        <v/>
      </c>
      <c r="Z34" s="32" t="str">
        <f ca="1">IF($A34="","",IF(IF(Z$2&lt;=$A$1,1,0),IF(Z$4="休","",IF(COUNTIF(DATA!AA:AA,$A:$A)=0,"×","√")),""))</f>
        <v/>
      </c>
      <c r="AA34" s="32" t="str">
        <f ca="1">IF($A34="","",IF(IF(AA$2&lt;=$A$1,1,0),IF(AA$4="休","",IF(COUNTIF(DATA!AB:AB,$A:$A)=0,"×","√")),""))</f>
        <v/>
      </c>
      <c r="AB34" s="32" t="str">
        <f ca="1">IF($A34="","",IF(IF(AB$2&lt;=$A$1,1,0),IF(AB$4="休","",IF(COUNTIF(DATA!AC:AC,$A:$A)=0,"×","√")),""))</f>
        <v/>
      </c>
      <c r="AC34" s="32" t="str">
        <f ca="1">IF($A34="","",IF(IF(AC$2&lt;=$A$1,1,0),IF(AC$4="休","",IF(COUNTIF(DATA!AD:AD,$A:$A)=0,"×","√")),""))</f>
        <v/>
      </c>
      <c r="AD34" s="32" t="str">
        <f ca="1">IF($A34="","",IF(IF(AD$2&lt;=$A$1,1,0),IF(AD$4="休","",IF(COUNTIF(DATA!AE:AE,$A:$A)=0,"×","√")),""))</f>
        <v/>
      </c>
      <c r="AE34" s="32" t="str">
        <f ca="1">IF($A34="","",IF(IF(AE$2&lt;=$A$1,1,0),IF(AE$4="休","",IF(COUNTIF(DATA!AF:AF,$A:$A)=0,"×","√")),""))</f>
        <v/>
      </c>
      <c r="AF34" s="32" t="str">
        <f ca="1">IF($A34="","",IF(IF(AF$2&lt;=$A$1,1,0),IF(AF$4="休","",IF(COUNTIF(DATA!AG:AG,$A:$A)=0,"×","√")),""))</f>
        <v/>
      </c>
      <c r="AG34" s="32" t="str">
        <f ca="1">IF($A34="","",IF(IF(AG$2&lt;=$A$1,1,0),IF(AG$4="休","",IF(COUNTIF(DATA!AH:AH,$A:$A)=0,"×","√")),""))</f>
        <v/>
      </c>
      <c r="AH34" s="32" t="str">
        <f ca="1">IF($A34="","",IF(IF(AH$2&lt;=$A$1,1,0),IF(AH$4="休","",IF(COUNTIF(DATA!AI:AI,$A:$A)=0,"×","√")),""))</f>
        <v/>
      </c>
      <c r="AI34" s="32" t="str">
        <f ca="1">IF($A34="","",IF(IF(AI$2&lt;=$A$1,1,0),IF(AI$4="休","",IF(COUNTIF(DATA!AJ:AJ,$A:$A)=0,"×","√")),""))</f>
        <v/>
      </c>
      <c r="AJ34" s="32" t="str">
        <f ca="1">IF($A34="","",IF(IF(AJ$2&lt;=$A$1,1,0),IF(AJ$4="休","",IF(COUNTIF(DATA!AK:AK,$A:$A)=0,"×","√")),""))</f>
        <v/>
      </c>
      <c r="AK34" s="32" t="str">
        <f ca="1">IF($A34="","",IF(IF(AK$2&lt;=$A$1,1,0),IF(AK$4="休","",IF(COUNTIF(DATA!AL:AL,$A:$A)=0,"×","√")),""))</f>
        <v/>
      </c>
      <c r="AL34" s="32" t="str">
        <f ca="1">IF($A34="","",IF(IF(AL$2&lt;=$A$1,1,0),IF(AL$4="休","",IF(COUNTIF(DATA!AM:AM,$A:$A)=0,"×","√")),""))</f>
        <v/>
      </c>
      <c r="AM34" s="32" t="str">
        <f ca="1">IF($A34="","",IF(IF(AM$2&lt;=$A$1,1,0),IF(AM$4="休","",IF(COUNTIF(DATA!AN:AN,$A:$A)=0,"×","√")),""))</f>
        <v/>
      </c>
      <c r="AN34" s="32" t="str">
        <f ca="1">IF($A34="","",IF(IF(AN$2&lt;=$A$1,1,0),IF(AN$4="休","",IF(COUNTIF(DATA!AO:AO,$A:$A)=0,"×","√")),""))</f>
        <v/>
      </c>
      <c r="AO34" s="32" t="str">
        <f ca="1">IF($A34="","",IF(IF(AO$2&lt;=$A$1,1,0),IF(AO$4="休","",IF(COUNTIF(DATA!AP:AP,$A:$A)=0,"×","√")),""))</f>
        <v/>
      </c>
      <c r="AP34" s="32" t="str">
        <f ca="1">IF($A34="","",IF(IF(AP$2&lt;=$A$1,1,0),IF(AP$4="休","",IF(COUNTIF(DATA!AQ:AQ,$A:$A)=0,"×","√")),""))</f>
        <v/>
      </c>
      <c r="AQ34" s="32" t="str">
        <f ca="1">IF($A34="","",IF(IF(AQ$2&lt;=$A$1,1,0),IF(AQ$4="休","",IF(COUNTIF(DATA!AR:AR,$A:$A)=0,"×","√")),""))</f>
        <v/>
      </c>
      <c r="AR34" s="32" t="str">
        <f ca="1">IF($A34="","",IF(IF(AR$2&lt;=$A$1,1,0),IF(AR$4="休","",IF(COUNTIF(DATA!AS:AS,$A:$A)=0,"×","√")),""))</f>
        <v/>
      </c>
      <c r="AS34" s="32" t="str">
        <f ca="1">IF($A34="","",IF(IF(AS$2&lt;=$A$1,1,0),IF(AS$4="休","",IF(COUNTIF(DATA!AT:AT,$A:$A)=0,"×","√")),""))</f>
        <v/>
      </c>
      <c r="AT34" s="32" t="str">
        <f ca="1">IF($A34="","",IF(IF(AT$2&lt;=$A$1,1,0),IF(AT$4="休","",IF(COUNTIF(DATA!AU:AU,$A:$A)=0,"×","√")),""))</f>
        <v/>
      </c>
      <c r="AU34" s="32" t="str">
        <f ca="1">IF($A34="","",IF(IF(AU$2&lt;=$A$1,1,0),IF(AU$4="休","",IF(COUNTIF(DATA!AV:AV,$A:$A)=0,"×","√")),""))</f>
        <v/>
      </c>
      <c r="AV34" s="32" t="str">
        <f ca="1">IF($A34="","",IF(IF(AV$2&lt;=$A$1,1,0),IF(AV$4="休","",IF(COUNTIF(DATA!AW:AW,$A:$A)=0,"×","√")),""))</f>
        <v/>
      </c>
      <c r="AW34" s="32" t="str">
        <f ca="1">IF($A34="","",IF(IF(AW$2&lt;=$A$1,1,0),IF(AW$4="休","",IF(COUNTIF(DATA!AX:AX,$A:$A)=0,"×","√")),""))</f>
        <v/>
      </c>
      <c r="AX34" s="32" t="str">
        <f ca="1">IF($A34="","",IF(IF(AX$2&lt;=$A$1,1,0),IF(AX$4="休","",IF(COUNTIF(DATA!AY:AY,$A:$A)=0,"×","√")),""))</f>
        <v/>
      </c>
      <c r="AY34" s="32" t="str">
        <f ca="1">IF($A34="","",IF(IF(AY$2&lt;=$A$1,1,0),IF(AY$4="休","",IF(COUNTIF(DATA!AZ:AZ,$A:$A)=0,"×","√")),""))</f>
        <v/>
      </c>
      <c r="AZ34" s="32" t="str">
        <f ca="1">IF($A34="","",IF(IF(AZ$2&lt;=$A$1,1,0),IF(AZ$4="休","",IF(COUNTIF(DATA!BA:BA,$A:$A)=0,"×","√")),""))</f>
        <v/>
      </c>
      <c r="BA34" s="32" t="str">
        <f ca="1">IF($A34="","",IF(IF(BA$2&lt;=$A$1,1,0),IF(BA$4="休","",IF(COUNTIF(DATA!BB:BB,$A:$A)=0,"×","√")),""))</f>
        <v/>
      </c>
      <c r="BB34" s="32" t="str">
        <f ca="1">IF($A34="","",IF(IF(BB$2&lt;=$A$1,1,0),IF(BB$4="休","",IF(COUNTIF(DATA!BC:BC,$A:$A)=0,"×","√")),""))</f>
        <v/>
      </c>
      <c r="BC34" s="32" t="str">
        <f ca="1">IF($A34="","",IF(IF(BC$2&lt;=$A$1,1,0),IF(BC$4="休","",IF(COUNTIF(DATA!BD:BD,$A:$A)=0,"×","√")),""))</f>
        <v/>
      </c>
      <c r="BD34" s="32" t="str">
        <f ca="1">IF($A34="","",IF(IF(BD$2&lt;=$A$1,1,0),IF(BD$4="休","",IF(COUNTIF(DATA!BE:BE,$A:$A)=0,"×","√")),""))</f>
        <v/>
      </c>
      <c r="BE34" s="32" t="str">
        <f ca="1">IF($A34="","",IF(IF(BE$2&lt;=$A$1,1,0),IF(BE$4="休","",IF(COUNTIF(DATA!BF:BF,$A:$A)=0,"×","√")),""))</f>
        <v/>
      </c>
      <c r="BF34" s="32" t="str">
        <f ca="1">IF($A34="","",IF(IF(BF$2&lt;=$A$1,1,0),IF(BF$4="休","",IF(COUNTIF(DATA!BG:BG,$A:$A)=0,"×","√")),""))</f>
        <v/>
      </c>
      <c r="BG34" s="32" t="str">
        <f ca="1">IF($A34="","",IF(IF(BG$2&lt;=$A$1,1,0),IF(BG$4="休","",IF(COUNTIF(DATA!BH:BH,$A:$A)=0,"×","√")),""))</f>
        <v/>
      </c>
      <c r="BH34" s="32" t="str">
        <f ca="1">IF($A34="","",IF(IF(BH$2&lt;=$A$1,1,0),IF(BH$4="休","",IF(COUNTIF(DATA!BI:BI,$A:$A)=0,"×","√")),""))</f>
        <v/>
      </c>
      <c r="BI34" s="32" t="str">
        <f ca="1">IF($A34="","",IF(IF(BI$2&lt;=$A$1,1,0),IF(BI$4="休","",IF(COUNTIF(DATA!BJ:BJ,$A:$A)=0,"×","√")),""))</f>
        <v/>
      </c>
      <c r="BJ34" s="32" t="str">
        <f ca="1">IF($A34="","",IF(IF(BJ$2&lt;=$A$1,1,0),IF(BJ$4="休","",IF(COUNTIF(DATA!BK:BK,$A:$A)=0,"×","√")),""))</f>
        <v/>
      </c>
      <c r="BK34" s="32" t="str">
        <f ca="1">IF($A34="","",IF(IF(BK$2&lt;=$A$1,1,0),IF(BK$4="休","",IF(COUNTIF(DATA!BL:BL,$A:$A)=0,"×","√")),""))</f>
        <v/>
      </c>
      <c r="BL34" s="32" t="str">
        <f ca="1">IF($A34="","",IF(IF(BL$2&lt;=$A$1,1,0),IF(BL$4="休","",IF(COUNTIF(DATA!BM:BM,$A:$A)=0,"×","√")),""))</f>
        <v/>
      </c>
      <c r="BM34" s="32" t="str">
        <f ca="1">IF($A34="","",IF(IF(BM$2&lt;=$A$1,1,0),IF(BM$4="休","",IF(COUNTIF(DATA!BN:BN,$A:$A)=0,"×","√")),""))</f>
        <v/>
      </c>
      <c r="BN34" s="32" t="str">
        <f ca="1">IF($A34="","",IF(IF(BN$2&lt;=$A$1,1,0),IF(BN$4="休","",IF(COUNTIF(DATA!BO:BO,$A:$A)=0,"×","√")),""))</f>
        <v/>
      </c>
      <c r="BO34" s="32" t="str">
        <f ca="1">IF($A34="","",IF(IF(BO$2&lt;=$A$1,1,0),IF(BO$4="休","",IF(COUNTIF(DATA!BP:BP,$A:$A)=0,"×","√")),""))</f>
        <v/>
      </c>
      <c r="BP34" s="32" t="str">
        <f ca="1">IF($A34="","",IF(IF(BP$2&lt;=$A$1,1,0),IF(BP$4="休","",IF(COUNTIF(DATA!BQ:BQ,$A:$A)=0,"×","√")),""))</f>
        <v/>
      </c>
      <c r="BQ34" s="32" t="str">
        <f ca="1">IF($A34="","",IF(IF(BQ$2&lt;=$A$1,1,0),IF(BQ$4="休","",IF(COUNTIF(DATA!BR:BR,$A:$A)=0,"×","√")),""))</f>
        <v/>
      </c>
      <c r="BR34" s="32" t="str">
        <f ca="1">IF($A34="","",IF(IF(BR$2&lt;=$A$1,1,0),IF(BR$4="休","",IF(COUNTIF(DATA!BS:BS,$A:$A)=0,"×","√")),""))</f>
        <v/>
      </c>
      <c r="BS34" s="32" t="str">
        <f ca="1">IF($A34="","",IF(IF(BS$2&lt;=$A$1,1,0),IF(BS$4="休","",IF(COUNTIF(DATA!BT:BT,$A:$A)=0,"×","√")),""))</f>
        <v/>
      </c>
      <c r="BT34" s="32" t="str">
        <f ca="1">IF($A34="","",IF(IF(BT$2&lt;=$A$1,1,0),IF(BT$4="休","",IF(COUNTIF(DATA!BU:BU,$A:$A)=0,"×","√")),""))</f>
        <v/>
      </c>
      <c r="BU34" s="32" t="str">
        <f ca="1">IF($A34="","",IF(IF(BU$2&lt;=$A$1,1,0),IF(BU$4="休","",IF(COUNTIF(DATA!BV:BV,$A:$A)=0,"×","√")),""))</f>
        <v/>
      </c>
      <c r="BV34" s="32" t="str">
        <f ca="1">IF($A34="","",IF(IF(BV$2&lt;=$A$1,1,0),IF(BV$4="休","",IF(COUNTIF(DATA!BW:BW,$A:$A)=0,"×","√")),""))</f>
        <v/>
      </c>
      <c r="BW34" s="32" t="str">
        <f ca="1">IF($A34="","",IF(IF(BW$2&lt;=$A$1,1,0),IF(BW$4="休","",IF(COUNTIF(DATA!BX:BX,$A:$A)=0,"×","√")),""))</f>
        <v/>
      </c>
      <c r="BX34" s="32" t="str">
        <f ca="1">IF($A34="","",IF(IF(BX$2&lt;=$A$1,1,0),IF(BX$4="休","",IF(COUNTIF(DATA!BY:BY,$A:$A)=0,"×","√")),""))</f>
        <v/>
      </c>
      <c r="BY34" s="32" t="str">
        <f ca="1">IF($A34="","",IF(IF(BY$2&lt;=$A$1,1,0),IF(BY$4="休","",IF(COUNTIF(DATA!BZ:BZ,$A:$A)=0,"×","√")),""))</f>
        <v/>
      </c>
      <c r="BZ34" s="32" t="str">
        <f ca="1">IF($A34="","",IF(IF(BZ$2&lt;=$A$1,1,0),IF(BZ$4="休","",IF(COUNTIF(DATA!CA:CA,$A:$A)=0,"×","√")),""))</f>
        <v/>
      </c>
      <c r="CA34" s="32" t="str">
        <f ca="1">IF($A34="","",IF(IF(CA$2&lt;=$A$1,1,0),IF(CA$4="休","",IF(COUNTIF(DATA!CB:CB,$A:$A)=0,"×","√")),""))</f>
        <v/>
      </c>
      <c r="CB34" s="32" t="str">
        <f ca="1">IF($A34="","",IF(IF(CB$2&lt;=$A$1,1,0),IF(CB$4="休","",IF(COUNTIF(DATA!CC:CC,$A:$A)=0,"×","√")),""))</f>
        <v/>
      </c>
      <c r="CC34" s="32" t="str">
        <f ca="1">IF($A34="","",IF(IF(CC$2&lt;=$A$1,1,0),IF(CC$4="休","",IF(COUNTIF(DATA!CD:CD,$A:$A)=0,"×","√")),""))</f>
        <v/>
      </c>
      <c r="CD34" s="32" t="str">
        <f ca="1">IF($A34="","",IF(IF(CD$2&lt;=$A$1,1,0),IF(CD$4="休","",IF(COUNTIF(DATA!CE:CE,$A:$A)=0,"×","√")),""))</f>
        <v/>
      </c>
      <c r="CE34" s="32" t="str">
        <f ca="1">IF($A34="","",IF(IF(CE$2&lt;=$A$1,1,0),IF(CE$4="休","",IF(COUNTIF(DATA!CF:CF,$A:$A)=0,"×","√")),""))</f>
        <v/>
      </c>
      <c r="CF34" s="32" t="str">
        <f ca="1">IF($A34="","",IF(IF(CF$2&lt;=$A$1,1,0),IF(CF$4="休","",IF(COUNTIF(DATA!CG:CG,$A:$A)=0,"×","√")),""))</f>
        <v/>
      </c>
      <c r="CG34" s="32" t="str">
        <f ca="1">IF($A34="","",IF(IF(CG$2&lt;=$A$1,1,0),IF(CG$4="休","",IF(COUNTIF(DATA!CH:CH,$A:$A)=0,"×","√")),""))</f>
        <v/>
      </c>
      <c r="CH34" s="32" t="str">
        <f ca="1">IF($A34="","",IF(IF(CH$2&lt;=$A$1,1,0),IF(CH$4="休","",IF(COUNTIF(DATA!CI:CI,$A:$A)=0,"×","√")),""))</f>
        <v/>
      </c>
      <c r="CI34" s="32" t="str">
        <f ca="1">IF($A34="","",IF(IF(CI$2&lt;=$A$1,1,0),IF(CI$4="休","",IF(COUNTIF(DATA!CJ:CJ,$A:$A)=0,"×","√")),""))</f>
        <v/>
      </c>
      <c r="CJ34" s="32" t="str">
        <f ca="1">IF($A34="","",IF(IF(CJ$2&lt;=$A$1,1,0),IF(CJ$4="休","",IF(COUNTIF(DATA!CK:CK,$A:$A)=0,"×","√")),""))</f>
        <v/>
      </c>
      <c r="CK34" s="32" t="str">
        <f ca="1">IF($A34="","",IF(IF(CK$2&lt;=$A$1,1,0),IF(CK$4="休","",IF(COUNTIF(DATA!CL:CL,$A:$A)=0,"×","√")),""))</f>
        <v/>
      </c>
      <c r="CL34" s="32" t="str">
        <f ca="1">IF($A34="","",IF(IF(CL$2&lt;=$A$1,1,0),IF(CL$4="休","",IF(COUNTIF(DATA!CM:CM,$A:$A)=0,"×","√")),""))</f>
        <v/>
      </c>
      <c r="CM34" s="32" t="str">
        <f ca="1">IF($A34="","",IF(IF(CM$2&lt;=$A$1,1,0),IF(CM$4="休","",IF(COUNTIF(DATA!CN:CN,$A:$A)=0,"×","√")),""))</f>
        <v/>
      </c>
      <c r="CN34" s="32" t="str">
        <f ca="1">IF($A34="","",IF(IF(CN$2&lt;=$A$1,1,0),IF(CN$4="休","",IF(COUNTIF(DATA!CO:CO,$A:$A)=0,"×","√")),""))</f>
        <v/>
      </c>
      <c r="CO34" s="32" t="str">
        <f ca="1">IF($A34="","",IF(IF(CO$2&lt;=$A$1,1,0),IF(CO$4="休","",IF(COUNTIF(DATA!CP:CP,$A:$A)=0,"×","√")),""))</f>
        <v/>
      </c>
      <c r="CP34" s="32" t="str">
        <f ca="1">IF($A34="","",IF(IF(CP$2&lt;=$A$1,1,0),IF(CP$4="休","",IF(COUNTIF(DATA!CQ:CQ,$A:$A)=0,"×","√")),""))</f>
        <v/>
      </c>
      <c r="CQ34" s="32" t="str">
        <f ca="1">IF($A34="","",IF(IF(CQ$2&lt;=$A$1,1,0),IF(CQ$4="休","",IF(COUNTIF(DATA!CR:CR,$A:$A)=0,"×","√")),""))</f>
        <v/>
      </c>
      <c r="CR34" s="32" t="str">
        <f ca="1">IF($A34="","",IF(IF(CR$2&lt;=$A$1,1,0),IF(CR$4="休","",IF(COUNTIF(DATA!CS:CS,$A:$A)=0,"×","√")),""))</f>
        <v/>
      </c>
    </row>
    <row r="35" s="26" customFormat="1" ht="18.75" spans="1:96">
      <c r="A35" s="32" t="str">
        <f>DATA!$A34&amp;""</f>
        <v>涂天赐</v>
      </c>
      <c r="B35" s="32" t="str">
        <f ca="1">IF($A35="","",IF(IF(B$2&lt;=$A$1,1,0),IF(B$4="休","",IF(COUNTIF(DATA!C:C,$A:$A)=0,"×","√")),""))</f>
        <v>√</v>
      </c>
      <c r="C35" s="32" t="str">
        <f ca="1">IF($A35="","",IF(IF(C$2&lt;=$A$1,1,0),IF(C$4="休","",IF(COUNTIF(DATA!D:D,$A:$A)=0,"×","√")),""))</f>
        <v>√</v>
      </c>
      <c r="D35" s="32" t="str">
        <f ca="1">IF($A35="","",IF(IF(D$2&lt;=$A$1,1,0),IF(D$4="休","",IF(COUNTIF(DATA!E:E,$A:$A)=0,"×","√")),""))</f>
        <v>√</v>
      </c>
      <c r="E35" s="32" t="str">
        <f ca="1">IF($A35="","",IF(IF(E$2&lt;=$A$1,1,0),IF(E$4="休","",IF(COUNTIF(DATA!F:F,$A:$A)=0,"×","√")),""))</f>
        <v>√</v>
      </c>
      <c r="F35" s="32" t="str">
        <f ca="1">IF($A35="","",IF(IF(F$2&lt;=$A$1,1,0),IF(F$4="休","",IF(COUNTIF(DATA!G:G,$A:$A)=0,"×","√")),""))</f>
        <v>√</v>
      </c>
      <c r="G35" s="32" t="str">
        <f ca="1">IF($A35="","",IF(IF(G$2&lt;=$A$1,1,0),IF(G$4="休","",IF(COUNTIF(DATA!H:H,$A:$A)=0,"×","√")),""))</f>
        <v>√</v>
      </c>
      <c r="H35" s="32" t="str">
        <f ca="1">IF($A35="","",IF(IF(H$2&lt;=$A$1,1,0),IF(H$4="休","",IF(COUNTIF(DATA!I:I,$A:$A)=0,"×","√")),""))</f>
        <v>√</v>
      </c>
      <c r="I35" s="32" t="str">
        <f ca="1">IF($A35="","",IF(IF(I$2&lt;=$A$1,1,0),IF(I$4="休","",IF(COUNTIF(DATA!J:J,$A:$A)=0,"×","√")),""))</f>
        <v>√</v>
      </c>
      <c r="J35" s="32" t="str">
        <f ca="1">IF($A35="","",IF(IF(J$2&lt;=$A$1,1,0),IF(J$4="休","",IF(COUNTIF(DATA!K:K,$A:$A)=0,"×","√")),""))</f>
        <v/>
      </c>
      <c r="K35" s="32" t="str">
        <f ca="1">IF($A35="","",IF(IF(K$2&lt;=$A$1,1,0),IF(K$4="休","",IF(COUNTIF(DATA!L:L,$A:$A)=0,"×","√")),""))</f>
        <v/>
      </c>
      <c r="L35" s="32" t="str">
        <f ca="1">IF($A35="","",IF(IF(L$2&lt;=$A$1,1,0),IF(L$4="休","",IF(COUNTIF(DATA!M:M,$A:$A)=0,"×","√")),""))</f>
        <v/>
      </c>
      <c r="M35" s="32" t="str">
        <f ca="1">IF($A35="","",IF(IF(M$2&lt;=$A$1,1,0),IF(M$4="休","",IF(COUNTIF(DATA!N:N,$A:$A)=0,"×","√")),""))</f>
        <v/>
      </c>
      <c r="N35" s="32" t="str">
        <f ca="1">IF($A35="","",IF(IF(N$2&lt;=$A$1,1,0),IF(N$4="休","",IF(COUNTIF(DATA!O:O,$A:$A)=0,"×","√")),""))</f>
        <v/>
      </c>
      <c r="O35" s="32" t="str">
        <f ca="1">IF($A35="","",IF(IF(O$2&lt;=$A$1,1,0),IF(O$4="休","",IF(COUNTIF(DATA!P:P,$A:$A)=0,"×","√")),""))</f>
        <v/>
      </c>
      <c r="P35" s="32" t="str">
        <f ca="1">IF($A35="","",IF(IF(P$2&lt;=$A$1,1,0),IF(P$4="休","",IF(COUNTIF(DATA!Q:Q,$A:$A)=0,"×","√")),""))</f>
        <v/>
      </c>
      <c r="Q35" s="32" t="str">
        <f ca="1">IF($A35="","",IF(IF(Q$2&lt;=$A$1,1,0),IF(Q$4="休","",IF(COUNTIF(DATA!R:R,$A:$A)=0,"×","√")),""))</f>
        <v/>
      </c>
      <c r="R35" s="32" t="str">
        <f ca="1">IF($A35="","",IF(IF(R$2&lt;=$A$1,1,0),IF(R$4="休","",IF(COUNTIF(DATA!S:S,$A:$A)=0,"×","√")),""))</f>
        <v/>
      </c>
      <c r="S35" s="32" t="str">
        <f ca="1">IF($A35="","",IF(IF(S$2&lt;=$A$1,1,0),IF(S$4="休","",IF(COUNTIF(DATA!T:T,$A:$A)=0,"×","√")),""))</f>
        <v/>
      </c>
      <c r="T35" s="32" t="str">
        <f ca="1">IF($A35="","",IF(IF(T$2&lt;=$A$1,1,0),IF(T$4="休","",IF(COUNTIF(DATA!U:U,$A:$A)=0,"×","√")),""))</f>
        <v/>
      </c>
      <c r="U35" s="32" t="str">
        <f ca="1">IF($A35="","",IF(IF(U$2&lt;=$A$1,1,0),IF(U$4="休","",IF(COUNTIF(DATA!V:V,$A:$A)=0,"×","√")),""))</f>
        <v/>
      </c>
      <c r="V35" s="32" t="str">
        <f ca="1">IF($A35="","",IF(IF(V$2&lt;=$A$1,1,0),IF(V$4="休","",IF(COUNTIF(DATA!W:W,$A:$A)=0,"×","√")),""))</f>
        <v/>
      </c>
      <c r="W35" s="32" t="str">
        <f ca="1">IF($A35="","",IF(IF(W$2&lt;=$A$1,1,0),IF(W$4="休","",IF(COUNTIF(DATA!X:X,$A:$A)=0,"×","√")),""))</f>
        <v/>
      </c>
      <c r="X35" s="32" t="str">
        <f ca="1">IF($A35="","",IF(IF(X$2&lt;=$A$1,1,0),IF(X$4="休","",IF(COUNTIF(DATA!Y:Y,$A:$A)=0,"×","√")),""))</f>
        <v/>
      </c>
      <c r="Y35" s="32" t="str">
        <f ca="1">IF($A35="","",IF(IF(Y$2&lt;=$A$1,1,0),IF(Y$4="休","",IF(COUNTIF(DATA!Z:Z,$A:$A)=0,"×","√")),""))</f>
        <v/>
      </c>
      <c r="Z35" s="32" t="str">
        <f ca="1">IF($A35="","",IF(IF(Z$2&lt;=$A$1,1,0),IF(Z$4="休","",IF(COUNTIF(DATA!AA:AA,$A:$A)=0,"×","√")),""))</f>
        <v/>
      </c>
      <c r="AA35" s="32" t="str">
        <f ca="1">IF($A35="","",IF(IF(AA$2&lt;=$A$1,1,0),IF(AA$4="休","",IF(COUNTIF(DATA!AB:AB,$A:$A)=0,"×","√")),""))</f>
        <v/>
      </c>
      <c r="AB35" s="32" t="str">
        <f ca="1">IF($A35="","",IF(IF(AB$2&lt;=$A$1,1,0),IF(AB$4="休","",IF(COUNTIF(DATA!AC:AC,$A:$A)=0,"×","√")),""))</f>
        <v/>
      </c>
      <c r="AC35" s="32" t="str">
        <f ca="1">IF($A35="","",IF(IF(AC$2&lt;=$A$1,1,0),IF(AC$4="休","",IF(COUNTIF(DATA!AD:AD,$A:$A)=0,"×","√")),""))</f>
        <v/>
      </c>
      <c r="AD35" s="32" t="str">
        <f ca="1">IF($A35="","",IF(IF(AD$2&lt;=$A$1,1,0),IF(AD$4="休","",IF(COUNTIF(DATA!AE:AE,$A:$A)=0,"×","√")),""))</f>
        <v/>
      </c>
      <c r="AE35" s="32" t="str">
        <f ca="1">IF($A35="","",IF(IF(AE$2&lt;=$A$1,1,0),IF(AE$4="休","",IF(COUNTIF(DATA!AF:AF,$A:$A)=0,"×","√")),""))</f>
        <v/>
      </c>
      <c r="AF35" s="32" t="str">
        <f ca="1">IF($A35="","",IF(IF(AF$2&lt;=$A$1,1,0),IF(AF$4="休","",IF(COUNTIF(DATA!AG:AG,$A:$A)=0,"×","√")),""))</f>
        <v/>
      </c>
      <c r="AG35" s="32" t="str">
        <f ca="1">IF($A35="","",IF(IF(AG$2&lt;=$A$1,1,0),IF(AG$4="休","",IF(COUNTIF(DATA!AH:AH,$A:$A)=0,"×","√")),""))</f>
        <v/>
      </c>
      <c r="AH35" s="32" t="str">
        <f ca="1">IF($A35="","",IF(IF(AH$2&lt;=$A$1,1,0),IF(AH$4="休","",IF(COUNTIF(DATA!AI:AI,$A:$A)=0,"×","√")),""))</f>
        <v/>
      </c>
      <c r="AI35" s="32" t="str">
        <f ca="1">IF($A35="","",IF(IF(AI$2&lt;=$A$1,1,0),IF(AI$4="休","",IF(COUNTIF(DATA!AJ:AJ,$A:$A)=0,"×","√")),""))</f>
        <v/>
      </c>
      <c r="AJ35" s="32" t="str">
        <f ca="1">IF($A35="","",IF(IF(AJ$2&lt;=$A$1,1,0),IF(AJ$4="休","",IF(COUNTIF(DATA!AK:AK,$A:$A)=0,"×","√")),""))</f>
        <v/>
      </c>
      <c r="AK35" s="32" t="str">
        <f ca="1">IF($A35="","",IF(IF(AK$2&lt;=$A$1,1,0),IF(AK$4="休","",IF(COUNTIF(DATA!AL:AL,$A:$A)=0,"×","√")),""))</f>
        <v/>
      </c>
      <c r="AL35" s="32" t="str">
        <f ca="1">IF($A35="","",IF(IF(AL$2&lt;=$A$1,1,0),IF(AL$4="休","",IF(COUNTIF(DATA!AM:AM,$A:$A)=0,"×","√")),""))</f>
        <v/>
      </c>
      <c r="AM35" s="32" t="str">
        <f ca="1">IF($A35="","",IF(IF(AM$2&lt;=$A$1,1,0),IF(AM$4="休","",IF(COUNTIF(DATA!AN:AN,$A:$A)=0,"×","√")),""))</f>
        <v/>
      </c>
      <c r="AN35" s="32" t="str">
        <f ca="1">IF($A35="","",IF(IF(AN$2&lt;=$A$1,1,0),IF(AN$4="休","",IF(COUNTIF(DATA!AO:AO,$A:$A)=0,"×","√")),""))</f>
        <v/>
      </c>
      <c r="AO35" s="32" t="str">
        <f ca="1">IF($A35="","",IF(IF(AO$2&lt;=$A$1,1,0),IF(AO$4="休","",IF(COUNTIF(DATA!AP:AP,$A:$A)=0,"×","√")),""))</f>
        <v/>
      </c>
      <c r="AP35" s="32" t="str">
        <f ca="1">IF($A35="","",IF(IF(AP$2&lt;=$A$1,1,0),IF(AP$4="休","",IF(COUNTIF(DATA!AQ:AQ,$A:$A)=0,"×","√")),""))</f>
        <v/>
      </c>
      <c r="AQ35" s="32" t="str">
        <f ca="1">IF($A35="","",IF(IF(AQ$2&lt;=$A$1,1,0),IF(AQ$4="休","",IF(COUNTIF(DATA!AR:AR,$A:$A)=0,"×","√")),""))</f>
        <v/>
      </c>
      <c r="AR35" s="32" t="str">
        <f ca="1">IF($A35="","",IF(IF(AR$2&lt;=$A$1,1,0),IF(AR$4="休","",IF(COUNTIF(DATA!AS:AS,$A:$A)=0,"×","√")),""))</f>
        <v/>
      </c>
      <c r="AS35" s="32" t="str">
        <f ca="1">IF($A35="","",IF(IF(AS$2&lt;=$A$1,1,0),IF(AS$4="休","",IF(COUNTIF(DATA!AT:AT,$A:$A)=0,"×","√")),""))</f>
        <v/>
      </c>
      <c r="AT35" s="32" t="str">
        <f ca="1">IF($A35="","",IF(IF(AT$2&lt;=$A$1,1,0),IF(AT$4="休","",IF(COUNTIF(DATA!AU:AU,$A:$A)=0,"×","√")),""))</f>
        <v/>
      </c>
      <c r="AU35" s="32" t="str">
        <f ca="1">IF($A35="","",IF(IF(AU$2&lt;=$A$1,1,0),IF(AU$4="休","",IF(COUNTIF(DATA!AV:AV,$A:$A)=0,"×","√")),""))</f>
        <v/>
      </c>
      <c r="AV35" s="32" t="str">
        <f ca="1">IF($A35="","",IF(IF(AV$2&lt;=$A$1,1,0),IF(AV$4="休","",IF(COUNTIF(DATA!AW:AW,$A:$A)=0,"×","√")),""))</f>
        <v/>
      </c>
      <c r="AW35" s="32" t="str">
        <f ca="1">IF($A35="","",IF(IF(AW$2&lt;=$A$1,1,0),IF(AW$4="休","",IF(COUNTIF(DATA!AX:AX,$A:$A)=0,"×","√")),""))</f>
        <v/>
      </c>
      <c r="AX35" s="32" t="str">
        <f ca="1">IF($A35="","",IF(IF(AX$2&lt;=$A$1,1,0),IF(AX$4="休","",IF(COUNTIF(DATA!AY:AY,$A:$A)=0,"×","√")),""))</f>
        <v/>
      </c>
      <c r="AY35" s="32" t="str">
        <f ca="1">IF($A35="","",IF(IF(AY$2&lt;=$A$1,1,0),IF(AY$4="休","",IF(COUNTIF(DATA!AZ:AZ,$A:$A)=0,"×","√")),""))</f>
        <v/>
      </c>
      <c r="AZ35" s="32" t="str">
        <f ca="1">IF($A35="","",IF(IF(AZ$2&lt;=$A$1,1,0),IF(AZ$4="休","",IF(COUNTIF(DATA!BA:BA,$A:$A)=0,"×","√")),""))</f>
        <v/>
      </c>
      <c r="BA35" s="32" t="str">
        <f ca="1">IF($A35="","",IF(IF(BA$2&lt;=$A$1,1,0),IF(BA$4="休","",IF(COUNTIF(DATA!BB:BB,$A:$A)=0,"×","√")),""))</f>
        <v/>
      </c>
      <c r="BB35" s="32" t="str">
        <f ca="1">IF($A35="","",IF(IF(BB$2&lt;=$A$1,1,0),IF(BB$4="休","",IF(COUNTIF(DATA!BC:BC,$A:$A)=0,"×","√")),""))</f>
        <v/>
      </c>
      <c r="BC35" s="32" t="str">
        <f ca="1">IF($A35="","",IF(IF(BC$2&lt;=$A$1,1,0),IF(BC$4="休","",IF(COUNTIF(DATA!BD:BD,$A:$A)=0,"×","√")),""))</f>
        <v/>
      </c>
      <c r="BD35" s="32" t="str">
        <f ca="1">IF($A35="","",IF(IF(BD$2&lt;=$A$1,1,0),IF(BD$4="休","",IF(COUNTIF(DATA!BE:BE,$A:$A)=0,"×","√")),""))</f>
        <v/>
      </c>
      <c r="BE35" s="32" t="str">
        <f ca="1">IF($A35="","",IF(IF(BE$2&lt;=$A$1,1,0),IF(BE$4="休","",IF(COUNTIF(DATA!BF:BF,$A:$A)=0,"×","√")),""))</f>
        <v/>
      </c>
      <c r="BF35" s="32" t="str">
        <f ca="1">IF($A35="","",IF(IF(BF$2&lt;=$A$1,1,0),IF(BF$4="休","",IF(COUNTIF(DATA!BG:BG,$A:$A)=0,"×","√")),""))</f>
        <v/>
      </c>
      <c r="BG35" s="32" t="str">
        <f ca="1">IF($A35="","",IF(IF(BG$2&lt;=$A$1,1,0),IF(BG$4="休","",IF(COUNTIF(DATA!BH:BH,$A:$A)=0,"×","√")),""))</f>
        <v/>
      </c>
      <c r="BH35" s="32" t="str">
        <f ca="1">IF($A35="","",IF(IF(BH$2&lt;=$A$1,1,0),IF(BH$4="休","",IF(COUNTIF(DATA!BI:BI,$A:$A)=0,"×","√")),""))</f>
        <v/>
      </c>
      <c r="BI35" s="32" t="str">
        <f ca="1">IF($A35="","",IF(IF(BI$2&lt;=$A$1,1,0),IF(BI$4="休","",IF(COUNTIF(DATA!BJ:BJ,$A:$A)=0,"×","√")),""))</f>
        <v/>
      </c>
      <c r="BJ35" s="32" t="str">
        <f ca="1">IF($A35="","",IF(IF(BJ$2&lt;=$A$1,1,0),IF(BJ$4="休","",IF(COUNTIF(DATA!BK:BK,$A:$A)=0,"×","√")),""))</f>
        <v/>
      </c>
      <c r="BK35" s="32" t="str">
        <f ca="1">IF($A35="","",IF(IF(BK$2&lt;=$A$1,1,0),IF(BK$4="休","",IF(COUNTIF(DATA!BL:BL,$A:$A)=0,"×","√")),""))</f>
        <v/>
      </c>
      <c r="BL35" s="32" t="str">
        <f ca="1">IF($A35="","",IF(IF(BL$2&lt;=$A$1,1,0),IF(BL$4="休","",IF(COUNTIF(DATA!BM:BM,$A:$A)=0,"×","√")),""))</f>
        <v/>
      </c>
      <c r="BM35" s="32" t="str">
        <f ca="1">IF($A35="","",IF(IF(BM$2&lt;=$A$1,1,0),IF(BM$4="休","",IF(COUNTIF(DATA!BN:BN,$A:$A)=0,"×","√")),""))</f>
        <v/>
      </c>
      <c r="BN35" s="32" t="str">
        <f ca="1">IF($A35="","",IF(IF(BN$2&lt;=$A$1,1,0),IF(BN$4="休","",IF(COUNTIF(DATA!BO:BO,$A:$A)=0,"×","√")),""))</f>
        <v/>
      </c>
      <c r="BO35" s="32" t="str">
        <f ca="1">IF($A35="","",IF(IF(BO$2&lt;=$A$1,1,0),IF(BO$4="休","",IF(COUNTIF(DATA!BP:BP,$A:$A)=0,"×","√")),""))</f>
        <v/>
      </c>
      <c r="BP35" s="32" t="str">
        <f ca="1">IF($A35="","",IF(IF(BP$2&lt;=$A$1,1,0),IF(BP$4="休","",IF(COUNTIF(DATA!BQ:BQ,$A:$A)=0,"×","√")),""))</f>
        <v/>
      </c>
      <c r="BQ35" s="32" t="str">
        <f ca="1">IF($A35="","",IF(IF(BQ$2&lt;=$A$1,1,0),IF(BQ$4="休","",IF(COUNTIF(DATA!BR:BR,$A:$A)=0,"×","√")),""))</f>
        <v/>
      </c>
      <c r="BR35" s="32" t="str">
        <f ca="1">IF($A35="","",IF(IF(BR$2&lt;=$A$1,1,0),IF(BR$4="休","",IF(COUNTIF(DATA!BS:BS,$A:$A)=0,"×","√")),""))</f>
        <v/>
      </c>
      <c r="BS35" s="32" t="str">
        <f ca="1">IF($A35="","",IF(IF(BS$2&lt;=$A$1,1,0),IF(BS$4="休","",IF(COUNTIF(DATA!BT:BT,$A:$A)=0,"×","√")),""))</f>
        <v/>
      </c>
      <c r="BT35" s="32" t="str">
        <f ca="1">IF($A35="","",IF(IF(BT$2&lt;=$A$1,1,0),IF(BT$4="休","",IF(COUNTIF(DATA!BU:BU,$A:$A)=0,"×","√")),""))</f>
        <v/>
      </c>
      <c r="BU35" s="32" t="str">
        <f ca="1">IF($A35="","",IF(IF(BU$2&lt;=$A$1,1,0),IF(BU$4="休","",IF(COUNTIF(DATA!BV:BV,$A:$A)=0,"×","√")),""))</f>
        <v/>
      </c>
      <c r="BV35" s="32" t="str">
        <f ca="1">IF($A35="","",IF(IF(BV$2&lt;=$A$1,1,0),IF(BV$4="休","",IF(COUNTIF(DATA!BW:BW,$A:$A)=0,"×","√")),""))</f>
        <v/>
      </c>
      <c r="BW35" s="32" t="str">
        <f ca="1">IF($A35="","",IF(IF(BW$2&lt;=$A$1,1,0),IF(BW$4="休","",IF(COUNTIF(DATA!BX:BX,$A:$A)=0,"×","√")),""))</f>
        <v/>
      </c>
      <c r="BX35" s="32" t="str">
        <f ca="1">IF($A35="","",IF(IF(BX$2&lt;=$A$1,1,0),IF(BX$4="休","",IF(COUNTIF(DATA!BY:BY,$A:$A)=0,"×","√")),""))</f>
        <v/>
      </c>
      <c r="BY35" s="32" t="str">
        <f ca="1">IF($A35="","",IF(IF(BY$2&lt;=$A$1,1,0),IF(BY$4="休","",IF(COUNTIF(DATA!BZ:BZ,$A:$A)=0,"×","√")),""))</f>
        <v/>
      </c>
      <c r="BZ35" s="32" t="str">
        <f ca="1">IF($A35="","",IF(IF(BZ$2&lt;=$A$1,1,0),IF(BZ$4="休","",IF(COUNTIF(DATA!CA:CA,$A:$A)=0,"×","√")),""))</f>
        <v/>
      </c>
      <c r="CA35" s="32" t="str">
        <f ca="1">IF($A35="","",IF(IF(CA$2&lt;=$A$1,1,0),IF(CA$4="休","",IF(COUNTIF(DATA!CB:CB,$A:$A)=0,"×","√")),""))</f>
        <v/>
      </c>
      <c r="CB35" s="32" t="str">
        <f ca="1">IF($A35="","",IF(IF(CB$2&lt;=$A$1,1,0),IF(CB$4="休","",IF(COUNTIF(DATA!CC:CC,$A:$A)=0,"×","√")),""))</f>
        <v/>
      </c>
      <c r="CC35" s="32" t="str">
        <f ca="1">IF($A35="","",IF(IF(CC$2&lt;=$A$1,1,0),IF(CC$4="休","",IF(COUNTIF(DATA!CD:CD,$A:$A)=0,"×","√")),""))</f>
        <v/>
      </c>
      <c r="CD35" s="32" t="str">
        <f ca="1">IF($A35="","",IF(IF(CD$2&lt;=$A$1,1,0),IF(CD$4="休","",IF(COUNTIF(DATA!CE:CE,$A:$A)=0,"×","√")),""))</f>
        <v/>
      </c>
      <c r="CE35" s="32" t="str">
        <f ca="1">IF($A35="","",IF(IF(CE$2&lt;=$A$1,1,0),IF(CE$4="休","",IF(COUNTIF(DATA!CF:CF,$A:$A)=0,"×","√")),""))</f>
        <v/>
      </c>
      <c r="CF35" s="32" t="str">
        <f ca="1">IF($A35="","",IF(IF(CF$2&lt;=$A$1,1,0),IF(CF$4="休","",IF(COUNTIF(DATA!CG:CG,$A:$A)=0,"×","√")),""))</f>
        <v/>
      </c>
      <c r="CG35" s="32" t="str">
        <f ca="1">IF($A35="","",IF(IF(CG$2&lt;=$A$1,1,0),IF(CG$4="休","",IF(COUNTIF(DATA!CH:CH,$A:$A)=0,"×","√")),""))</f>
        <v/>
      </c>
      <c r="CH35" s="32" t="str">
        <f ca="1">IF($A35="","",IF(IF(CH$2&lt;=$A$1,1,0),IF(CH$4="休","",IF(COUNTIF(DATA!CI:CI,$A:$A)=0,"×","√")),""))</f>
        <v/>
      </c>
      <c r="CI35" s="32" t="str">
        <f ca="1">IF($A35="","",IF(IF(CI$2&lt;=$A$1,1,0),IF(CI$4="休","",IF(COUNTIF(DATA!CJ:CJ,$A:$A)=0,"×","√")),""))</f>
        <v/>
      </c>
      <c r="CJ35" s="32" t="str">
        <f ca="1">IF($A35="","",IF(IF(CJ$2&lt;=$A$1,1,0),IF(CJ$4="休","",IF(COUNTIF(DATA!CK:CK,$A:$A)=0,"×","√")),""))</f>
        <v/>
      </c>
      <c r="CK35" s="32" t="str">
        <f ca="1">IF($A35="","",IF(IF(CK$2&lt;=$A$1,1,0),IF(CK$4="休","",IF(COUNTIF(DATA!CL:CL,$A:$A)=0,"×","√")),""))</f>
        <v/>
      </c>
      <c r="CL35" s="32" t="str">
        <f ca="1">IF($A35="","",IF(IF(CL$2&lt;=$A$1,1,0),IF(CL$4="休","",IF(COUNTIF(DATA!CM:CM,$A:$A)=0,"×","√")),""))</f>
        <v/>
      </c>
      <c r="CM35" s="32" t="str">
        <f ca="1">IF($A35="","",IF(IF(CM$2&lt;=$A$1,1,0),IF(CM$4="休","",IF(COUNTIF(DATA!CN:CN,$A:$A)=0,"×","√")),""))</f>
        <v/>
      </c>
      <c r="CN35" s="32" t="str">
        <f ca="1">IF($A35="","",IF(IF(CN$2&lt;=$A$1,1,0),IF(CN$4="休","",IF(COUNTIF(DATA!CO:CO,$A:$A)=0,"×","√")),""))</f>
        <v/>
      </c>
      <c r="CO35" s="32" t="str">
        <f ca="1">IF($A35="","",IF(IF(CO$2&lt;=$A$1,1,0),IF(CO$4="休","",IF(COUNTIF(DATA!CP:CP,$A:$A)=0,"×","√")),""))</f>
        <v/>
      </c>
      <c r="CP35" s="32" t="str">
        <f ca="1">IF($A35="","",IF(IF(CP$2&lt;=$A$1,1,0),IF(CP$4="休","",IF(COUNTIF(DATA!CQ:CQ,$A:$A)=0,"×","√")),""))</f>
        <v/>
      </c>
      <c r="CQ35" s="32" t="str">
        <f ca="1">IF($A35="","",IF(IF(CQ$2&lt;=$A$1,1,0),IF(CQ$4="休","",IF(COUNTIF(DATA!CR:CR,$A:$A)=0,"×","√")),""))</f>
        <v/>
      </c>
      <c r="CR35" s="32" t="str">
        <f ca="1">IF($A35="","",IF(IF(CR$2&lt;=$A$1,1,0),IF(CR$4="休","",IF(COUNTIF(DATA!CS:CS,$A:$A)=0,"×","√")),""))</f>
        <v/>
      </c>
    </row>
    <row r="36" s="26" customFormat="1" ht="18.75" spans="1:96">
      <c r="A36" s="32" t="str">
        <f>DATA!$A35&amp;""</f>
        <v>柯雨婷</v>
      </c>
      <c r="B36" s="32" t="str">
        <f ca="1">IF($A36="","",IF(IF(B$2&lt;=$A$1,1,0),IF(B$4="休","",IF(COUNTIF(DATA!C:C,$A:$A)=0,"×","√")),""))</f>
        <v>√</v>
      </c>
      <c r="C36" s="32" t="str">
        <f ca="1">IF($A36="","",IF(IF(C$2&lt;=$A$1,1,0),IF(C$4="休","",IF(COUNTIF(DATA!D:D,$A:$A)=0,"×","√")),""))</f>
        <v>√</v>
      </c>
      <c r="D36" s="32" t="str">
        <f ca="1">IF($A36="","",IF(IF(D$2&lt;=$A$1,1,0),IF(D$4="休","",IF(COUNTIF(DATA!E:E,$A:$A)=0,"×","√")),""))</f>
        <v>√</v>
      </c>
      <c r="E36" s="32" t="str">
        <f ca="1">IF($A36="","",IF(IF(E$2&lt;=$A$1,1,0),IF(E$4="休","",IF(COUNTIF(DATA!F:F,$A:$A)=0,"×","√")),""))</f>
        <v>√</v>
      </c>
      <c r="F36" s="32" t="str">
        <f ca="1">IF($A36="","",IF(IF(F$2&lt;=$A$1,1,0),IF(F$4="休","",IF(COUNTIF(DATA!G:G,$A:$A)=0,"×","√")),""))</f>
        <v>√</v>
      </c>
      <c r="G36" s="32" t="str">
        <f ca="1">IF($A36="","",IF(IF(G$2&lt;=$A$1,1,0),IF(G$4="休","",IF(COUNTIF(DATA!H:H,$A:$A)=0,"×","√")),""))</f>
        <v>√</v>
      </c>
      <c r="H36" s="32" t="str">
        <f ca="1">IF($A36="","",IF(IF(H$2&lt;=$A$1,1,0),IF(H$4="休","",IF(COUNTIF(DATA!I:I,$A:$A)=0,"×","√")),""))</f>
        <v>√</v>
      </c>
      <c r="I36" s="32" t="str">
        <f ca="1">IF($A36="","",IF(IF(I$2&lt;=$A$1,1,0),IF(I$4="休","",IF(COUNTIF(DATA!J:J,$A:$A)=0,"×","√")),""))</f>
        <v>√</v>
      </c>
      <c r="J36" s="32" t="str">
        <f ca="1">IF($A36="","",IF(IF(J$2&lt;=$A$1,1,0),IF(J$4="休","",IF(COUNTIF(DATA!K:K,$A:$A)=0,"×","√")),""))</f>
        <v/>
      </c>
      <c r="K36" s="32" t="str">
        <f ca="1">IF($A36="","",IF(IF(K$2&lt;=$A$1,1,0),IF(K$4="休","",IF(COUNTIF(DATA!L:L,$A:$A)=0,"×","√")),""))</f>
        <v/>
      </c>
      <c r="L36" s="32" t="str">
        <f ca="1">IF($A36="","",IF(IF(L$2&lt;=$A$1,1,0),IF(L$4="休","",IF(COUNTIF(DATA!M:M,$A:$A)=0,"×","√")),""))</f>
        <v/>
      </c>
      <c r="M36" s="32" t="str">
        <f ca="1">IF($A36="","",IF(IF(M$2&lt;=$A$1,1,0),IF(M$4="休","",IF(COUNTIF(DATA!N:N,$A:$A)=0,"×","√")),""))</f>
        <v/>
      </c>
      <c r="N36" s="32" t="str">
        <f ca="1">IF($A36="","",IF(IF(N$2&lt;=$A$1,1,0),IF(N$4="休","",IF(COUNTIF(DATA!O:O,$A:$A)=0,"×","√")),""))</f>
        <v/>
      </c>
      <c r="O36" s="32" t="str">
        <f ca="1">IF($A36="","",IF(IF(O$2&lt;=$A$1,1,0),IF(O$4="休","",IF(COUNTIF(DATA!P:P,$A:$A)=0,"×","√")),""))</f>
        <v/>
      </c>
      <c r="P36" s="32" t="str">
        <f ca="1">IF($A36="","",IF(IF(P$2&lt;=$A$1,1,0),IF(P$4="休","",IF(COUNTIF(DATA!Q:Q,$A:$A)=0,"×","√")),""))</f>
        <v/>
      </c>
      <c r="Q36" s="32" t="str">
        <f ca="1">IF($A36="","",IF(IF(Q$2&lt;=$A$1,1,0),IF(Q$4="休","",IF(COUNTIF(DATA!R:R,$A:$A)=0,"×","√")),""))</f>
        <v/>
      </c>
      <c r="R36" s="32" t="str">
        <f ca="1">IF($A36="","",IF(IF(R$2&lt;=$A$1,1,0),IF(R$4="休","",IF(COUNTIF(DATA!S:S,$A:$A)=0,"×","√")),""))</f>
        <v/>
      </c>
      <c r="S36" s="32" t="str">
        <f ca="1">IF($A36="","",IF(IF(S$2&lt;=$A$1,1,0),IF(S$4="休","",IF(COUNTIF(DATA!T:T,$A:$A)=0,"×","√")),""))</f>
        <v/>
      </c>
      <c r="T36" s="32" t="str">
        <f ca="1">IF($A36="","",IF(IF(T$2&lt;=$A$1,1,0),IF(T$4="休","",IF(COUNTIF(DATA!U:U,$A:$A)=0,"×","√")),""))</f>
        <v/>
      </c>
      <c r="U36" s="32" t="str">
        <f ca="1">IF($A36="","",IF(IF(U$2&lt;=$A$1,1,0),IF(U$4="休","",IF(COUNTIF(DATA!V:V,$A:$A)=0,"×","√")),""))</f>
        <v/>
      </c>
      <c r="V36" s="32" t="str">
        <f ca="1">IF($A36="","",IF(IF(V$2&lt;=$A$1,1,0),IF(V$4="休","",IF(COUNTIF(DATA!W:W,$A:$A)=0,"×","√")),""))</f>
        <v/>
      </c>
      <c r="W36" s="32" t="str">
        <f ca="1">IF($A36="","",IF(IF(W$2&lt;=$A$1,1,0),IF(W$4="休","",IF(COUNTIF(DATA!X:X,$A:$A)=0,"×","√")),""))</f>
        <v/>
      </c>
      <c r="X36" s="32" t="str">
        <f ca="1">IF($A36="","",IF(IF(X$2&lt;=$A$1,1,0),IF(X$4="休","",IF(COUNTIF(DATA!Y:Y,$A:$A)=0,"×","√")),""))</f>
        <v/>
      </c>
      <c r="Y36" s="32" t="str">
        <f ca="1">IF($A36="","",IF(IF(Y$2&lt;=$A$1,1,0),IF(Y$4="休","",IF(COUNTIF(DATA!Z:Z,$A:$A)=0,"×","√")),""))</f>
        <v/>
      </c>
      <c r="Z36" s="32" t="str">
        <f ca="1">IF($A36="","",IF(IF(Z$2&lt;=$A$1,1,0),IF(Z$4="休","",IF(COUNTIF(DATA!AA:AA,$A:$A)=0,"×","√")),""))</f>
        <v/>
      </c>
      <c r="AA36" s="32" t="str">
        <f ca="1">IF($A36="","",IF(IF(AA$2&lt;=$A$1,1,0),IF(AA$4="休","",IF(COUNTIF(DATA!AB:AB,$A:$A)=0,"×","√")),""))</f>
        <v/>
      </c>
      <c r="AB36" s="32" t="str">
        <f ca="1">IF($A36="","",IF(IF(AB$2&lt;=$A$1,1,0),IF(AB$4="休","",IF(COUNTIF(DATA!AC:AC,$A:$A)=0,"×","√")),""))</f>
        <v/>
      </c>
      <c r="AC36" s="32" t="str">
        <f ca="1">IF($A36="","",IF(IF(AC$2&lt;=$A$1,1,0),IF(AC$4="休","",IF(COUNTIF(DATA!AD:AD,$A:$A)=0,"×","√")),""))</f>
        <v/>
      </c>
      <c r="AD36" s="32" t="str">
        <f ca="1">IF($A36="","",IF(IF(AD$2&lt;=$A$1,1,0),IF(AD$4="休","",IF(COUNTIF(DATA!AE:AE,$A:$A)=0,"×","√")),""))</f>
        <v/>
      </c>
      <c r="AE36" s="32" t="str">
        <f ca="1">IF($A36="","",IF(IF(AE$2&lt;=$A$1,1,0),IF(AE$4="休","",IF(COUNTIF(DATA!AF:AF,$A:$A)=0,"×","√")),""))</f>
        <v/>
      </c>
      <c r="AF36" s="32" t="str">
        <f ca="1">IF($A36="","",IF(IF(AF$2&lt;=$A$1,1,0),IF(AF$4="休","",IF(COUNTIF(DATA!AG:AG,$A:$A)=0,"×","√")),""))</f>
        <v/>
      </c>
      <c r="AG36" s="32" t="str">
        <f ca="1">IF($A36="","",IF(IF(AG$2&lt;=$A$1,1,0),IF(AG$4="休","",IF(COUNTIF(DATA!AH:AH,$A:$A)=0,"×","√")),""))</f>
        <v/>
      </c>
      <c r="AH36" s="32" t="str">
        <f ca="1">IF($A36="","",IF(IF(AH$2&lt;=$A$1,1,0),IF(AH$4="休","",IF(COUNTIF(DATA!AI:AI,$A:$A)=0,"×","√")),""))</f>
        <v/>
      </c>
      <c r="AI36" s="32" t="str">
        <f ca="1">IF($A36="","",IF(IF(AI$2&lt;=$A$1,1,0),IF(AI$4="休","",IF(COUNTIF(DATA!AJ:AJ,$A:$A)=0,"×","√")),""))</f>
        <v/>
      </c>
      <c r="AJ36" s="32" t="str">
        <f ca="1">IF($A36="","",IF(IF(AJ$2&lt;=$A$1,1,0),IF(AJ$4="休","",IF(COUNTIF(DATA!AK:AK,$A:$A)=0,"×","√")),""))</f>
        <v/>
      </c>
      <c r="AK36" s="32" t="str">
        <f ca="1">IF($A36="","",IF(IF(AK$2&lt;=$A$1,1,0),IF(AK$4="休","",IF(COUNTIF(DATA!AL:AL,$A:$A)=0,"×","√")),""))</f>
        <v/>
      </c>
      <c r="AL36" s="32" t="str">
        <f ca="1">IF($A36="","",IF(IF(AL$2&lt;=$A$1,1,0),IF(AL$4="休","",IF(COUNTIF(DATA!AM:AM,$A:$A)=0,"×","√")),""))</f>
        <v/>
      </c>
      <c r="AM36" s="32" t="str">
        <f ca="1">IF($A36="","",IF(IF(AM$2&lt;=$A$1,1,0),IF(AM$4="休","",IF(COUNTIF(DATA!AN:AN,$A:$A)=0,"×","√")),""))</f>
        <v/>
      </c>
      <c r="AN36" s="32" t="str">
        <f ca="1">IF($A36="","",IF(IF(AN$2&lt;=$A$1,1,0),IF(AN$4="休","",IF(COUNTIF(DATA!AO:AO,$A:$A)=0,"×","√")),""))</f>
        <v/>
      </c>
      <c r="AO36" s="32" t="str">
        <f ca="1">IF($A36="","",IF(IF(AO$2&lt;=$A$1,1,0),IF(AO$4="休","",IF(COUNTIF(DATA!AP:AP,$A:$A)=0,"×","√")),""))</f>
        <v/>
      </c>
      <c r="AP36" s="32" t="str">
        <f ca="1">IF($A36="","",IF(IF(AP$2&lt;=$A$1,1,0),IF(AP$4="休","",IF(COUNTIF(DATA!AQ:AQ,$A:$A)=0,"×","√")),""))</f>
        <v/>
      </c>
      <c r="AQ36" s="32" t="str">
        <f ca="1">IF($A36="","",IF(IF(AQ$2&lt;=$A$1,1,0),IF(AQ$4="休","",IF(COUNTIF(DATA!AR:AR,$A:$A)=0,"×","√")),""))</f>
        <v/>
      </c>
      <c r="AR36" s="32" t="str">
        <f ca="1">IF($A36="","",IF(IF(AR$2&lt;=$A$1,1,0),IF(AR$4="休","",IF(COUNTIF(DATA!AS:AS,$A:$A)=0,"×","√")),""))</f>
        <v/>
      </c>
      <c r="AS36" s="32" t="str">
        <f ca="1">IF($A36="","",IF(IF(AS$2&lt;=$A$1,1,0),IF(AS$4="休","",IF(COUNTIF(DATA!AT:AT,$A:$A)=0,"×","√")),""))</f>
        <v/>
      </c>
      <c r="AT36" s="32" t="str">
        <f ca="1">IF($A36="","",IF(IF(AT$2&lt;=$A$1,1,0),IF(AT$4="休","",IF(COUNTIF(DATA!AU:AU,$A:$A)=0,"×","√")),""))</f>
        <v/>
      </c>
      <c r="AU36" s="32" t="str">
        <f ca="1">IF($A36="","",IF(IF(AU$2&lt;=$A$1,1,0),IF(AU$4="休","",IF(COUNTIF(DATA!AV:AV,$A:$A)=0,"×","√")),""))</f>
        <v/>
      </c>
      <c r="AV36" s="32" t="str">
        <f ca="1">IF($A36="","",IF(IF(AV$2&lt;=$A$1,1,0),IF(AV$4="休","",IF(COUNTIF(DATA!AW:AW,$A:$A)=0,"×","√")),""))</f>
        <v/>
      </c>
      <c r="AW36" s="32" t="str">
        <f ca="1">IF($A36="","",IF(IF(AW$2&lt;=$A$1,1,0),IF(AW$4="休","",IF(COUNTIF(DATA!AX:AX,$A:$A)=0,"×","√")),""))</f>
        <v/>
      </c>
      <c r="AX36" s="32" t="str">
        <f ca="1">IF($A36="","",IF(IF(AX$2&lt;=$A$1,1,0),IF(AX$4="休","",IF(COUNTIF(DATA!AY:AY,$A:$A)=0,"×","√")),""))</f>
        <v/>
      </c>
      <c r="AY36" s="32" t="str">
        <f ca="1">IF($A36="","",IF(IF(AY$2&lt;=$A$1,1,0),IF(AY$4="休","",IF(COUNTIF(DATA!AZ:AZ,$A:$A)=0,"×","√")),""))</f>
        <v/>
      </c>
      <c r="AZ36" s="32" t="str">
        <f ca="1">IF($A36="","",IF(IF(AZ$2&lt;=$A$1,1,0),IF(AZ$4="休","",IF(COUNTIF(DATA!BA:BA,$A:$A)=0,"×","√")),""))</f>
        <v/>
      </c>
      <c r="BA36" s="32" t="str">
        <f ca="1">IF($A36="","",IF(IF(BA$2&lt;=$A$1,1,0),IF(BA$4="休","",IF(COUNTIF(DATA!BB:BB,$A:$A)=0,"×","√")),""))</f>
        <v/>
      </c>
      <c r="BB36" s="32" t="str">
        <f ca="1">IF($A36="","",IF(IF(BB$2&lt;=$A$1,1,0),IF(BB$4="休","",IF(COUNTIF(DATA!BC:BC,$A:$A)=0,"×","√")),""))</f>
        <v/>
      </c>
      <c r="BC36" s="32" t="str">
        <f ca="1">IF($A36="","",IF(IF(BC$2&lt;=$A$1,1,0),IF(BC$4="休","",IF(COUNTIF(DATA!BD:BD,$A:$A)=0,"×","√")),""))</f>
        <v/>
      </c>
      <c r="BD36" s="32" t="str">
        <f ca="1">IF($A36="","",IF(IF(BD$2&lt;=$A$1,1,0),IF(BD$4="休","",IF(COUNTIF(DATA!BE:BE,$A:$A)=0,"×","√")),""))</f>
        <v/>
      </c>
      <c r="BE36" s="32" t="str">
        <f ca="1">IF($A36="","",IF(IF(BE$2&lt;=$A$1,1,0),IF(BE$4="休","",IF(COUNTIF(DATA!BF:BF,$A:$A)=0,"×","√")),""))</f>
        <v/>
      </c>
      <c r="BF36" s="32" t="str">
        <f ca="1">IF($A36="","",IF(IF(BF$2&lt;=$A$1,1,0),IF(BF$4="休","",IF(COUNTIF(DATA!BG:BG,$A:$A)=0,"×","√")),""))</f>
        <v/>
      </c>
      <c r="BG36" s="32" t="str">
        <f ca="1">IF($A36="","",IF(IF(BG$2&lt;=$A$1,1,0),IF(BG$4="休","",IF(COUNTIF(DATA!BH:BH,$A:$A)=0,"×","√")),""))</f>
        <v/>
      </c>
      <c r="BH36" s="32" t="str">
        <f ca="1">IF($A36="","",IF(IF(BH$2&lt;=$A$1,1,0),IF(BH$4="休","",IF(COUNTIF(DATA!BI:BI,$A:$A)=0,"×","√")),""))</f>
        <v/>
      </c>
      <c r="BI36" s="32" t="str">
        <f ca="1">IF($A36="","",IF(IF(BI$2&lt;=$A$1,1,0),IF(BI$4="休","",IF(COUNTIF(DATA!BJ:BJ,$A:$A)=0,"×","√")),""))</f>
        <v/>
      </c>
      <c r="BJ36" s="32" t="str">
        <f ca="1">IF($A36="","",IF(IF(BJ$2&lt;=$A$1,1,0),IF(BJ$4="休","",IF(COUNTIF(DATA!BK:BK,$A:$A)=0,"×","√")),""))</f>
        <v/>
      </c>
      <c r="BK36" s="32" t="str">
        <f ca="1">IF($A36="","",IF(IF(BK$2&lt;=$A$1,1,0),IF(BK$4="休","",IF(COUNTIF(DATA!BL:BL,$A:$A)=0,"×","√")),""))</f>
        <v/>
      </c>
      <c r="BL36" s="32" t="str">
        <f ca="1">IF($A36="","",IF(IF(BL$2&lt;=$A$1,1,0),IF(BL$4="休","",IF(COUNTIF(DATA!BM:BM,$A:$A)=0,"×","√")),""))</f>
        <v/>
      </c>
      <c r="BM36" s="32" t="str">
        <f ca="1">IF($A36="","",IF(IF(BM$2&lt;=$A$1,1,0),IF(BM$4="休","",IF(COUNTIF(DATA!BN:BN,$A:$A)=0,"×","√")),""))</f>
        <v/>
      </c>
      <c r="BN36" s="32" t="str">
        <f ca="1">IF($A36="","",IF(IF(BN$2&lt;=$A$1,1,0),IF(BN$4="休","",IF(COUNTIF(DATA!BO:BO,$A:$A)=0,"×","√")),""))</f>
        <v/>
      </c>
      <c r="BO36" s="32" t="str">
        <f ca="1">IF($A36="","",IF(IF(BO$2&lt;=$A$1,1,0),IF(BO$4="休","",IF(COUNTIF(DATA!BP:BP,$A:$A)=0,"×","√")),""))</f>
        <v/>
      </c>
      <c r="BP36" s="32" t="str">
        <f ca="1">IF($A36="","",IF(IF(BP$2&lt;=$A$1,1,0),IF(BP$4="休","",IF(COUNTIF(DATA!BQ:BQ,$A:$A)=0,"×","√")),""))</f>
        <v/>
      </c>
      <c r="BQ36" s="32" t="str">
        <f ca="1">IF($A36="","",IF(IF(BQ$2&lt;=$A$1,1,0),IF(BQ$4="休","",IF(COUNTIF(DATA!BR:BR,$A:$A)=0,"×","√")),""))</f>
        <v/>
      </c>
      <c r="BR36" s="32" t="str">
        <f ca="1">IF($A36="","",IF(IF(BR$2&lt;=$A$1,1,0),IF(BR$4="休","",IF(COUNTIF(DATA!BS:BS,$A:$A)=0,"×","√")),""))</f>
        <v/>
      </c>
      <c r="BS36" s="32" t="str">
        <f ca="1">IF($A36="","",IF(IF(BS$2&lt;=$A$1,1,0),IF(BS$4="休","",IF(COUNTIF(DATA!BT:BT,$A:$A)=0,"×","√")),""))</f>
        <v/>
      </c>
      <c r="BT36" s="32" t="str">
        <f ca="1">IF($A36="","",IF(IF(BT$2&lt;=$A$1,1,0),IF(BT$4="休","",IF(COUNTIF(DATA!BU:BU,$A:$A)=0,"×","√")),""))</f>
        <v/>
      </c>
      <c r="BU36" s="32" t="str">
        <f ca="1">IF($A36="","",IF(IF(BU$2&lt;=$A$1,1,0),IF(BU$4="休","",IF(COUNTIF(DATA!BV:BV,$A:$A)=0,"×","√")),""))</f>
        <v/>
      </c>
      <c r="BV36" s="32" t="str">
        <f ca="1">IF($A36="","",IF(IF(BV$2&lt;=$A$1,1,0),IF(BV$4="休","",IF(COUNTIF(DATA!BW:BW,$A:$A)=0,"×","√")),""))</f>
        <v/>
      </c>
      <c r="BW36" s="32" t="str">
        <f ca="1">IF($A36="","",IF(IF(BW$2&lt;=$A$1,1,0),IF(BW$4="休","",IF(COUNTIF(DATA!BX:BX,$A:$A)=0,"×","√")),""))</f>
        <v/>
      </c>
      <c r="BX36" s="32" t="str">
        <f ca="1">IF($A36="","",IF(IF(BX$2&lt;=$A$1,1,0),IF(BX$4="休","",IF(COUNTIF(DATA!BY:BY,$A:$A)=0,"×","√")),""))</f>
        <v/>
      </c>
      <c r="BY36" s="32" t="str">
        <f ca="1">IF($A36="","",IF(IF(BY$2&lt;=$A$1,1,0),IF(BY$4="休","",IF(COUNTIF(DATA!BZ:BZ,$A:$A)=0,"×","√")),""))</f>
        <v/>
      </c>
      <c r="BZ36" s="32" t="str">
        <f ca="1">IF($A36="","",IF(IF(BZ$2&lt;=$A$1,1,0),IF(BZ$4="休","",IF(COUNTIF(DATA!CA:CA,$A:$A)=0,"×","√")),""))</f>
        <v/>
      </c>
      <c r="CA36" s="32" t="str">
        <f ca="1">IF($A36="","",IF(IF(CA$2&lt;=$A$1,1,0),IF(CA$4="休","",IF(COUNTIF(DATA!CB:CB,$A:$A)=0,"×","√")),""))</f>
        <v/>
      </c>
      <c r="CB36" s="32" t="str">
        <f ca="1">IF($A36="","",IF(IF(CB$2&lt;=$A$1,1,0),IF(CB$4="休","",IF(COUNTIF(DATA!CC:CC,$A:$A)=0,"×","√")),""))</f>
        <v/>
      </c>
      <c r="CC36" s="32" t="str">
        <f ca="1">IF($A36="","",IF(IF(CC$2&lt;=$A$1,1,0),IF(CC$4="休","",IF(COUNTIF(DATA!CD:CD,$A:$A)=0,"×","√")),""))</f>
        <v/>
      </c>
      <c r="CD36" s="32" t="str">
        <f ca="1">IF($A36="","",IF(IF(CD$2&lt;=$A$1,1,0),IF(CD$4="休","",IF(COUNTIF(DATA!CE:CE,$A:$A)=0,"×","√")),""))</f>
        <v/>
      </c>
      <c r="CE36" s="32" t="str">
        <f ca="1">IF($A36="","",IF(IF(CE$2&lt;=$A$1,1,0),IF(CE$4="休","",IF(COUNTIF(DATA!CF:CF,$A:$A)=0,"×","√")),""))</f>
        <v/>
      </c>
      <c r="CF36" s="32" t="str">
        <f ca="1">IF($A36="","",IF(IF(CF$2&lt;=$A$1,1,0),IF(CF$4="休","",IF(COUNTIF(DATA!CG:CG,$A:$A)=0,"×","√")),""))</f>
        <v/>
      </c>
      <c r="CG36" s="32" t="str">
        <f ca="1">IF($A36="","",IF(IF(CG$2&lt;=$A$1,1,0),IF(CG$4="休","",IF(COUNTIF(DATA!CH:CH,$A:$A)=0,"×","√")),""))</f>
        <v/>
      </c>
      <c r="CH36" s="32" t="str">
        <f ca="1">IF($A36="","",IF(IF(CH$2&lt;=$A$1,1,0),IF(CH$4="休","",IF(COUNTIF(DATA!CI:CI,$A:$A)=0,"×","√")),""))</f>
        <v/>
      </c>
      <c r="CI36" s="32" t="str">
        <f ca="1">IF($A36="","",IF(IF(CI$2&lt;=$A$1,1,0),IF(CI$4="休","",IF(COUNTIF(DATA!CJ:CJ,$A:$A)=0,"×","√")),""))</f>
        <v/>
      </c>
      <c r="CJ36" s="32" t="str">
        <f ca="1">IF($A36="","",IF(IF(CJ$2&lt;=$A$1,1,0),IF(CJ$4="休","",IF(COUNTIF(DATA!CK:CK,$A:$A)=0,"×","√")),""))</f>
        <v/>
      </c>
      <c r="CK36" s="32" t="str">
        <f ca="1">IF($A36="","",IF(IF(CK$2&lt;=$A$1,1,0),IF(CK$4="休","",IF(COUNTIF(DATA!CL:CL,$A:$A)=0,"×","√")),""))</f>
        <v/>
      </c>
      <c r="CL36" s="32" t="str">
        <f ca="1">IF($A36="","",IF(IF(CL$2&lt;=$A$1,1,0),IF(CL$4="休","",IF(COUNTIF(DATA!CM:CM,$A:$A)=0,"×","√")),""))</f>
        <v/>
      </c>
      <c r="CM36" s="32" t="str">
        <f ca="1">IF($A36="","",IF(IF(CM$2&lt;=$A$1,1,0),IF(CM$4="休","",IF(COUNTIF(DATA!CN:CN,$A:$A)=0,"×","√")),""))</f>
        <v/>
      </c>
      <c r="CN36" s="32" t="str">
        <f ca="1">IF($A36="","",IF(IF(CN$2&lt;=$A$1,1,0),IF(CN$4="休","",IF(COUNTIF(DATA!CO:CO,$A:$A)=0,"×","√")),""))</f>
        <v/>
      </c>
      <c r="CO36" s="32" t="str">
        <f ca="1">IF($A36="","",IF(IF(CO$2&lt;=$A$1,1,0),IF(CO$4="休","",IF(COUNTIF(DATA!CP:CP,$A:$A)=0,"×","√")),""))</f>
        <v/>
      </c>
      <c r="CP36" s="32" t="str">
        <f ca="1">IF($A36="","",IF(IF(CP$2&lt;=$A$1,1,0),IF(CP$4="休","",IF(COUNTIF(DATA!CQ:CQ,$A:$A)=0,"×","√")),""))</f>
        <v/>
      </c>
      <c r="CQ36" s="32" t="str">
        <f ca="1">IF($A36="","",IF(IF(CQ$2&lt;=$A$1,1,0),IF(CQ$4="休","",IF(COUNTIF(DATA!CR:CR,$A:$A)=0,"×","√")),""))</f>
        <v/>
      </c>
      <c r="CR36" s="32" t="str">
        <f ca="1">IF($A36="","",IF(IF(CR$2&lt;=$A$1,1,0),IF(CR$4="休","",IF(COUNTIF(DATA!CS:CS,$A:$A)=0,"×","√")),""))</f>
        <v/>
      </c>
    </row>
    <row r="37" s="26" customFormat="1" ht="18.75" spans="1:96">
      <c r="A37" s="32" t="str">
        <f>DATA!$A36&amp;""</f>
        <v>徐文锃</v>
      </c>
      <c r="B37" s="32" t="str">
        <f ca="1">IF($A37="","",IF(IF(B$2&lt;=$A$1,1,0),IF(B$4="休","",IF(COUNTIF(DATA!C:C,$A:$A)=0,"×","√")),""))</f>
        <v>√</v>
      </c>
      <c r="C37" s="32" t="str">
        <f ca="1">IF($A37="","",IF(IF(C$2&lt;=$A$1,1,0),IF(C$4="休","",IF(COUNTIF(DATA!D:D,$A:$A)=0,"×","√")),""))</f>
        <v>√</v>
      </c>
      <c r="D37" s="32" t="str">
        <f ca="1">IF($A37="","",IF(IF(D$2&lt;=$A$1,1,0),IF(D$4="休","",IF(COUNTIF(DATA!E:E,$A:$A)=0,"×","√")),""))</f>
        <v>√</v>
      </c>
      <c r="E37" s="32" t="str">
        <f ca="1">IF($A37="","",IF(IF(E$2&lt;=$A$1,1,0),IF(E$4="休","",IF(COUNTIF(DATA!F:F,$A:$A)=0,"×","√")),""))</f>
        <v>√</v>
      </c>
      <c r="F37" s="32" t="str">
        <f ca="1">IF($A37="","",IF(IF(F$2&lt;=$A$1,1,0),IF(F$4="休","",IF(COUNTIF(DATA!G:G,$A:$A)=0,"×","√")),""))</f>
        <v>√</v>
      </c>
      <c r="G37" s="32" t="str">
        <f ca="1">IF($A37="","",IF(IF(G$2&lt;=$A$1,1,0),IF(G$4="休","",IF(COUNTIF(DATA!H:H,$A:$A)=0,"×","√")),""))</f>
        <v>√</v>
      </c>
      <c r="H37" s="32" t="str">
        <f ca="1">IF($A37="","",IF(IF(H$2&lt;=$A$1,1,0),IF(H$4="休","",IF(COUNTIF(DATA!I:I,$A:$A)=0,"×","√")),""))</f>
        <v>√</v>
      </c>
      <c r="I37" s="32" t="str">
        <f ca="1">IF($A37="","",IF(IF(I$2&lt;=$A$1,1,0),IF(I$4="休","",IF(COUNTIF(DATA!J:J,$A:$A)=0,"×","√")),""))</f>
        <v>√</v>
      </c>
      <c r="J37" s="32" t="str">
        <f ca="1">IF($A37="","",IF(IF(J$2&lt;=$A$1,1,0),IF(J$4="休","",IF(COUNTIF(DATA!K:K,$A:$A)=0,"×","√")),""))</f>
        <v/>
      </c>
      <c r="K37" s="32" t="str">
        <f ca="1">IF($A37="","",IF(IF(K$2&lt;=$A$1,1,0),IF(K$4="休","",IF(COUNTIF(DATA!L:L,$A:$A)=0,"×","√")),""))</f>
        <v/>
      </c>
      <c r="L37" s="32" t="str">
        <f ca="1">IF($A37="","",IF(IF(L$2&lt;=$A$1,1,0),IF(L$4="休","",IF(COUNTIF(DATA!M:M,$A:$A)=0,"×","√")),""))</f>
        <v/>
      </c>
      <c r="M37" s="32" t="str">
        <f ca="1">IF($A37="","",IF(IF(M$2&lt;=$A$1,1,0),IF(M$4="休","",IF(COUNTIF(DATA!N:N,$A:$A)=0,"×","√")),""))</f>
        <v/>
      </c>
      <c r="N37" s="32" t="str">
        <f ca="1">IF($A37="","",IF(IF(N$2&lt;=$A$1,1,0),IF(N$4="休","",IF(COUNTIF(DATA!O:O,$A:$A)=0,"×","√")),""))</f>
        <v/>
      </c>
      <c r="O37" s="32" t="str">
        <f ca="1">IF($A37="","",IF(IF(O$2&lt;=$A$1,1,0),IF(O$4="休","",IF(COUNTIF(DATA!P:P,$A:$A)=0,"×","√")),""))</f>
        <v/>
      </c>
      <c r="P37" s="32" t="str">
        <f ca="1">IF($A37="","",IF(IF(P$2&lt;=$A$1,1,0),IF(P$4="休","",IF(COUNTIF(DATA!Q:Q,$A:$A)=0,"×","√")),""))</f>
        <v/>
      </c>
      <c r="Q37" s="32" t="str">
        <f ca="1">IF($A37="","",IF(IF(Q$2&lt;=$A$1,1,0),IF(Q$4="休","",IF(COUNTIF(DATA!R:R,$A:$A)=0,"×","√")),""))</f>
        <v/>
      </c>
      <c r="R37" s="32" t="str">
        <f ca="1">IF($A37="","",IF(IF(R$2&lt;=$A$1,1,0),IF(R$4="休","",IF(COUNTIF(DATA!S:S,$A:$A)=0,"×","√")),""))</f>
        <v/>
      </c>
      <c r="S37" s="32" t="str">
        <f ca="1">IF($A37="","",IF(IF(S$2&lt;=$A$1,1,0),IF(S$4="休","",IF(COUNTIF(DATA!T:T,$A:$A)=0,"×","√")),""))</f>
        <v/>
      </c>
      <c r="T37" s="32" t="str">
        <f ca="1">IF($A37="","",IF(IF(T$2&lt;=$A$1,1,0),IF(T$4="休","",IF(COUNTIF(DATA!U:U,$A:$A)=0,"×","√")),""))</f>
        <v/>
      </c>
      <c r="U37" s="32" t="str">
        <f ca="1">IF($A37="","",IF(IF(U$2&lt;=$A$1,1,0),IF(U$4="休","",IF(COUNTIF(DATA!V:V,$A:$A)=0,"×","√")),""))</f>
        <v/>
      </c>
      <c r="V37" s="32" t="str">
        <f ca="1">IF($A37="","",IF(IF(V$2&lt;=$A$1,1,0),IF(V$4="休","",IF(COUNTIF(DATA!W:W,$A:$A)=0,"×","√")),""))</f>
        <v/>
      </c>
      <c r="W37" s="32" t="str">
        <f ca="1">IF($A37="","",IF(IF(W$2&lt;=$A$1,1,0),IF(W$4="休","",IF(COUNTIF(DATA!X:X,$A:$A)=0,"×","√")),""))</f>
        <v/>
      </c>
      <c r="X37" s="32" t="str">
        <f ca="1">IF($A37="","",IF(IF(X$2&lt;=$A$1,1,0),IF(X$4="休","",IF(COUNTIF(DATA!Y:Y,$A:$A)=0,"×","√")),""))</f>
        <v/>
      </c>
      <c r="Y37" s="32" t="str">
        <f ca="1">IF($A37="","",IF(IF(Y$2&lt;=$A$1,1,0),IF(Y$4="休","",IF(COUNTIF(DATA!Z:Z,$A:$A)=0,"×","√")),""))</f>
        <v/>
      </c>
      <c r="Z37" s="32" t="str">
        <f ca="1">IF($A37="","",IF(IF(Z$2&lt;=$A$1,1,0),IF(Z$4="休","",IF(COUNTIF(DATA!AA:AA,$A:$A)=0,"×","√")),""))</f>
        <v/>
      </c>
      <c r="AA37" s="32" t="str">
        <f ca="1">IF($A37="","",IF(IF(AA$2&lt;=$A$1,1,0),IF(AA$4="休","",IF(COUNTIF(DATA!AB:AB,$A:$A)=0,"×","√")),""))</f>
        <v/>
      </c>
      <c r="AB37" s="32" t="str">
        <f ca="1">IF($A37="","",IF(IF(AB$2&lt;=$A$1,1,0),IF(AB$4="休","",IF(COUNTIF(DATA!AC:AC,$A:$A)=0,"×","√")),""))</f>
        <v/>
      </c>
      <c r="AC37" s="32" t="str">
        <f ca="1">IF($A37="","",IF(IF(AC$2&lt;=$A$1,1,0),IF(AC$4="休","",IF(COUNTIF(DATA!AD:AD,$A:$A)=0,"×","√")),""))</f>
        <v/>
      </c>
      <c r="AD37" s="32" t="str">
        <f ca="1">IF($A37="","",IF(IF(AD$2&lt;=$A$1,1,0),IF(AD$4="休","",IF(COUNTIF(DATA!AE:AE,$A:$A)=0,"×","√")),""))</f>
        <v/>
      </c>
      <c r="AE37" s="32" t="str">
        <f ca="1">IF($A37="","",IF(IF(AE$2&lt;=$A$1,1,0),IF(AE$4="休","",IF(COUNTIF(DATA!AF:AF,$A:$A)=0,"×","√")),""))</f>
        <v/>
      </c>
      <c r="AF37" s="32" t="str">
        <f ca="1">IF($A37="","",IF(IF(AF$2&lt;=$A$1,1,0),IF(AF$4="休","",IF(COUNTIF(DATA!AG:AG,$A:$A)=0,"×","√")),""))</f>
        <v/>
      </c>
      <c r="AG37" s="32" t="str">
        <f ca="1">IF($A37="","",IF(IF(AG$2&lt;=$A$1,1,0),IF(AG$4="休","",IF(COUNTIF(DATA!AH:AH,$A:$A)=0,"×","√")),""))</f>
        <v/>
      </c>
      <c r="AH37" s="32" t="str">
        <f ca="1">IF($A37="","",IF(IF(AH$2&lt;=$A$1,1,0),IF(AH$4="休","",IF(COUNTIF(DATA!AI:AI,$A:$A)=0,"×","√")),""))</f>
        <v/>
      </c>
      <c r="AI37" s="32" t="str">
        <f ca="1">IF($A37="","",IF(IF(AI$2&lt;=$A$1,1,0),IF(AI$4="休","",IF(COUNTIF(DATA!AJ:AJ,$A:$A)=0,"×","√")),""))</f>
        <v/>
      </c>
      <c r="AJ37" s="32" t="str">
        <f ca="1">IF($A37="","",IF(IF(AJ$2&lt;=$A$1,1,0),IF(AJ$4="休","",IF(COUNTIF(DATA!AK:AK,$A:$A)=0,"×","√")),""))</f>
        <v/>
      </c>
      <c r="AK37" s="32" t="str">
        <f ca="1">IF($A37="","",IF(IF(AK$2&lt;=$A$1,1,0),IF(AK$4="休","",IF(COUNTIF(DATA!AL:AL,$A:$A)=0,"×","√")),""))</f>
        <v/>
      </c>
      <c r="AL37" s="32" t="str">
        <f ca="1">IF($A37="","",IF(IF(AL$2&lt;=$A$1,1,0),IF(AL$4="休","",IF(COUNTIF(DATA!AM:AM,$A:$A)=0,"×","√")),""))</f>
        <v/>
      </c>
      <c r="AM37" s="32" t="str">
        <f ca="1">IF($A37="","",IF(IF(AM$2&lt;=$A$1,1,0),IF(AM$4="休","",IF(COUNTIF(DATA!AN:AN,$A:$A)=0,"×","√")),""))</f>
        <v/>
      </c>
      <c r="AN37" s="32" t="str">
        <f ca="1">IF($A37="","",IF(IF(AN$2&lt;=$A$1,1,0),IF(AN$4="休","",IF(COUNTIF(DATA!AO:AO,$A:$A)=0,"×","√")),""))</f>
        <v/>
      </c>
      <c r="AO37" s="32" t="str">
        <f ca="1">IF($A37="","",IF(IF(AO$2&lt;=$A$1,1,0),IF(AO$4="休","",IF(COUNTIF(DATA!AP:AP,$A:$A)=0,"×","√")),""))</f>
        <v/>
      </c>
      <c r="AP37" s="32" t="str">
        <f ca="1">IF($A37="","",IF(IF(AP$2&lt;=$A$1,1,0),IF(AP$4="休","",IF(COUNTIF(DATA!AQ:AQ,$A:$A)=0,"×","√")),""))</f>
        <v/>
      </c>
      <c r="AQ37" s="32" t="str">
        <f ca="1">IF($A37="","",IF(IF(AQ$2&lt;=$A$1,1,0),IF(AQ$4="休","",IF(COUNTIF(DATA!AR:AR,$A:$A)=0,"×","√")),""))</f>
        <v/>
      </c>
      <c r="AR37" s="32" t="str">
        <f ca="1">IF($A37="","",IF(IF(AR$2&lt;=$A$1,1,0),IF(AR$4="休","",IF(COUNTIF(DATA!AS:AS,$A:$A)=0,"×","√")),""))</f>
        <v/>
      </c>
      <c r="AS37" s="32" t="str">
        <f ca="1">IF($A37="","",IF(IF(AS$2&lt;=$A$1,1,0),IF(AS$4="休","",IF(COUNTIF(DATA!AT:AT,$A:$A)=0,"×","√")),""))</f>
        <v/>
      </c>
      <c r="AT37" s="32" t="str">
        <f ca="1">IF($A37="","",IF(IF(AT$2&lt;=$A$1,1,0),IF(AT$4="休","",IF(COUNTIF(DATA!AU:AU,$A:$A)=0,"×","√")),""))</f>
        <v/>
      </c>
      <c r="AU37" s="32" t="str">
        <f ca="1">IF($A37="","",IF(IF(AU$2&lt;=$A$1,1,0),IF(AU$4="休","",IF(COUNTIF(DATA!AV:AV,$A:$A)=0,"×","√")),""))</f>
        <v/>
      </c>
      <c r="AV37" s="32" t="str">
        <f ca="1">IF($A37="","",IF(IF(AV$2&lt;=$A$1,1,0),IF(AV$4="休","",IF(COUNTIF(DATA!AW:AW,$A:$A)=0,"×","√")),""))</f>
        <v/>
      </c>
      <c r="AW37" s="32" t="str">
        <f ca="1">IF($A37="","",IF(IF(AW$2&lt;=$A$1,1,0),IF(AW$4="休","",IF(COUNTIF(DATA!AX:AX,$A:$A)=0,"×","√")),""))</f>
        <v/>
      </c>
      <c r="AX37" s="32" t="str">
        <f ca="1">IF($A37="","",IF(IF(AX$2&lt;=$A$1,1,0),IF(AX$4="休","",IF(COUNTIF(DATA!AY:AY,$A:$A)=0,"×","√")),""))</f>
        <v/>
      </c>
      <c r="AY37" s="32" t="str">
        <f ca="1">IF($A37="","",IF(IF(AY$2&lt;=$A$1,1,0),IF(AY$4="休","",IF(COUNTIF(DATA!AZ:AZ,$A:$A)=0,"×","√")),""))</f>
        <v/>
      </c>
      <c r="AZ37" s="32" t="str">
        <f ca="1">IF($A37="","",IF(IF(AZ$2&lt;=$A$1,1,0),IF(AZ$4="休","",IF(COUNTIF(DATA!BA:BA,$A:$A)=0,"×","√")),""))</f>
        <v/>
      </c>
      <c r="BA37" s="32" t="str">
        <f ca="1">IF($A37="","",IF(IF(BA$2&lt;=$A$1,1,0),IF(BA$4="休","",IF(COUNTIF(DATA!BB:BB,$A:$A)=0,"×","√")),""))</f>
        <v/>
      </c>
      <c r="BB37" s="32" t="str">
        <f ca="1">IF($A37="","",IF(IF(BB$2&lt;=$A$1,1,0),IF(BB$4="休","",IF(COUNTIF(DATA!BC:BC,$A:$A)=0,"×","√")),""))</f>
        <v/>
      </c>
      <c r="BC37" s="32" t="str">
        <f ca="1">IF($A37="","",IF(IF(BC$2&lt;=$A$1,1,0),IF(BC$4="休","",IF(COUNTIF(DATA!BD:BD,$A:$A)=0,"×","√")),""))</f>
        <v/>
      </c>
      <c r="BD37" s="32" t="str">
        <f ca="1">IF($A37="","",IF(IF(BD$2&lt;=$A$1,1,0),IF(BD$4="休","",IF(COUNTIF(DATA!BE:BE,$A:$A)=0,"×","√")),""))</f>
        <v/>
      </c>
      <c r="BE37" s="32" t="str">
        <f ca="1">IF($A37="","",IF(IF(BE$2&lt;=$A$1,1,0),IF(BE$4="休","",IF(COUNTIF(DATA!BF:BF,$A:$A)=0,"×","√")),""))</f>
        <v/>
      </c>
      <c r="BF37" s="32" t="str">
        <f ca="1">IF($A37="","",IF(IF(BF$2&lt;=$A$1,1,0),IF(BF$4="休","",IF(COUNTIF(DATA!BG:BG,$A:$A)=0,"×","√")),""))</f>
        <v/>
      </c>
      <c r="BG37" s="32" t="str">
        <f ca="1">IF($A37="","",IF(IF(BG$2&lt;=$A$1,1,0),IF(BG$4="休","",IF(COUNTIF(DATA!BH:BH,$A:$A)=0,"×","√")),""))</f>
        <v/>
      </c>
      <c r="BH37" s="32" t="str">
        <f ca="1">IF($A37="","",IF(IF(BH$2&lt;=$A$1,1,0),IF(BH$4="休","",IF(COUNTIF(DATA!BI:BI,$A:$A)=0,"×","√")),""))</f>
        <v/>
      </c>
      <c r="BI37" s="32" t="str">
        <f ca="1">IF($A37="","",IF(IF(BI$2&lt;=$A$1,1,0),IF(BI$4="休","",IF(COUNTIF(DATA!BJ:BJ,$A:$A)=0,"×","√")),""))</f>
        <v/>
      </c>
      <c r="BJ37" s="32" t="str">
        <f ca="1">IF($A37="","",IF(IF(BJ$2&lt;=$A$1,1,0),IF(BJ$4="休","",IF(COUNTIF(DATA!BK:BK,$A:$A)=0,"×","√")),""))</f>
        <v/>
      </c>
      <c r="BK37" s="32" t="str">
        <f ca="1">IF($A37="","",IF(IF(BK$2&lt;=$A$1,1,0),IF(BK$4="休","",IF(COUNTIF(DATA!BL:BL,$A:$A)=0,"×","√")),""))</f>
        <v/>
      </c>
      <c r="BL37" s="32" t="str">
        <f ca="1">IF($A37="","",IF(IF(BL$2&lt;=$A$1,1,0),IF(BL$4="休","",IF(COUNTIF(DATA!BM:BM,$A:$A)=0,"×","√")),""))</f>
        <v/>
      </c>
      <c r="BM37" s="32" t="str">
        <f ca="1">IF($A37="","",IF(IF(BM$2&lt;=$A$1,1,0),IF(BM$4="休","",IF(COUNTIF(DATA!BN:BN,$A:$A)=0,"×","√")),""))</f>
        <v/>
      </c>
      <c r="BN37" s="32" t="str">
        <f ca="1">IF($A37="","",IF(IF(BN$2&lt;=$A$1,1,0),IF(BN$4="休","",IF(COUNTIF(DATA!BO:BO,$A:$A)=0,"×","√")),""))</f>
        <v/>
      </c>
      <c r="BO37" s="32" t="str">
        <f ca="1">IF($A37="","",IF(IF(BO$2&lt;=$A$1,1,0),IF(BO$4="休","",IF(COUNTIF(DATA!BP:BP,$A:$A)=0,"×","√")),""))</f>
        <v/>
      </c>
      <c r="BP37" s="32" t="str">
        <f ca="1">IF($A37="","",IF(IF(BP$2&lt;=$A$1,1,0),IF(BP$4="休","",IF(COUNTIF(DATA!BQ:BQ,$A:$A)=0,"×","√")),""))</f>
        <v/>
      </c>
      <c r="BQ37" s="32" t="str">
        <f ca="1">IF($A37="","",IF(IF(BQ$2&lt;=$A$1,1,0),IF(BQ$4="休","",IF(COUNTIF(DATA!BR:BR,$A:$A)=0,"×","√")),""))</f>
        <v/>
      </c>
      <c r="BR37" s="32" t="str">
        <f ca="1">IF($A37="","",IF(IF(BR$2&lt;=$A$1,1,0),IF(BR$4="休","",IF(COUNTIF(DATA!BS:BS,$A:$A)=0,"×","√")),""))</f>
        <v/>
      </c>
      <c r="BS37" s="32" t="str">
        <f ca="1">IF($A37="","",IF(IF(BS$2&lt;=$A$1,1,0),IF(BS$4="休","",IF(COUNTIF(DATA!BT:BT,$A:$A)=0,"×","√")),""))</f>
        <v/>
      </c>
      <c r="BT37" s="32" t="str">
        <f ca="1">IF($A37="","",IF(IF(BT$2&lt;=$A$1,1,0),IF(BT$4="休","",IF(COUNTIF(DATA!BU:BU,$A:$A)=0,"×","√")),""))</f>
        <v/>
      </c>
      <c r="BU37" s="32" t="str">
        <f ca="1">IF($A37="","",IF(IF(BU$2&lt;=$A$1,1,0),IF(BU$4="休","",IF(COUNTIF(DATA!BV:BV,$A:$A)=0,"×","√")),""))</f>
        <v/>
      </c>
      <c r="BV37" s="32" t="str">
        <f ca="1">IF($A37="","",IF(IF(BV$2&lt;=$A$1,1,0),IF(BV$4="休","",IF(COUNTIF(DATA!BW:BW,$A:$A)=0,"×","√")),""))</f>
        <v/>
      </c>
      <c r="BW37" s="32" t="str">
        <f ca="1">IF($A37="","",IF(IF(BW$2&lt;=$A$1,1,0),IF(BW$4="休","",IF(COUNTIF(DATA!BX:BX,$A:$A)=0,"×","√")),""))</f>
        <v/>
      </c>
      <c r="BX37" s="32" t="str">
        <f ca="1">IF($A37="","",IF(IF(BX$2&lt;=$A$1,1,0),IF(BX$4="休","",IF(COUNTIF(DATA!BY:BY,$A:$A)=0,"×","√")),""))</f>
        <v/>
      </c>
      <c r="BY37" s="32" t="str">
        <f ca="1">IF($A37="","",IF(IF(BY$2&lt;=$A$1,1,0),IF(BY$4="休","",IF(COUNTIF(DATA!BZ:BZ,$A:$A)=0,"×","√")),""))</f>
        <v/>
      </c>
      <c r="BZ37" s="32" t="str">
        <f ca="1">IF($A37="","",IF(IF(BZ$2&lt;=$A$1,1,0),IF(BZ$4="休","",IF(COUNTIF(DATA!CA:CA,$A:$A)=0,"×","√")),""))</f>
        <v/>
      </c>
      <c r="CA37" s="32" t="str">
        <f ca="1">IF($A37="","",IF(IF(CA$2&lt;=$A$1,1,0),IF(CA$4="休","",IF(COUNTIF(DATA!CB:CB,$A:$A)=0,"×","√")),""))</f>
        <v/>
      </c>
      <c r="CB37" s="32" t="str">
        <f ca="1">IF($A37="","",IF(IF(CB$2&lt;=$A$1,1,0),IF(CB$4="休","",IF(COUNTIF(DATA!CC:CC,$A:$A)=0,"×","√")),""))</f>
        <v/>
      </c>
      <c r="CC37" s="32" t="str">
        <f ca="1">IF($A37="","",IF(IF(CC$2&lt;=$A$1,1,0),IF(CC$4="休","",IF(COUNTIF(DATA!CD:CD,$A:$A)=0,"×","√")),""))</f>
        <v/>
      </c>
      <c r="CD37" s="32" t="str">
        <f ca="1">IF($A37="","",IF(IF(CD$2&lt;=$A$1,1,0),IF(CD$4="休","",IF(COUNTIF(DATA!CE:CE,$A:$A)=0,"×","√")),""))</f>
        <v/>
      </c>
      <c r="CE37" s="32" t="str">
        <f ca="1">IF($A37="","",IF(IF(CE$2&lt;=$A$1,1,0),IF(CE$4="休","",IF(COUNTIF(DATA!CF:CF,$A:$A)=0,"×","√")),""))</f>
        <v/>
      </c>
      <c r="CF37" s="32" t="str">
        <f ca="1">IF($A37="","",IF(IF(CF$2&lt;=$A$1,1,0),IF(CF$4="休","",IF(COUNTIF(DATA!CG:CG,$A:$A)=0,"×","√")),""))</f>
        <v/>
      </c>
      <c r="CG37" s="32" t="str">
        <f ca="1">IF($A37="","",IF(IF(CG$2&lt;=$A$1,1,0),IF(CG$4="休","",IF(COUNTIF(DATA!CH:CH,$A:$A)=0,"×","√")),""))</f>
        <v/>
      </c>
      <c r="CH37" s="32" t="str">
        <f ca="1">IF($A37="","",IF(IF(CH$2&lt;=$A$1,1,0),IF(CH$4="休","",IF(COUNTIF(DATA!CI:CI,$A:$A)=0,"×","√")),""))</f>
        <v/>
      </c>
      <c r="CI37" s="32" t="str">
        <f ca="1">IF($A37="","",IF(IF(CI$2&lt;=$A$1,1,0),IF(CI$4="休","",IF(COUNTIF(DATA!CJ:CJ,$A:$A)=0,"×","√")),""))</f>
        <v/>
      </c>
      <c r="CJ37" s="32" t="str">
        <f ca="1">IF($A37="","",IF(IF(CJ$2&lt;=$A$1,1,0),IF(CJ$4="休","",IF(COUNTIF(DATA!CK:CK,$A:$A)=0,"×","√")),""))</f>
        <v/>
      </c>
      <c r="CK37" s="32" t="str">
        <f ca="1">IF($A37="","",IF(IF(CK$2&lt;=$A$1,1,0),IF(CK$4="休","",IF(COUNTIF(DATA!CL:CL,$A:$A)=0,"×","√")),""))</f>
        <v/>
      </c>
      <c r="CL37" s="32" t="str">
        <f ca="1">IF($A37="","",IF(IF(CL$2&lt;=$A$1,1,0),IF(CL$4="休","",IF(COUNTIF(DATA!CM:CM,$A:$A)=0,"×","√")),""))</f>
        <v/>
      </c>
      <c r="CM37" s="32" t="str">
        <f ca="1">IF($A37="","",IF(IF(CM$2&lt;=$A$1,1,0),IF(CM$4="休","",IF(COUNTIF(DATA!CN:CN,$A:$A)=0,"×","√")),""))</f>
        <v/>
      </c>
      <c r="CN37" s="32" t="str">
        <f ca="1">IF($A37="","",IF(IF(CN$2&lt;=$A$1,1,0),IF(CN$4="休","",IF(COUNTIF(DATA!CO:CO,$A:$A)=0,"×","√")),""))</f>
        <v/>
      </c>
      <c r="CO37" s="32" t="str">
        <f ca="1">IF($A37="","",IF(IF(CO$2&lt;=$A$1,1,0),IF(CO$4="休","",IF(COUNTIF(DATA!CP:CP,$A:$A)=0,"×","√")),""))</f>
        <v/>
      </c>
      <c r="CP37" s="32" t="str">
        <f ca="1">IF($A37="","",IF(IF(CP$2&lt;=$A$1,1,0),IF(CP$4="休","",IF(COUNTIF(DATA!CQ:CQ,$A:$A)=0,"×","√")),""))</f>
        <v/>
      </c>
      <c r="CQ37" s="32" t="str">
        <f ca="1">IF($A37="","",IF(IF(CQ$2&lt;=$A$1,1,0),IF(CQ$4="休","",IF(COUNTIF(DATA!CR:CR,$A:$A)=0,"×","√")),""))</f>
        <v/>
      </c>
      <c r="CR37" s="32" t="str">
        <f ca="1">IF($A37="","",IF(IF(CR$2&lt;=$A$1,1,0),IF(CR$4="休","",IF(COUNTIF(DATA!CS:CS,$A:$A)=0,"×","√")),""))</f>
        <v/>
      </c>
    </row>
    <row r="38" s="26" customFormat="1" ht="18.75" spans="1:96">
      <c r="A38" s="32" t="str">
        <f>DATA!$A37&amp;""</f>
        <v>胡栋杰</v>
      </c>
      <c r="B38" s="32" t="str">
        <f ca="1">IF($A38="","",IF(IF(B$2&lt;=$A$1,1,0),IF(B$4="休","",IF(COUNTIF(DATA!C:C,$A:$A)=0,"×","√")),""))</f>
        <v>√</v>
      </c>
      <c r="C38" s="32" t="str">
        <f ca="1">IF($A38="","",IF(IF(C$2&lt;=$A$1,1,0),IF(C$4="休","",IF(COUNTIF(DATA!D:D,$A:$A)=0,"×","√")),""))</f>
        <v>√</v>
      </c>
      <c r="D38" s="32" t="str">
        <f ca="1">IF($A38="","",IF(IF(D$2&lt;=$A$1,1,0),IF(D$4="休","",IF(COUNTIF(DATA!E:E,$A:$A)=0,"×","√")),""))</f>
        <v>√</v>
      </c>
      <c r="E38" s="32" t="str">
        <f ca="1">IF($A38="","",IF(IF(E$2&lt;=$A$1,1,0),IF(E$4="休","",IF(COUNTIF(DATA!F:F,$A:$A)=0,"×","√")),""))</f>
        <v>√</v>
      </c>
      <c r="F38" s="32" t="str">
        <f ca="1">IF($A38="","",IF(IF(F$2&lt;=$A$1,1,0),IF(F$4="休","",IF(COUNTIF(DATA!G:G,$A:$A)=0,"×","√")),""))</f>
        <v>√</v>
      </c>
      <c r="G38" s="32" t="str">
        <f ca="1">IF($A38="","",IF(IF(G$2&lt;=$A$1,1,0),IF(G$4="休","",IF(COUNTIF(DATA!H:H,$A:$A)=0,"×","√")),""))</f>
        <v>√</v>
      </c>
      <c r="H38" s="32" t="str">
        <f ca="1">IF($A38="","",IF(IF(H$2&lt;=$A$1,1,0),IF(H$4="休","",IF(COUNTIF(DATA!I:I,$A:$A)=0,"×","√")),""))</f>
        <v>√</v>
      </c>
      <c r="I38" s="32" t="str">
        <f ca="1">IF($A38="","",IF(IF(I$2&lt;=$A$1,1,0),IF(I$4="休","",IF(COUNTIF(DATA!J:J,$A:$A)=0,"×","√")),""))</f>
        <v>√</v>
      </c>
      <c r="J38" s="32" t="str">
        <f ca="1">IF($A38="","",IF(IF(J$2&lt;=$A$1,1,0),IF(J$4="休","",IF(COUNTIF(DATA!K:K,$A:$A)=0,"×","√")),""))</f>
        <v/>
      </c>
      <c r="K38" s="32" t="str">
        <f ca="1">IF($A38="","",IF(IF(K$2&lt;=$A$1,1,0),IF(K$4="休","",IF(COUNTIF(DATA!L:L,$A:$A)=0,"×","√")),""))</f>
        <v/>
      </c>
      <c r="L38" s="32" t="str">
        <f ca="1">IF($A38="","",IF(IF(L$2&lt;=$A$1,1,0),IF(L$4="休","",IF(COUNTIF(DATA!M:M,$A:$A)=0,"×","√")),""))</f>
        <v/>
      </c>
      <c r="M38" s="32" t="str">
        <f ca="1">IF($A38="","",IF(IF(M$2&lt;=$A$1,1,0),IF(M$4="休","",IF(COUNTIF(DATA!N:N,$A:$A)=0,"×","√")),""))</f>
        <v/>
      </c>
      <c r="N38" s="32" t="str">
        <f ca="1">IF($A38="","",IF(IF(N$2&lt;=$A$1,1,0),IF(N$4="休","",IF(COUNTIF(DATA!O:O,$A:$A)=0,"×","√")),""))</f>
        <v/>
      </c>
      <c r="O38" s="32" t="str">
        <f ca="1">IF($A38="","",IF(IF(O$2&lt;=$A$1,1,0),IF(O$4="休","",IF(COUNTIF(DATA!P:P,$A:$A)=0,"×","√")),""))</f>
        <v/>
      </c>
      <c r="P38" s="32" t="str">
        <f ca="1">IF($A38="","",IF(IF(P$2&lt;=$A$1,1,0),IF(P$4="休","",IF(COUNTIF(DATA!Q:Q,$A:$A)=0,"×","√")),""))</f>
        <v/>
      </c>
      <c r="Q38" s="32" t="str">
        <f ca="1">IF($A38="","",IF(IF(Q$2&lt;=$A$1,1,0),IF(Q$4="休","",IF(COUNTIF(DATA!R:R,$A:$A)=0,"×","√")),""))</f>
        <v/>
      </c>
      <c r="R38" s="32" t="str">
        <f ca="1">IF($A38="","",IF(IF(R$2&lt;=$A$1,1,0),IF(R$4="休","",IF(COUNTIF(DATA!S:S,$A:$A)=0,"×","√")),""))</f>
        <v/>
      </c>
      <c r="S38" s="32" t="str">
        <f ca="1">IF($A38="","",IF(IF(S$2&lt;=$A$1,1,0),IF(S$4="休","",IF(COUNTIF(DATA!T:T,$A:$A)=0,"×","√")),""))</f>
        <v/>
      </c>
      <c r="T38" s="32" t="str">
        <f ca="1">IF($A38="","",IF(IF(T$2&lt;=$A$1,1,0),IF(T$4="休","",IF(COUNTIF(DATA!U:U,$A:$A)=0,"×","√")),""))</f>
        <v/>
      </c>
      <c r="U38" s="32" t="str">
        <f ca="1">IF($A38="","",IF(IF(U$2&lt;=$A$1,1,0),IF(U$4="休","",IF(COUNTIF(DATA!V:V,$A:$A)=0,"×","√")),""))</f>
        <v/>
      </c>
      <c r="V38" s="32" t="str">
        <f ca="1">IF($A38="","",IF(IF(V$2&lt;=$A$1,1,0),IF(V$4="休","",IF(COUNTIF(DATA!W:W,$A:$A)=0,"×","√")),""))</f>
        <v/>
      </c>
      <c r="W38" s="32" t="str">
        <f ca="1">IF($A38="","",IF(IF(W$2&lt;=$A$1,1,0),IF(W$4="休","",IF(COUNTIF(DATA!X:X,$A:$A)=0,"×","√")),""))</f>
        <v/>
      </c>
      <c r="X38" s="32" t="str">
        <f ca="1">IF($A38="","",IF(IF(X$2&lt;=$A$1,1,0),IF(X$4="休","",IF(COUNTIF(DATA!Y:Y,$A:$A)=0,"×","√")),""))</f>
        <v/>
      </c>
      <c r="Y38" s="32" t="str">
        <f ca="1">IF($A38="","",IF(IF(Y$2&lt;=$A$1,1,0),IF(Y$4="休","",IF(COUNTIF(DATA!Z:Z,$A:$A)=0,"×","√")),""))</f>
        <v/>
      </c>
      <c r="Z38" s="32" t="str">
        <f ca="1">IF($A38="","",IF(IF(Z$2&lt;=$A$1,1,0),IF(Z$4="休","",IF(COUNTIF(DATA!AA:AA,$A:$A)=0,"×","√")),""))</f>
        <v/>
      </c>
      <c r="AA38" s="32" t="str">
        <f ca="1">IF($A38="","",IF(IF(AA$2&lt;=$A$1,1,0),IF(AA$4="休","",IF(COUNTIF(DATA!AB:AB,$A:$A)=0,"×","√")),""))</f>
        <v/>
      </c>
      <c r="AB38" s="32" t="str">
        <f ca="1">IF($A38="","",IF(IF(AB$2&lt;=$A$1,1,0),IF(AB$4="休","",IF(COUNTIF(DATA!AC:AC,$A:$A)=0,"×","√")),""))</f>
        <v/>
      </c>
      <c r="AC38" s="32" t="str">
        <f ca="1">IF($A38="","",IF(IF(AC$2&lt;=$A$1,1,0),IF(AC$4="休","",IF(COUNTIF(DATA!AD:AD,$A:$A)=0,"×","√")),""))</f>
        <v/>
      </c>
      <c r="AD38" s="32" t="str">
        <f ca="1">IF($A38="","",IF(IF(AD$2&lt;=$A$1,1,0),IF(AD$4="休","",IF(COUNTIF(DATA!AE:AE,$A:$A)=0,"×","√")),""))</f>
        <v/>
      </c>
      <c r="AE38" s="32" t="str">
        <f ca="1">IF($A38="","",IF(IF(AE$2&lt;=$A$1,1,0),IF(AE$4="休","",IF(COUNTIF(DATA!AF:AF,$A:$A)=0,"×","√")),""))</f>
        <v/>
      </c>
      <c r="AF38" s="32" t="str">
        <f ca="1">IF($A38="","",IF(IF(AF$2&lt;=$A$1,1,0),IF(AF$4="休","",IF(COUNTIF(DATA!AG:AG,$A:$A)=0,"×","√")),""))</f>
        <v/>
      </c>
      <c r="AG38" s="32" t="str">
        <f ca="1">IF($A38="","",IF(IF(AG$2&lt;=$A$1,1,0),IF(AG$4="休","",IF(COUNTIF(DATA!AH:AH,$A:$A)=0,"×","√")),""))</f>
        <v/>
      </c>
      <c r="AH38" s="32" t="str">
        <f ca="1">IF($A38="","",IF(IF(AH$2&lt;=$A$1,1,0),IF(AH$4="休","",IF(COUNTIF(DATA!AI:AI,$A:$A)=0,"×","√")),""))</f>
        <v/>
      </c>
      <c r="AI38" s="32" t="str">
        <f ca="1">IF($A38="","",IF(IF(AI$2&lt;=$A$1,1,0),IF(AI$4="休","",IF(COUNTIF(DATA!AJ:AJ,$A:$A)=0,"×","√")),""))</f>
        <v/>
      </c>
      <c r="AJ38" s="32" t="str">
        <f ca="1">IF($A38="","",IF(IF(AJ$2&lt;=$A$1,1,0),IF(AJ$4="休","",IF(COUNTIF(DATA!AK:AK,$A:$A)=0,"×","√")),""))</f>
        <v/>
      </c>
      <c r="AK38" s="32" t="str">
        <f ca="1">IF($A38="","",IF(IF(AK$2&lt;=$A$1,1,0),IF(AK$4="休","",IF(COUNTIF(DATA!AL:AL,$A:$A)=0,"×","√")),""))</f>
        <v/>
      </c>
      <c r="AL38" s="32" t="str">
        <f ca="1">IF($A38="","",IF(IF(AL$2&lt;=$A$1,1,0),IF(AL$4="休","",IF(COUNTIF(DATA!AM:AM,$A:$A)=0,"×","√")),""))</f>
        <v/>
      </c>
      <c r="AM38" s="32" t="str">
        <f ca="1">IF($A38="","",IF(IF(AM$2&lt;=$A$1,1,0),IF(AM$4="休","",IF(COUNTIF(DATA!AN:AN,$A:$A)=0,"×","√")),""))</f>
        <v/>
      </c>
      <c r="AN38" s="32" t="str">
        <f ca="1">IF($A38="","",IF(IF(AN$2&lt;=$A$1,1,0),IF(AN$4="休","",IF(COUNTIF(DATA!AO:AO,$A:$A)=0,"×","√")),""))</f>
        <v/>
      </c>
      <c r="AO38" s="32" t="str">
        <f ca="1">IF($A38="","",IF(IF(AO$2&lt;=$A$1,1,0),IF(AO$4="休","",IF(COUNTIF(DATA!AP:AP,$A:$A)=0,"×","√")),""))</f>
        <v/>
      </c>
      <c r="AP38" s="32" t="str">
        <f ca="1">IF($A38="","",IF(IF(AP$2&lt;=$A$1,1,0),IF(AP$4="休","",IF(COUNTIF(DATA!AQ:AQ,$A:$A)=0,"×","√")),""))</f>
        <v/>
      </c>
      <c r="AQ38" s="32" t="str">
        <f ca="1">IF($A38="","",IF(IF(AQ$2&lt;=$A$1,1,0),IF(AQ$4="休","",IF(COUNTIF(DATA!AR:AR,$A:$A)=0,"×","√")),""))</f>
        <v/>
      </c>
      <c r="AR38" s="32" t="str">
        <f ca="1">IF($A38="","",IF(IF(AR$2&lt;=$A$1,1,0),IF(AR$4="休","",IF(COUNTIF(DATA!AS:AS,$A:$A)=0,"×","√")),""))</f>
        <v/>
      </c>
      <c r="AS38" s="32" t="str">
        <f ca="1">IF($A38="","",IF(IF(AS$2&lt;=$A$1,1,0),IF(AS$4="休","",IF(COUNTIF(DATA!AT:AT,$A:$A)=0,"×","√")),""))</f>
        <v/>
      </c>
      <c r="AT38" s="32" t="str">
        <f ca="1">IF($A38="","",IF(IF(AT$2&lt;=$A$1,1,0),IF(AT$4="休","",IF(COUNTIF(DATA!AU:AU,$A:$A)=0,"×","√")),""))</f>
        <v/>
      </c>
      <c r="AU38" s="32" t="str">
        <f ca="1">IF($A38="","",IF(IF(AU$2&lt;=$A$1,1,0),IF(AU$4="休","",IF(COUNTIF(DATA!AV:AV,$A:$A)=0,"×","√")),""))</f>
        <v/>
      </c>
      <c r="AV38" s="32" t="str">
        <f ca="1">IF($A38="","",IF(IF(AV$2&lt;=$A$1,1,0),IF(AV$4="休","",IF(COUNTIF(DATA!AW:AW,$A:$A)=0,"×","√")),""))</f>
        <v/>
      </c>
      <c r="AW38" s="32" t="str">
        <f ca="1">IF($A38="","",IF(IF(AW$2&lt;=$A$1,1,0),IF(AW$4="休","",IF(COUNTIF(DATA!AX:AX,$A:$A)=0,"×","√")),""))</f>
        <v/>
      </c>
      <c r="AX38" s="32" t="str">
        <f ca="1">IF($A38="","",IF(IF(AX$2&lt;=$A$1,1,0),IF(AX$4="休","",IF(COUNTIF(DATA!AY:AY,$A:$A)=0,"×","√")),""))</f>
        <v/>
      </c>
      <c r="AY38" s="32" t="str">
        <f ca="1">IF($A38="","",IF(IF(AY$2&lt;=$A$1,1,0),IF(AY$4="休","",IF(COUNTIF(DATA!AZ:AZ,$A:$A)=0,"×","√")),""))</f>
        <v/>
      </c>
      <c r="AZ38" s="32" t="str">
        <f ca="1">IF($A38="","",IF(IF(AZ$2&lt;=$A$1,1,0),IF(AZ$4="休","",IF(COUNTIF(DATA!BA:BA,$A:$A)=0,"×","√")),""))</f>
        <v/>
      </c>
      <c r="BA38" s="32" t="str">
        <f ca="1">IF($A38="","",IF(IF(BA$2&lt;=$A$1,1,0),IF(BA$4="休","",IF(COUNTIF(DATA!BB:BB,$A:$A)=0,"×","√")),""))</f>
        <v/>
      </c>
      <c r="BB38" s="32" t="str">
        <f ca="1">IF($A38="","",IF(IF(BB$2&lt;=$A$1,1,0),IF(BB$4="休","",IF(COUNTIF(DATA!BC:BC,$A:$A)=0,"×","√")),""))</f>
        <v/>
      </c>
      <c r="BC38" s="32" t="str">
        <f ca="1">IF($A38="","",IF(IF(BC$2&lt;=$A$1,1,0),IF(BC$4="休","",IF(COUNTIF(DATA!BD:BD,$A:$A)=0,"×","√")),""))</f>
        <v/>
      </c>
      <c r="BD38" s="32" t="str">
        <f ca="1">IF($A38="","",IF(IF(BD$2&lt;=$A$1,1,0),IF(BD$4="休","",IF(COUNTIF(DATA!BE:BE,$A:$A)=0,"×","√")),""))</f>
        <v/>
      </c>
      <c r="BE38" s="32" t="str">
        <f ca="1">IF($A38="","",IF(IF(BE$2&lt;=$A$1,1,0),IF(BE$4="休","",IF(COUNTIF(DATA!BF:BF,$A:$A)=0,"×","√")),""))</f>
        <v/>
      </c>
      <c r="BF38" s="32" t="str">
        <f ca="1">IF($A38="","",IF(IF(BF$2&lt;=$A$1,1,0),IF(BF$4="休","",IF(COUNTIF(DATA!BG:BG,$A:$A)=0,"×","√")),""))</f>
        <v/>
      </c>
      <c r="BG38" s="32" t="str">
        <f ca="1">IF($A38="","",IF(IF(BG$2&lt;=$A$1,1,0),IF(BG$4="休","",IF(COUNTIF(DATA!BH:BH,$A:$A)=0,"×","√")),""))</f>
        <v/>
      </c>
      <c r="BH38" s="32" t="str">
        <f ca="1">IF($A38="","",IF(IF(BH$2&lt;=$A$1,1,0),IF(BH$4="休","",IF(COUNTIF(DATA!BI:BI,$A:$A)=0,"×","√")),""))</f>
        <v/>
      </c>
      <c r="BI38" s="32" t="str">
        <f ca="1">IF($A38="","",IF(IF(BI$2&lt;=$A$1,1,0),IF(BI$4="休","",IF(COUNTIF(DATA!BJ:BJ,$A:$A)=0,"×","√")),""))</f>
        <v/>
      </c>
      <c r="BJ38" s="32" t="str">
        <f ca="1">IF($A38="","",IF(IF(BJ$2&lt;=$A$1,1,0),IF(BJ$4="休","",IF(COUNTIF(DATA!BK:BK,$A:$A)=0,"×","√")),""))</f>
        <v/>
      </c>
      <c r="BK38" s="32" t="str">
        <f ca="1">IF($A38="","",IF(IF(BK$2&lt;=$A$1,1,0),IF(BK$4="休","",IF(COUNTIF(DATA!BL:BL,$A:$A)=0,"×","√")),""))</f>
        <v/>
      </c>
      <c r="BL38" s="32" t="str">
        <f ca="1">IF($A38="","",IF(IF(BL$2&lt;=$A$1,1,0),IF(BL$4="休","",IF(COUNTIF(DATA!BM:BM,$A:$A)=0,"×","√")),""))</f>
        <v/>
      </c>
      <c r="BM38" s="32" t="str">
        <f ca="1">IF($A38="","",IF(IF(BM$2&lt;=$A$1,1,0),IF(BM$4="休","",IF(COUNTIF(DATA!BN:BN,$A:$A)=0,"×","√")),""))</f>
        <v/>
      </c>
      <c r="BN38" s="32" t="str">
        <f ca="1">IF($A38="","",IF(IF(BN$2&lt;=$A$1,1,0),IF(BN$4="休","",IF(COUNTIF(DATA!BO:BO,$A:$A)=0,"×","√")),""))</f>
        <v/>
      </c>
      <c r="BO38" s="32" t="str">
        <f ca="1">IF($A38="","",IF(IF(BO$2&lt;=$A$1,1,0),IF(BO$4="休","",IF(COUNTIF(DATA!BP:BP,$A:$A)=0,"×","√")),""))</f>
        <v/>
      </c>
      <c r="BP38" s="32" t="str">
        <f ca="1">IF($A38="","",IF(IF(BP$2&lt;=$A$1,1,0),IF(BP$4="休","",IF(COUNTIF(DATA!BQ:BQ,$A:$A)=0,"×","√")),""))</f>
        <v/>
      </c>
      <c r="BQ38" s="32" t="str">
        <f ca="1">IF($A38="","",IF(IF(BQ$2&lt;=$A$1,1,0),IF(BQ$4="休","",IF(COUNTIF(DATA!BR:BR,$A:$A)=0,"×","√")),""))</f>
        <v/>
      </c>
      <c r="BR38" s="32" t="str">
        <f ca="1">IF($A38="","",IF(IF(BR$2&lt;=$A$1,1,0),IF(BR$4="休","",IF(COUNTIF(DATA!BS:BS,$A:$A)=0,"×","√")),""))</f>
        <v/>
      </c>
      <c r="BS38" s="32" t="str">
        <f ca="1">IF($A38="","",IF(IF(BS$2&lt;=$A$1,1,0),IF(BS$4="休","",IF(COUNTIF(DATA!BT:BT,$A:$A)=0,"×","√")),""))</f>
        <v/>
      </c>
      <c r="BT38" s="32" t="str">
        <f ca="1">IF($A38="","",IF(IF(BT$2&lt;=$A$1,1,0),IF(BT$4="休","",IF(COUNTIF(DATA!BU:BU,$A:$A)=0,"×","√")),""))</f>
        <v/>
      </c>
      <c r="BU38" s="32" t="str">
        <f ca="1">IF($A38="","",IF(IF(BU$2&lt;=$A$1,1,0),IF(BU$4="休","",IF(COUNTIF(DATA!BV:BV,$A:$A)=0,"×","√")),""))</f>
        <v/>
      </c>
      <c r="BV38" s="32" t="str">
        <f ca="1">IF($A38="","",IF(IF(BV$2&lt;=$A$1,1,0),IF(BV$4="休","",IF(COUNTIF(DATA!BW:BW,$A:$A)=0,"×","√")),""))</f>
        <v/>
      </c>
      <c r="BW38" s="32" t="str">
        <f ca="1">IF($A38="","",IF(IF(BW$2&lt;=$A$1,1,0),IF(BW$4="休","",IF(COUNTIF(DATA!BX:BX,$A:$A)=0,"×","√")),""))</f>
        <v/>
      </c>
      <c r="BX38" s="32" t="str">
        <f ca="1">IF($A38="","",IF(IF(BX$2&lt;=$A$1,1,0),IF(BX$4="休","",IF(COUNTIF(DATA!BY:BY,$A:$A)=0,"×","√")),""))</f>
        <v/>
      </c>
      <c r="BY38" s="32" t="str">
        <f ca="1">IF($A38="","",IF(IF(BY$2&lt;=$A$1,1,0),IF(BY$4="休","",IF(COUNTIF(DATA!BZ:BZ,$A:$A)=0,"×","√")),""))</f>
        <v/>
      </c>
      <c r="BZ38" s="32" t="str">
        <f ca="1">IF($A38="","",IF(IF(BZ$2&lt;=$A$1,1,0),IF(BZ$4="休","",IF(COUNTIF(DATA!CA:CA,$A:$A)=0,"×","√")),""))</f>
        <v/>
      </c>
      <c r="CA38" s="32" t="str">
        <f ca="1">IF($A38="","",IF(IF(CA$2&lt;=$A$1,1,0),IF(CA$4="休","",IF(COUNTIF(DATA!CB:CB,$A:$A)=0,"×","√")),""))</f>
        <v/>
      </c>
      <c r="CB38" s="32" t="str">
        <f ca="1">IF($A38="","",IF(IF(CB$2&lt;=$A$1,1,0),IF(CB$4="休","",IF(COUNTIF(DATA!CC:CC,$A:$A)=0,"×","√")),""))</f>
        <v/>
      </c>
      <c r="CC38" s="32" t="str">
        <f ca="1">IF($A38="","",IF(IF(CC$2&lt;=$A$1,1,0),IF(CC$4="休","",IF(COUNTIF(DATA!CD:CD,$A:$A)=0,"×","√")),""))</f>
        <v/>
      </c>
      <c r="CD38" s="32" t="str">
        <f ca="1">IF($A38="","",IF(IF(CD$2&lt;=$A$1,1,0),IF(CD$4="休","",IF(COUNTIF(DATA!CE:CE,$A:$A)=0,"×","√")),""))</f>
        <v/>
      </c>
      <c r="CE38" s="32" t="str">
        <f ca="1">IF($A38="","",IF(IF(CE$2&lt;=$A$1,1,0),IF(CE$4="休","",IF(COUNTIF(DATA!CF:CF,$A:$A)=0,"×","√")),""))</f>
        <v/>
      </c>
      <c r="CF38" s="32" t="str">
        <f ca="1">IF($A38="","",IF(IF(CF$2&lt;=$A$1,1,0),IF(CF$4="休","",IF(COUNTIF(DATA!CG:CG,$A:$A)=0,"×","√")),""))</f>
        <v/>
      </c>
      <c r="CG38" s="32" t="str">
        <f ca="1">IF($A38="","",IF(IF(CG$2&lt;=$A$1,1,0),IF(CG$4="休","",IF(COUNTIF(DATA!CH:CH,$A:$A)=0,"×","√")),""))</f>
        <v/>
      </c>
      <c r="CH38" s="32" t="str">
        <f ca="1">IF($A38="","",IF(IF(CH$2&lt;=$A$1,1,0),IF(CH$4="休","",IF(COUNTIF(DATA!CI:CI,$A:$A)=0,"×","√")),""))</f>
        <v/>
      </c>
      <c r="CI38" s="32" t="str">
        <f ca="1">IF($A38="","",IF(IF(CI$2&lt;=$A$1,1,0),IF(CI$4="休","",IF(COUNTIF(DATA!CJ:CJ,$A:$A)=0,"×","√")),""))</f>
        <v/>
      </c>
      <c r="CJ38" s="32" t="str">
        <f ca="1">IF($A38="","",IF(IF(CJ$2&lt;=$A$1,1,0),IF(CJ$4="休","",IF(COUNTIF(DATA!CK:CK,$A:$A)=0,"×","√")),""))</f>
        <v/>
      </c>
      <c r="CK38" s="32" t="str">
        <f ca="1">IF($A38="","",IF(IF(CK$2&lt;=$A$1,1,0),IF(CK$4="休","",IF(COUNTIF(DATA!CL:CL,$A:$A)=0,"×","√")),""))</f>
        <v/>
      </c>
      <c r="CL38" s="32" t="str">
        <f ca="1">IF($A38="","",IF(IF(CL$2&lt;=$A$1,1,0),IF(CL$4="休","",IF(COUNTIF(DATA!CM:CM,$A:$A)=0,"×","√")),""))</f>
        <v/>
      </c>
      <c r="CM38" s="32" t="str">
        <f ca="1">IF($A38="","",IF(IF(CM$2&lt;=$A$1,1,0),IF(CM$4="休","",IF(COUNTIF(DATA!CN:CN,$A:$A)=0,"×","√")),""))</f>
        <v/>
      </c>
      <c r="CN38" s="32" t="str">
        <f ca="1">IF($A38="","",IF(IF(CN$2&lt;=$A$1,1,0),IF(CN$4="休","",IF(COUNTIF(DATA!CO:CO,$A:$A)=0,"×","√")),""))</f>
        <v/>
      </c>
      <c r="CO38" s="32" t="str">
        <f ca="1">IF($A38="","",IF(IF(CO$2&lt;=$A$1,1,0),IF(CO$4="休","",IF(COUNTIF(DATA!CP:CP,$A:$A)=0,"×","√")),""))</f>
        <v/>
      </c>
      <c r="CP38" s="32" t="str">
        <f ca="1">IF($A38="","",IF(IF(CP$2&lt;=$A$1,1,0),IF(CP$4="休","",IF(COUNTIF(DATA!CQ:CQ,$A:$A)=0,"×","√")),""))</f>
        <v/>
      </c>
      <c r="CQ38" s="32" t="str">
        <f ca="1">IF($A38="","",IF(IF(CQ$2&lt;=$A$1,1,0),IF(CQ$4="休","",IF(COUNTIF(DATA!CR:CR,$A:$A)=0,"×","√")),""))</f>
        <v/>
      </c>
      <c r="CR38" s="32" t="str">
        <f ca="1">IF($A38="","",IF(IF(CR$2&lt;=$A$1,1,0),IF(CR$4="休","",IF(COUNTIF(DATA!CS:CS,$A:$A)=0,"×","√")),""))</f>
        <v/>
      </c>
    </row>
    <row r="39" s="26" customFormat="1" ht="18.75" spans="1:96">
      <c r="A39" s="32" t="str">
        <f>DATA!$A38&amp;""</f>
        <v>熊立武</v>
      </c>
      <c r="B39" s="32" t="str">
        <f ca="1">IF($A39="","",IF(IF(B$2&lt;=$A$1,1,0),IF(B$4="休","",IF(COUNTIF(DATA!C:C,$A:$A)=0,"×","√")),""))</f>
        <v>√</v>
      </c>
      <c r="C39" s="32" t="str">
        <f ca="1">IF($A39="","",IF(IF(C$2&lt;=$A$1,1,0),IF(C$4="休","",IF(COUNTIF(DATA!D:D,$A:$A)=0,"×","√")),""))</f>
        <v>√</v>
      </c>
      <c r="D39" s="32" t="str">
        <f ca="1">IF($A39="","",IF(IF(D$2&lt;=$A$1,1,0),IF(D$4="休","",IF(COUNTIF(DATA!E:E,$A:$A)=0,"×","√")),""))</f>
        <v>√</v>
      </c>
      <c r="E39" s="32" t="str">
        <f ca="1">IF($A39="","",IF(IF(E$2&lt;=$A$1,1,0),IF(E$4="休","",IF(COUNTIF(DATA!F:F,$A:$A)=0,"×","√")),""))</f>
        <v>√</v>
      </c>
      <c r="F39" s="32" t="str">
        <f ca="1">IF($A39="","",IF(IF(F$2&lt;=$A$1,1,0),IF(F$4="休","",IF(COUNTIF(DATA!G:G,$A:$A)=0,"×","√")),""))</f>
        <v>√</v>
      </c>
      <c r="G39" s="32" t="str">
        <f ca="1">IF($A39="","",IF(IF(G$2&lt;=$A$1,1,0),IF(G$4="休","",IF(COUNTIF(DATA!H:H,$A:$A)=0,"×","√")),""))</f>
        <v>√</v>
      </c>
      <c r="H39" s="32" t="str">
        <f ca="1">IF($A39="","",IF(IF(H$2&lt;=$A$1,1,0),IF(H$4="休","",IF(COUNTIF(DATA!I:I,$A:$A)=0,"×","√")),""))</f>
        <v>√</v>
      </c>
      <c r="I39" s="32" t="str">
        <f ca="1">IF($A39="","",IF(IF(I$2&lt;=$A$1,1,0),IF(I$4="休","",IF(COUNTIF(DATA!J:J,$A:$A)=0,"×","√")),""))</f>
        <v>√</v>
      </c>
      <c r="J39" s="32" t="str">
        <f ca="1">IF($A39="","",IF(IF(J$2&lt;=$A$1,1,0),IF(J$4="休","",IF(COUNTIF(DATA!K:K,$A:$A)=0,"×","√")),""))</f>
        <v/>
      </c>
      <c r="K39" s="32" t="str">
        <f ca="1">IF($A39="","",IF(IF(K$2&lt;=$A$1,1,0),IF(K$4="休","",IF(COUNTIF(DATA!L:L,$A:$A)=0,"×","√")),""))</f>
        <v/>
      </c>
      <c r="L39" s="32" t="str">
        <f ca="1">IF($A39="","",IF(IF(L$2&lt;=$A$1,1,0),IF(L$4="休","",IF(COUNTIF(DATA!M:M,$A:$A)=0,"×","√")),""))</f>
        <v/>
      </c>
      <c r="M39" s="32" t="str">
        <f ca="1">IF($A39="","",IF(IF(M$2&lt;=$A$1,1,0),IF(M$4="休","",IF(COUNTIF(DATA!N:N,$A:$A)=0,"×","√")),""))</f>
        <v/>
      </c>
      <c r="N39" s="32" t="str">
        <f ca="1">IF($A39="","",IF(IF(N$2&lt;=$A$1,1,0),IF(N$4="休","",IF(COUNTIF(DATA!O:O,$A:$A)=0,"×","√")),""))</f>
        <v/>
      </c>
      <c r="O39" s="32" t="str">
        <f ca="1">IF($A39="","",IF(IF(O$2&lt;=$A$1,1,0),IF(O$4="休","",IF(COUNTIF(DATA!P:P,$A:$A)=0,"×","√")),""))</f>
        <v/>
      </c>
      <c r="P39" s="32" t="str">
        <f ca="1">IF($A39="","",IF(IF(P$2&lt;=$A$1,1,0),IF(P$4="休","",IF(COUNTIF(DATA!Q:Q,$A:$A)=0,"×","√")),""))</f>
        <v/>
      </c>
      <c r="Q39" s="32" t="str">
        <f ca="1">IF($A39="","",IF(IF(Q$2&lt;=$A$1,1,0),IF(Q$4="休","",IF(COUNTIF(DATA!R:R,$A:$A)=0,"×","√")),""))</f>
        <v/>
      </c>
      <c r="R39" s="32" t="str">
        <f ca="1">IF($A39="","",IF(IF(R$2&lt;=$A$1,1,0),IF(R$4="休","",IF(COUNTIF(DATA!S:S,$A:$A)=0,"×","√")),""))</f>
        <v/>
      </c>
      <c r="S39" s="32" t="str">
        <f ca="1">IF($A39="","",IF(IF(S$2&lt;=$A$1,1,0),IF(S$4="休","",IF(COUNTIF(DATA!T:T,$A:$A)=0,"×","√")),""))</f>
        <v/>
      </c>
      <c r="T39" s="32" t="str">
        <f ca="1">IF($A39="","",IF(IF(T$2&lt;=$A$1,1,0),IF(T$4="休","",IF(COUNTIF(DATA!U:U,$A:$A)=0,"×","√")),""))</f>
        <v/>
      </c>
      <c r="U39" s="32" t="str">
        <f ca="1">IF($A39="","",IF(IF(U$2&lt;=$A$1,1,0),IF(U$4="休","",IF(COUNTIF(DATA!V:V,$A:$A)=0,"×","√")),""))</f>
        <v/>
      </c>
      <c r="V39" s="32" t="str">
        <f ca="1">IF($A39="","",IF(IF(V$2&lt;=$A$1,1,0),IF(V$4="休","",IF(COUNTIF(DATA!W:W,$A:$A)=0,"×","√")),""))</f>
        <v/>
      </c>
      <c r="W39" s="32" t="str">
        <f ca="1">IF($A39="","",IF(IF(W$2&lt;=$A$1,1,0),IF(W$4="休","",IF(COUNTIF(DATA!X:X,$A:$A)=0,"×","√")),""))</f>
        <v/>
      </c>
      <c r="X39" s="32" t="str">
        <f ca="1">IF($A39="","",IF(IF(X$2&lt;=$A$1,1,0),IF(X$4="休","",IF(COUNTIF(DATA!Y:Y,$A:$A)=0,"×","√")),""))</f>
        <v/>
      </c>
      <c r="Y39" s="32" t="str">
        <f ca="1">IF($A39="","",IF(IF(Y$2&lt;=$A$1,1,0),IF(Y$4="休","",IF(COUNTIF(DATA!Z:Z,$A:$A)=0,"×","√")),""))</f>
        <v/>
      </c>
      <c r="Z39" s="32" t="str">
        <f ca="1">IF($A39="","",IF(IF(Z$2&lt;=$A$1,1,0),IF(Z$4="休","",IF(COUNTIF(DATA!AA:AA,$A:$A)=0,"×","√")),""))</f>
        <v/>
      </c>
      <c r="AA39" s="32" t="str">
        <f ca="1">IF($A39="","",IF(IF(AA$2&lt;=$A$1,1,0),IF(AA$4="休","",IF(COUNTIF(DATA!AB:AB,$A:$A)=0,"×","√")),""))</f>
        <v/>
      </c>
      <c r="AB39" s="32" t="str">
        <f ca="1">IF($A39="","",IF(IF(AB$2&lt;=$A$1,1,0),IF(AB$4="休","",IF(COUNTIF(DATA!AC:AC,$A:$A)=0,"×","√")),""))</f>
        <v/>
      </c>
      <c r="AC39" s="32" t="str">
        <f ca="1">IF($A39="","",IF(IF(AC$2&lt;=$A$1,1,0),IF(AC$4="休","",IF(COUNTIF(DATA!AD:AD,$A:$A)=0,"×","√")),""))</f>
        <v/>
      </c>
      <c r="AD39" s="32" t="str">
        <f ca="1">IF($A39="","",IF(IF(AD$2&lt;=$A$1,1,0),IF(AD$4="休","",IF(COUNTIF(DATA!AE:AE,$A:$A)=0,"×","√")),""))</f>
        <v/>
      </c>
      <c r="AE39" s="32" t="str">
        <f ca="1">IF($A39="","",IF(IF(AE$2&lt;=$A$1,1,0),IF(AE$4="休","",IF(COUNTIF(DATA!AF:AF,$A:$A)=0,"×","√")),""))</f>
        <v/>
      </c>
      <c r="AF39" s="32" t="str">
        <f ca="1">IF($A39="","",IF(IF(AF$2&lt;=$A$1,1,0),IF(AF$4="休","",IF(COUNTIF(DATA!AG:AG,$A:$A)=0,"×","√")),""))</f>
        <v/>
      </c>
      <c r="AG39" s="32" t="str">
        <f ca="1">IF($A39="","",IF(IF(AG$2&lt;=$A$1,1,0),IF(AG$4="休","",IF(COUNTIF(DATA!AH:AH,$A:$A)=0,"×","√")),""))</f>
        <v/>
      </c>
      <c r="AH39" s="32" t="str">
        <f ca="1">IF($A39="","",IF(IF(AH$2&lt;=$A$1,1,0),IF(AH$4="休","",IF(COUNTIF(DATA!AI:AI,$A:$A)=0,"×","√")),""))</f>
        <v/>
      </c>
      <c r="AI39" s="32" t="str">
        <f ca="1">IF($A39="","",IF(IF(AI$2&lt;=$A$1,1,0),IF(AI$4="休","",IF(COUNTIF(DATA!AJ:AJ,$A:$A)=0,"×","√")),""))</f>
        <v/>
      </c>
      <c r="AJ39" s="32" t="str">
        <f ca="1">IF($A39="","",IF(IF(AJ$2&lt;=$A$1,1,0),IF(AJ$4="休","",IF(COUNTIF(DATA!AK:AK,$A:$A)=0,"×","√")),""))</f>
        <v/>
      </c>
      <c r="AK39" s="32" t="str">
        <f ca="1">IF($A39="","",IF(IF(AK$2&lt;=$A$1,1,0),IF(AK$4="休","",IF(COUNTIF(DATA!AL:AL,$A:$A)=0,"×","√")),""))</f>
        <v/>
      </c>
      <c r="AL39" s="32" t="str">
        <f ca="1">IF($A39="","",IF(IF(AL$2&lt;=$A$1,1,0),IF(AL$4="休","",IF(COUNTIF(DATA!AM:AM,$A:$A)=0,"×","√")),""))</f>
        <v/>
      </c>
      <c r="AM39" s="32" t="str">
        <f ca="1">IF($A39="","",IF(IF(AM$2&lt;=$A$1,1,0),IF(AM$4="休","",IF(COUNTIF(DATA!AN:AN,$A:$A)=0,"×","√")),""))</f>
        <v/>
      </c>
      <c r="AN39" s="32" t="str">
        <f ca="1">IF($A39="","",IF(IF(AN$2&lt;=$A$1,1,0),IF(AN$4="休","",IF(COUNTIF(DATA!AO:AO,$A:$A)=0,"×","√")),""))</f>
        <v/>
      </c>
      <c r="AO39" s="32" t="str">
        <f ca="1">IF($A39="","",IF(IF(AO$2&lt;=$A$1,1,0),IF(AO$4="休","",IF(COUNTIF(DATA!AP:AP,$A:$A)=0,"×","√")),""))</f>
        <v/>
      </c>
      <c r="AP39" s="32" t="str">
        <f ca="1">IF($A39="","",IF(IF(AP$2&lt;=$A$1,1,0),IF(AP$4="休","",IF(COUNTIF(DATA!AQ:AQ,$A:$A)=0,"×","√")),""))</f>
        <v/>
      </c>
      <c r="AQ39" s="32" t="str">
        <f ca="1">IF($A39="","",IF(IF(AQ$2&lt;=$A$1,1,0),IF(AQ$4="休","",IF(COUNTIF(DATA!AR:AR,$A:$A)=0,"×","√")),""))</f>
        <v/>
      </c>
      <c r="AR39" s="32" t="str">
        <f ca="1">IF($A39="","",IF(IF(AR$2&lt;=$A$1,1,0),IF(AR$4="休","",IF(COUNTIF(DATA!AS:AS,$A:$A)=0,"×","√")),""))</f>
        <v/>
      </c>
      <c r="AS39" s="32" t="str">
        <f ca="1">IF($A39="","",IF(IF(AS$2&lt;=$A$1,1,0),IF(AS$4="休","",IF(COUNTIF(DATA!AT:AT,$A:$A)=0,"×","√")),""))</f>
        <v/>
      </c>
      <c r="AT39" s="32" t="str">
        <f ca="1">IF($A39="","",IF(IF(AT$2&lt;=$A$1,1,0),IF(AT$4="休","",IF(COUNTIF(DATA!AU:AU,$A:$A)=0,"×","√")),""))</f>
        <v/>
      </c>
      <c r="AU39" s="32" t="str">
        <f ca="1">IF($A39="","",IF(IF(AU$2&lt;=$A$1,1,0),IF(AU$4="休","",IF(COUNTIF(DATA!AV:AV,$A:$A)=0,"×","√")),""))</f>
        <v/>
      </c>
      <c r="AV39" s="32" t="str">
        <f ca="1">IF($A39="","",IF(IF(AV$2&lt;=$A$1,1,0),IF(AV$4="休","",IF(COUNTIF(DATA!AW:AW,$A:$A)=0,"×","√")),""))</f>
        <v/>
      </c>
      <c r="AW39" s="32" t="str">
        <f ca="1">IF($A39="","",IF(IF(AW$2&lt;=$A$1,1,0),IF(AW$4="休","",IF(COUNTIF(DATA!AX:AX,$A:$A)=0,"×","√")),""))</f>
        <v/>
      </c>
      <c r="AX39" s="32" t="str">
        <f ca="1">IF($A39="","",IF(IF(AX$2&lt;=$A$1,1,0),IF(AX$4="休","",IF(COUNTIF(DATA!AY:AY,$A:$A)=0,"×","√")),""))</f>
        <v/>
      </c>
      <c r="AY39" s="32" t="str">
        <f ca="1">IF($A39="","",IF(IF(AY$2&lt;=$A$1,1,0),IF(AY$4="休","",IF(COUNTIF(DATA!AZ:AZ,$A:$A)=0,"×","√")),""))</f>
        <v/>
      </c>
      <c r="AZ39" s="32" t="str">
        <f ca="1">IF($A39="","",IF(IF(AZ$2&lt;=$A$1,1,0),IF(AZ$4="休","",IF(COUNTIF(DATA!BA:BA,$A:$A)=0,"×","√")),""))</f>
        <v/>
      </c>
      <c r="BA39" s="32" t="str">
        <f ca="1">IF($A39="","",IF(IF(BA$2&lt;=$A$1,1,0),IF(BA$4="休","",IF(COUNTIF(DATA!BB:BB,$A:$A)=0,"×","√")),""))</f>
        <v/>
      </c>
      <c r="BB39" s="32" t="str">
        <f ca="1">IF($A39="","",IF(IF(BB$2&lt;=$A$1,1,0),IF(BB$4="休","",IF(COUNTIF(DATA!BC:BC,$A:$A)=0,"×","√")),""))</f>
        <v/>
      </c>
      <c r="BC39" s="32" t="str">
        <f ca="1">IF($A39="","",IF(IF(BC$2&lt;=$A$1,1,0),IF(BC$4="休","",IF(COUNTIF(DATA!BD:BD,$A:$A)=0,"×","√")),""))</f>
        <v/>
      </c>
      <c r="BD39" s="32" t="str">
        <f ca="1">IF($A39="","",IF(IF(BD$2&lt;=$A$1,1,0),IF(BD$4="休","",IF(COUNTIF(DATA!BE:BE,$A:$A)=0,"×","√")),""))</f>
        <v/>
      </c>
      <c r="BE39" s="32" t="str">
        <f ca="1">IF($A39="","",IF(IF(BE$2&lt;=$A$1,1,0),IF(BE$4="休","",IF(COUNTIF(DATA!BF:BF,$A:$A)=0,"×","√")),""))</f>
        <v/>
      </c>
      <c r="BF39" s="32" t="str">
        <f ca="1">IF($A39="","",IF(IF(BF$2&lt;=$A$1,1,0),IF(BF$4="休","",IF(COUNTIF(DATA!BG:BG,$A:$A)=0,"×","√")),""))</f>
        <v/>
      </c>
      <c r="BG39" s="32" t="str">
        <f ca="1">IF($A39="","",IF(IF(BG$2&lt;=$A$1,1,0),IF(BG$4="休","",IF(COUNTIF(DATA!BH:BH,$A:$A)=0,"×","√")),""))</f>
        <v/>
      </c>
      <c r="BH39" s="32" t="str">
        <f ca="1">IF($A39="","",IF(IF(BH$2&lt;=$A$1,1,0),IF(BH$4="休","",IF(COUNTIF(DATA!BI:BI,$A:$A)=0,"×","√")),""))</f>
        <v/>
      </c>
      <c r="BI39" s="32" t="str">
        <f ca="1">IF($A39="","",IF(IF(BI$2&lt;=$A$1,1,0),IF(BI$4="休","",IF(COUNTIF(DATA!BJ:BJ,$A:$A)=0,"×","√")),""))</f>
        <v/>
      </c>
      <c r="BJ39" s="32" t="str">
        <f ca="1">IF($A39="","",IF(IF(BJ$2&lt;=$A$1,1,0),IF(BJ$4="休","",IF(COUNTIF(DATA!BK:BK,$A:$A)=0,"×","√")),""))</f>
        <v/>
      </c>
      <c r="BK39" s="32" t="str">
        <f ca="1">IF($A39="","",IF(IF(BK$2&lt;=$A$1,1,0),IF(BK$4="休","",IF(COUNTIF(DATA!BL:BL,$A:$A)=0,"×","√")),""))</f>
        <v/>
      </c>
      <c r="BL39" s="32" t="str">
        <f ca="1">IF($A39="","",IF(IF(BL$2&lt;=$A$1,1,0),IF(BL$4="休","",IF(COUNTIF(DATA!BM:BM,$A:$A)=0,"×","√")),""))</f>
        <v/>
      </c>
      <c r="BM39" s="32" t="str">
        <f ca="1">IF($A39="","",IF(IF(BM$2&lt;=$A$1,1,0),IF(BM$4="休","",IF(COUNTIF(DATA!BN:BN,$A:$A)=0,"×","√")),""))</f>
        <v/>
      </c>
      <c r="BN39" s="32" t="str">
        <f ca="1">IF($A39="","",IF(IF(BN$2&lt;=$A$1,1,0),IF(BN$4="休","",IF(COUNTIF(DATA!BO:BO,$A:$A)=0,"×","√")),""))</f>
        <v/>
      </c>
      <c r="BO39" s="32" t="str">
        <f ca="1">IF($A39="","",IF(IF(BO$2&lt;=$A$1,1,0),IF(BO$4="休","",IF(COUNTIF(DATA!BP:BP,$A:$A)=0,"×","√")),""))</f>
        <v/>
      </c>
      <c r="BP39" s="32" t="str">
        <f ca="1">IF($A39="","",IF(IF(BP$2&lt;=$A$1,1,0),IF(BP$4="休","",IF(COUNTIF(DATA!BQ:BQ,$A:$A)=0,"×","√")),""))</f>
        <v/>
      </c>
      <c r="BQ39" s="32" t="str">
        <f ca="1">IF($A39="","",IF(IF(BQ$2&lt;=$A$1,1,0),IF(BQ$4="休","",IF(COUNTIF(DATA!BR:BR,$A:$A)=0,"×","√")),""))</f>
        <v/>
      </c>
      <c r="BR39" s="32" t="str">
        <f ca="1">IF($A39="","",IF(IF(BR$2&lt;=$A$1,1,0),IF(BR$4="休","",IF(COUNTIF(DATA!BS:BS,$A:$A)=0,"×","√")),""))</f>
        <v/>
      </c>
      <c r="BS39" s="32" t="str">
        <f ca="1">IF($A39="","",IF(IF(BS$2&lt;=$A$1,1,0),IF(BS$4="休","",IF(COUNTIF(DATA!BT:BT,$A:$A)=0,"×","√")),""))</f>
        <v/>
      </c>
      <c r="BT39" s="32" t="str">
        <f ca="1">IF($A39="","",IF(IF(BT$2&lt;=$A$1,1,0),IF(BT$4="休","",IF(COUNTIF(DATA!BU:BU,$A:$A)=0,"×","√")),""))</f>
        <v/>
      </c>
      <c r="BU39" s="32" t="str">
        <f ca="1">IF($A39="","",IF(IF(BU$2&lt;=$A$1,1,0),IF(BU$4="休","",IF(COUNTIF(DATA!BV:BV,$A:$A)=0,"×","√")),""))</f>
        <v/>
      </c>
      <c r="BV39" s="32" t="str">
        <f ca="1">IF($A39="","",IF(IF(BV$2&lt;=$A$1,1,0),IF(BV$4="休","",IF(COUNTIF(DATA!BW:BW,$A:$A)=0,"×","√")),""))</f>
        <v/>
      </c>
      <c r="BW39" s="32" t="str">
        <f ca="1">IF($A39="","",IF(IF(BW$2&lt;=$A$1,1,0),IF(BW$4="休","",IF(COUNTIF(DATA!BX:BX,$A:$A)=0,"×","√")),""))</f>
        <v/>
      </c>
      <c r="BX39" s="32" t="str">
        <f ca="1">IF($A39="","",IF(IF(BX$2&lt;=$A$1,1,0),IF(BX$4="休","",IF(COUNTIF(DATA!BY:BY,$A:$A)=0,"×","√")),""))</f>
        <v/>
      </c>
      <c r="BY39" s="32" t="str">
        <f ca="1">IF($A39="","",IF(IF(BY$2&lt;=$A$1,1,0),IF(BY$4="休","",IF(COUNTIF(DATA!BZ:BZ,$A:$A)=0,"×","√")),""))</f>
        <v/>
      </c>
      <c r="BZ39" s="32" t="str">
        <f ca="1">IF($A39="","",IF(IF(BZ$2&lt;=$A$1,1,0),IF(BZ$4="休","",IF(COUNTIF(DATA!CA:CA,$A:$A)=0,"×","√")),""))</f>
        <v/>
      </c>
      <c r="CA39" s="32" t="str">
        <f ca="1">IF($A39="","",IF(IF(CA$2&lt;=$A$1,1,0),IF(CA$4="休","",IF(COUNTIF(DATA!CB:CB,$A:$A)=0,"×","√")),""))</f>
        <v/>
      </c>
      <c r="CB39" s="32" t="str">
        <f ca="1">IF($A39="","",IF(IF(CB$2&lt;=$A$1,1,0),IF(CB$4="休","",IF(COUNTIF(DATA!CC:CC,$A:$A)=0,"×","√")),""))</f>
        <v/>
      </c>
      <c r="CC39" s="32" t="str">
        <f ca="1">IF($A39="","",IF(IF(CC$2&lt;=$A$1,1,0),IF(CC$4="休","",IF(COUNTIF(DATA!CD:CD,$A:$A)=0,"×","√")),""))</f>
        <v/>
      </c>
      <c r="CD39" s="32" t="str">
        <f ca="1">IF($A39="","",IF(IF(CD$2&lt;=$A$1,1,0),IF(CD$4="休","",IF(COUNTIF(DATA!CE:CE,$A:$A)=0,"×","√")),""))</f>
        <v/>
      </c>
      <c r="CE39" s="32" t="str">
        <f ca="1">IF($A39="","",IF(IF(CE$2&lt;=$A$1,1,0),IF(CE$4="休","",IF(COUNTIF(DATA!CF:CF,$A:$A)=0,"×","√")),""))</f>
        <v/>
      </c>
      <c r="CF39" s="32" t="str">
        <f ca="1">IF($A39="","",IF(IF(CF$2&lt;=$A$1,1,0),IF(CF$4="休","",IF(COUNTIF(DATA!CG:CG,$A:$A)=0,"×","√")),""))</f>
        <v/>
      </c>
      <c r="CG39" s="32" t="str">
        <f ca="1">IF($A39="","",IF(IF(CG$2&lt;=$A$1,1,0),IF(CG$4="休","",IF(COUNTIF(DATA!CH:CH,$A:$A)=0,"×","√")),""))</f>
        <v/>
      </c>
      <c r="CH39" s="32" t="str">
        <f ca="1">IF($A39="","",IF(IF(CH$2&lt;=$A$1,1,0),IF(CH$4="休","",IF(COUNTIF(DATA!CI:CI,$A:$A)=0,"×","√")),""))</f>
        <v/>
      </c>
      <c r="CI39" s="32" t="str">
        <f ca="1">IF($A39="","",IF(IF(CI$2&lt;=$A$1,1,0),IF(CI$4="休","",IF(COUNTIF(DATA!CJ:CJ,$A:$A)=0,"×","√")),""))</f>
        <v/>
      </c>
      <c r="CJ39" s="32" t="str">
        <f ca="1">IF($A39="","",IF(IF(CJ$2&lt;=$A$1,1,0),IF(CJ$4="休","",IF(COUNTIF(DATA!CK:CK,$A:$A)=0,"×","√")),""))</f>
        <v/>
      </c>
      <c r="CK39" s="32" t="str">
        <f ca="1">IF($A39="","",IF(IF(CK$2&lt;=$A$1,1,0),IF(CK$4="休","",IF(COUNTIF(DATA!CL:CL,$A:$A)=0,"×","√")),""))</f>
        <v/>
      </c>
      <c r="CL39" s="32" t="str">
        <f ca="1">IF($A39="","",IF(IF(CL$2&lt;=$A$1,1,0),IF(CL$4="休","",IF(COUNTIF(DATA!CM:CM,$A:$A)=0,"×","√")),""))</f>
        <v/>
      </c>
      <c r="CM39" s="32" t="str">
        <f ca="1">IF($A39="","",IF(IF(CM$2&lt;=$A$1,1,0),IF(CM$4="休","",IF(COUNTIF(DATA!CN:CN,$A:$A)=0,"×","√")),""))</f>
        <v/>
      </c>
      <c r="CN39" s="32" t="str">
        <f ca="1">IF($A39="","",IF(IF(CN$2&lt;=$A$1,1,0),IF(CN$4="休","",IF(COUNTIF(DATA!CO:CO,$A:$A)=0,"×","√")),""))</f>
        <v/>
      </c>
      <c r="CO39" s="32" t="str">
        <f ca="1">IF($A39="","",IF(IF(CO$2&lt;=$A$1,1,0),IF(CO$4="休","",IF(COUNTIF(DATA!CP:CP,$A:$A)=0,"×","√")),""))</f>
        <v/>
      </c>
      <c r="CP39" s="32" t="str">
        <f ca="1">IF($A39="","",IF(IF(CP$2&lt;=$A$1,1,0),IF(CP$4="休","",IF(COUNTIF(DATA!CQ:CQ,$A:$A)=0,"×","√")),""))</f>
        <v/>
      </c>
      <c r="CQ39" s="32" t="str">
        <f ca="1">IF($A39="","",IF(IF(CQ$2&lt;=$A$1,1,0),IF(CQ$4="休","",IF(COUNTIF(DATA!CR:CR,$A:$A)=0,"×","√")),""))</f>
        <v/>
      </c>
      <c r="CR39" s="32" t="str">
        <f ca="1">IF($A39="","",IF(IF(CR$2&lt;=$A$1,1,0),IF(CR$4="休","",IF(COUNTIF(DATA!CS:CS,$A:$A)=0,"×","√")),""))</f>
        <v/>
      </c>
    </row>
    <row r="40" s="26" customFormat="1" ht="18.75" spans="1:96">
      <c r="A40" s="32" t="str">
        <f>DATA!$A39&amp;""</f>
        <v>陈相</v>
      </c>
      <c r="B40" s="32" t="str">
        <f ca="1">IF($A40="","",IF(IF(B$2&lt;=$A$1,1,0),IF(B$4="休","",IF(COUNTIF(DATA!C:C,$A:$A)=0,"×","√")),""))</f>
        <v>√</v>
      </c>
      <c r="C40" s="32" t="str">
        <f ca="1">IF($A40="","",IF(IF(C$2&lt;=$A$1,1,0),IF(C$4="休","",IF(COUNTIF(DATA!D:D,$A:$A)=0,"×","√")),""))</f>
        <v>√</v>
      </c>
      <c r="D40" s="32" t="str">
        <f ca="1">IF($A40="","",IF(IF(D$2&lt;=$A$1,1,0),IF(D$4="休","",IF(COUNTIF(DATA!E:E,$A:$A)=0,"×","√")),""))</f>
        <v>√</v>
      </c>
      <c r="E40" s="32" t="str">
        <f ca="1">IF($A40="","",IF(IF(E$2&lt;=$A$1,1,0),IF(E$4="休","",IF(COUNTIF(DATA!F:F,$A:$A)=0,"×","√")),""))</f>
        <v>√</v>
      </c>
      <c r="F40" s="32" t="str">
        <f ca="1">IF($A40="","",IF(IF(F$2&lt;=$A$1,1,0),IF(F$4="休","",IF(COUNTIF(DATA!G:G,$A:$A)=0,"×","√")),""))</f>
        <v>√</v>
      </c>
      <c r="G40" s="32" t="str">
        <f ca="1">IF($A40="","",IF(IF(G$2&lt;=$A$1,1,0),IF(G$4="休","",IF(COUNTIF(DATA!H:H,$A:$A)=0,"×","√")),""))</f>
        <v>√</v>
      </c>
      <c r="H40" s="32" t="str">
        <f ca="1">IF($A40="","",IF(IF(H$2&lt;=$A$1,1,0),IF(H$4="休","",IF(COUNTIF(DATA!I:I,$A:$A)=0,"×","√")),""))</f>
        <v>√</v>
      </c>
      <c r="I40" s="32" t="str">
        <f ca="1">IF($A40="","",IF(IF(I$2&lt;=$A$1,1,0),IF(I$4="休","",IF(COUNTIF(DATA!J:J,$A:$A)=0,"×","√")),""))</f>
        <v>√</v>
      </c>
      <c r="J40" s="32" t="str">
        <f ca="1">IF($A40="","",IF(IF(J$2&lt;=$A$1,1,0),IF(J$4="休","",IF(COUNTIF(DATA!K:K,$A:$A)=0,"×","√")),""))</f>
        <v/>
      </c>
      <c r="K40" s="32" t="str">
        <f ca="1">IF($A40="","",IF(IF(K$2&lt;=$A$1,1,0),IF(K$4="休","",IF(COUNTIF(DATA!L:L,$A:$A)=0,"×","√")),""))</f>
        <v/>
      </c>
      <c r="L40" s="32" t="str">
        <f ca="1">IF($A40="","",IF(IF(L$2&lt;=$A$1,1,0),IF(L$4="休","",IF(COUNTIF(DATA!M:M,$A:$A)=0,"×","√")),""))</f>
        <v/>
      </c>
      <c r="M40" s="32" t="str">
        <f ca="1">IF($A40="","",IF(IF(M$2&lt;=$A$1,1,0),IF(M$4="休","",IF(COUNTIF(DATA!N:N,$A:$A)=0,"×","√")),""))</f>
        <v/>
      </c>
      <c r="N40" s="32" t="str">
        <f ca="1">IF($A40="","",IF(IF(N$2&lt;=$A$1,1,0),IF(N$4="休","",IF(COUNTIF(DATA!O:O,$A:$A)=0,"×","√")),""))</f>
        <v/>
      </c>
      <c r="O40" s="32" t="str">
        <f ca="1">IF($A40="","",IF(IF(O$2&lt;=$A$1,1,0),IF(O$4="休","",IF(COUNTIF(DATA!P:P,$A:$A)=0,"×","√")),""))</f>
        <v/>
      </c>
      <c r="P40" s="32" t="str">
        <f ca="1">IF($A40="","",IF(IF(P$2&lt;=$A$1,1,0),IF(P$4="休","",IF(COUNTIF(DATA!Q:Q,$A:$A)=0,"×","√")),""))</f>
        <v/>
      </c>
      <c r="Q40" s="32" t="str">
        <f ca="1">IF($A40="","",IF(IF(Q$2&lt;=$A$1,1,0),IF(Q$4="休","",IF(COUNTIF(DATA!R:R,$A:$A)=0,"×","√")),""))</f>
        <v/>
      </c>
      <c r="R40" s="32" t="str">
        <f ca="1">IF($A40="","",IF(IF(R$2&lt;=$A$1,1,0),IF(R$4="休","",IF(COUNTIF(DATA!S:S,$A:$A)=0,"×","√")),""))</f>
        <v/>
      </c>
      <c r="S40" s="32" t="str">
        <f ca="1">IF($A40="","",IF(IF(S$2&lt;=$A$1,1,0),IF(S$4="休","",IF(COUNTIF(DATA!T:T,$A:$A)=0,"×","√")),""))</f>
        <v/>
      </c>
      <c r="T40" s="32" t="str">
        <f ca="1">IF($A40="","",IF(IF(T$2&lt;=$A$1,1,0),IF(T$4="休","",IF(COUNTIF(DATA!U:U,$A:$A)=0,"×","√")),""))</f>
        <v/>
      </c>
      <c r="U40" s="32" t="str">
        <f ca="1">IF($A40="","",IF(IF(U$2&lt;=$A$1,1,0),IF(U$4="休","",IF(COUNTIF(DATA!V:V,$A:$A)=0,"×","√")),""))</f>
        <v/>
      </c>
      <c r="V40" s="32" t="str">
        <f ca="1">IF($A40="","",IF(IF(V$2&lt;=$A$1,1,0),IF(V$4="休","",IF(COUNTIF(DATA!W:W,$A:$A)=0,"×","√")),""))</f>
        <v/>
      </c>
      <c r="W40" s="32" t="str">
        <f ca="1">IF($A40="","",IF(IF(W$2&lt;=$A$1,1,0),IF(W$4="休","",IF(COUNTIF(DATA!X:X,$A:$A)=0,"×","√")),""))</f>
        <v/>
      </c>
      <c r="X40" s="32" t="str">
        <f ca="1">IF($A40="","",IF(IF(X$2&lt;=$A$1,1,0),IF(X$4="休","",IF(COUNTIF(DATA!Y:Y,$A:$A)=0,"×","√")),""))</f>
        <v/>
      </c>
      <c r="Y40" s="32" t="str">
        <f ca="1">IF($A40="","",IF(IF(Y$2&lt;=$A$1,1,0),IF(Y$4="休","",IF(COUNTIF(DATA!Z:Z,$A:$A)=0,"×","√")),""))</f>
        <v/>
      </c>
      <c r="Z40" s="32" t="str">
        <f ca="1">IF($A40="","",IF(IF(Z$2&lt;=$A$1,1,0),IF(Z$4="休","",IF(COUNTIF(DATA!AA:AA,$A:$A)=0,"×","√")),""))</f>
        <v/>
      </c>
      <c r="AA40" s="32" t="str">
        <f ca="1">IF($A40="","",IF(IF(AA$2&lt;=$A$1,1,0),IF(AA$4="休","",IF(COUNTIF(DATA!AB:AB,$A:$A)=0,"×","√")),""))</f>
        <v/>
      </c>
      <c r="AB40" s="32" t="str">
        <f ca="1">IF($A40="","",IF(IF(AB$2&lt;=$A$1,1,0),IF(AB$4="休","",IF(COUNTIF(DATA!AC:AC,$A:$A)=0,"×","√")),""))</f>
        <v/>
      </c>
      <c r="AC40" s="32" t="str">
        <f ca="1">IF($A40="","",IF(IF(AC$2&lt;=$A$1,1,0),IF(AC$4="休","",IF(COUNTIF(DATA!AD:AD,$A:$A)=0,"×","√")),""))</f>
        <v/>
      </c>
      <c r="AD40" s="32" t="str">
        <f ca="1">IF($A40="","",IF(IF(AD$2&lt;=$A$1,1,0),IF(AD$4="休","",IF(COUNTIF(DATA!AE:AE,$A:$A)=0,"×","√")),""))</f>
        <v/>
      </c>
      <c r="AE40" s="32" t="str">
        <f ca="1">IF($A40="","",IF(IF(AE$2&lt;=$A$1,1,0),IF(AE$4="休","",IF(COUNTIF(DATA!AF:AF,$A:$A)=0,"×","√")),""))</f>
        <v/>
      </c>
      <c r="AF40" s="32" t="str">
        <f ca="1">IF($A40="","",IF(IF(AF$2&lt;=$A$1,1,0),IF(AF$4="休","",IF(COUNTIF(DATA!AG:AG,$A:$A)=0,"×","√")),""))</f>
        <v/>
      </c>
      <c r="AG40" s="32" t="str">
        <f ca="1">IF($A40="","",IF(IF(AG$2&lt;=$A$1,1,0),IF(AG$4="休","",IF(COUNTIF(DATA!AH:AH,$A:$A)=0,"×","√")),""))</f>
        <v/>
      </c>
      <c r="AH40" s="32" t="str">
        <f ca="1">IF($A40="","",IF(IF(AH$2&lt;=$A$1,1,0),IF(AH$4="休","",IF(COUNTIF(DATA!AI:AI,$A:$A)=0,"×","√")),""))</f>
        <v/>
      </c>
      <c r="AI40" s="32" t="str">
        <f ca="1">IF($A40="","",IF(IF(AI$2&lt;=$A$1,1,0),IF(AI$4="休","",IF(COUNTIF(DATA!AJ:AJ,$A:$A)=0,"×","√")),""))</f>
        <v/>
      </c>
      <c r="AJ40" s="32" t="str">
        <f ca="1">IF($A40="","",IF(IF(AJ$2&lt;=$A$1,1,0),IF(AJ$4="休","",IF(COUNTIF(DATA!AK:AK,$A:$A)=0,"×","√")),""))</f>
        <v/>
      </c>
      <c r="AK40" s="32" t="str">
        <f ca="1">IF($A40="","",IF(IF(AK$2&lt;=$A$1,1,0),IF(AK$4="休","",IF(COUNTIF(DATA!AL:AL,$A:$A)=0,"×","√")),""))</f>
        <v/>
      </c>
      <c r="AL40" s="32" t="str">
        <f ca="1">IF($A40="","",IF(IF(AL$2&lt;=$A$1,1,0),IF(AL$4="休","",IF(COUNTIF(DATA!AM:AM,$A:$A)=0,"×","√")),""))</f>
        <v/>
      </c>
      <c r="AM40" s="32" t="str">
        <f ca="1">IF($A40="","",IF(IF(AM$2&lt;=$A$1,1,0),IF(AM$4="休","",IF(COUNTIF(DATA!AN:AN,$A:$A)=0,"×","√")),""))</f>
        <v/>
      </c>
      <c r="AN40" s="32" t="str">
        <f ca="1">IF($A40="","",IF(IF(AN$2&lt;=$A$1,1,0),IF(AN$4="休","",IF(COUNTIF(DATA!AO:AO,$A:$A)=0,"×","√")),""))</f>
        <v/>
      </c>
      <c r="AO40" s="32" t="str">
        <f ca="1">IF($A40="","",IF(IF(AO$2&lt;=$A$1,1,0),IF(AO$4="休","",IF(COUNTIF(DATA!AP:AP,$A:$A)=0,"×","√")),""))</f>
        <v/>
      </c>
      <c r="AP40" s="32" t="str">
        <f ca="1">IF($A40="","",IF(IF(AP$2&lt;=$A$1,1,0),IF(AP$4="休","",IF(COUNTIF(DATA!AQ:AQ,$A:$A)=0,"×","√")),""))</f>
        <v/>
      </c>
      <c r="AQ40" s="32" t="str">
        <f ca="1">IF($A40="","",IF(IF(AQ$2&lt;=$A$1,1,0),IF(AQ$4="休","",IF(COUNTIF(DATA!AR:AR,$A:$A)=0,"×","√")),""))</f>
        <v/>
      </c>
      <c r="AR40" s="32" t="str">
        <f ca="1">IF($A40="","",IF(IF(AR$2&lt;=$A$1,1,0),IF(AR$4="休","",IF(COUNTIF(DATA!AS:AS,$A:$A)=0,"×","√")),""))</f>
        <v/>
      </c>
      <c r="AS40" s="32" t="str">
        <f ca="1">IF($A40="","",IF(IF(AS$2&lt;=$A$1,1,0),IF(AS$4="休","",IF(COUNTIF(DATA!AT:AT,$A:$A)=0,"×","√")),""))</f>
        <v/>
      </c>
      <c r="AT40" s="32" t="str">
        <f ca="1">IF($A40="","",IF(IF(AT$2&lt;=$A$1,1,0),IF(AT$4="休","",IF(COUNTIF(DATA!AU:AU,$A:$A)=0,"×","√")),""))</f>
        <v/>
      </c>
      <c r="AU40" s="32" t="str">
        <f ca="1">IF($A40="","",IF(IF(AU$2&lt;=$A$1,1,0),IF(AU$4="休","",IF(COUNTIF(DATA!AV:AV,$A:$A)=0,"×","√")),""))</f>
        <v/>
      </c>
      <c r="AV40" s="32" t="str">
        <f ca="1">IF($A40="","",IF(IF(AV$2&lt;=$A$1,1,0),IF(AV$4="休","",IF(COUNTIF(DATA!AW:AW,$A:$A)=0,"×","√")),""))</f>
        <v/>
      </c>
      <c r="AW40" s="32" t="str">
        <f ca="1">IF($A40="","",IF(IF(AW$2&lt;=$A$1,1,0),IF(AW$4="休","",IF(COUNTIF(DATA!AX:AX,$A:$A)=0,"×","√")),""))</f>
        <v/>
      </c>
      <c r="AX40" s="32" t="str">
        <f ca="1">IF($A40="","",IF(IF(AX$2&lt;=$A$1,1,0),IF(AX$4="休","",IF(COUNTIF(DATA!AY:AY,$A:$A)=0,"×","√")),""))</f>
        <v/>
      </c>
      <c r="AY40" s="32" t="str">
        <f ca="1">IF($A40="","",IF(IF(AY$2&lt;=$A$1,1,0),IF(AY$4="休","",IF(COUNTIF(DATA!AZ:AZ,$A:$A)=0,"×","√")),""))</f>
        <v/>
      </c>
      <c r="AZ40" s="32" t="str">
        <f ca="1">IF($A40="","",IF(IF(AZ$2&lt;=$A$1,1,0),IF(AZ$4="休","",IF(COUNTIF(DATA!BA:BA,$A:$A)=0,"×","√")),""))</f>
        <v/>
      </c>
      <c r="BA40" s="32" t="str">
        <f ca="1">IF($A40="","",IF(IF(BA$2&lt;=$A$1,1,0),IF(BA$4="休","",IF(COUNTIF(DATA!BB:BB,$A:$A)=0,"×","√")),""))</f>
        <v/>
      </c>
      <c r="BB40" s="32" t="str">
        <f ca="1">IF($A40="","",IF(IF(BB$2&lt;=$A$1,1,0),IF(BB$4="休","",IF(COUNTIF(DATA!BC:BC,$A:$A)=0,"×","√")),""))</f>
        <v/>
      </c>
      <c r="BC40" s="32" t="str">
        <f ca="1">IF($A40="","",IF(IF(BC$2&lt;=$A$1,1,0),IF(BC$4="休","",IF(COUNTIF(DATA!BD:BD,$A:$A)=0,"×","√")),""))</f>
        <v/>
      </c>
      <c r="BD40" s="32" t="str">
        <f ca="1">IF($A40="","",IF(IF(BD$2&lt;=$A$1,1,0),IF(BD$4="休","",IF(COUNTIF(DATA!BE:BE,$A:$A)=0,"×","√")),""))</f>
        <v/>
      </c>
      <c r="BE40" s="32" t="str">
        <f ca="1">IF($A40="","",IF(IF(BE$2&lt;=$A$1,1,0),IF(BE$4="休","",IF(COUNTIF(DATA!BF:BF,$A:$A)=0,"×","√")),""))</f>
        <v/>
      </c>
      <c r="BF40" s="32" t="str">
        <f ca="1">IF($A40="","",IF(IF(BF$2&lt;=$A$1,1,0),IF(BF$4="休","",IF(COUNTIF(DATA!BG:BG,$A:$A)=0,"×","√")),""))</f>
        <v/>
      </c>
      <c r="BG40" s="32" t="str">
        <f ca="1">IF($A40="","",IF(IF(BG$2&lt;=$A$1,1,0),IF(BG$4="休","",IF(COUNTIF(DATA!BH:BH,$A:$A)=0,"×","√")),""))</f>
        <v/>
      </c>
      <c r="BH40" s="32" t="str">
        <f ca="1">IF($A40="","",IF(IF(BH$2&lt;=$A$1,1,0),IF(BH$4="休","",IF(COUNTIF(DATA!BI:BI,$A:$A)=0,"×","√")),""))</f>
        <v/>
      </c>
      <c r="BI40" s="32" t="str">
        <f ca="1">IF($A40="","",IF(IF(BI$2&lt;=$A$1,1,0),IF(BI$4="休","",IF(COUNTIF(DATA!BJ:BJ,$A:$A)=0,"×","√")),""))</f>
        <v/>
      </c>
      <c r="BJ40" s="32" t="str">
        <f ca="1">IF($A40="","",IF(IF(BJ$2&lt;=$A$1,1,0),IF(BJ$4="休","",IF(COUNTIF(DATA!BK:BK,$A:$A)=0,"×","√")),""))</f>
        <v/>
      </c>
      <c r="BK40" s="32" t="str">
        <f ca="1">IF($A40="","",IF(IF(BK$2&lt;=$A$1,1,0),IF(BK$4="休","",IF(COUNTIF(DATA!BL:BL,$A:$A)=0,"×","√")),""))</f>
        <v/>
      </c>
      <c r="BL40" s="32" t="str">
        <f ca="1">IF($A40="","",IF(IF(BL$2&lt;=$A$1,1,0),IF(BL$4="休","",IF(COUNTIF(DATA!BM:BM,$A:$A)=0,"×","√")),""))</f>
        <v/>
      </c>
      <c r="BM40" s="32" t="str">
        <f ca="1">IF($A40="","",IF(IF(BM$2&lt;=$A$1,1,0),IF(BM$4="休","",IF(COUNTIF(DATA!BN:BN,$A:$A)=0,"×","√")),""))</f>
        <v/>
      </c>
      <c r="BN40" s="32" t="str">
        <f ca="1">IF($A40="","",IF(IF(BN$2&lt;=$A$1,1,0),IF(BN$4="休","",IF(COUNTIF(DATA!BO:BO,$A:$A)=0,"×","√")),""))</f>
        <v/>
      </c>
      <c r="BO40" s="32" t="str">
        <f ca="1">IF($A40="","",IF(IF(BO$2&lt;=$A$1,1,0),IF(BO$4="休","",IF(COUNTIF(DATA!BP:BP,$A:$A)=0,"×","√")),""))</f>
        <v/>
      </c>
      <c r="BP40" s="32" t="str">
        <f ca="1">IF($A40="","",IF(IF(BP$2&lt;=$A$1,1,0),IF(BP$4="休","",IF(COUNTIF(DATA!BQ:BQ,$A:$A)=0,"×","√")),""))</f>
        <v/>
      </c>
      <c r="BQ40" s="32" t="str">
        <f ca="1">IF($A40="","",IF(IF(BQ$2&lt;=$A$1,1,0),IF(BQ$4="休","",IF(COUNTIF(DATA!BR:BR,$A:$A)=0,"×","√")),""))</f>
        <v/>
      </c>
      <c r="BR40" s="32" t="str">
        <f ca="1">IF($A40="","",IF(IF(BR$2&lt;=$A$1,1,0),IF(BR$4="休","",IF(COUNTIF(DATA!BS:BS,$A:$A)=0,"×","√")),""))</f>
        <v/>
      </c>
      <c r="BS40" s="32" t="str">
        <f ca="1">IF($A40="","",IF(IF(BS$2&lt;=$A$1,1,0),IF(BS$4="休","",IF(COUNTIF(DATA!BT:BT,$A:$A)=0,"×","√")),""))</f>
        <v/>
      </c>
      <c r="BT40" s="32" t="str">
        <f ca="1">IF($A40="","",IF(IF(BT$2&lt;=$A$1,1,0),IF(BT$4="休","",IF(COUNTIF(DATA!BU:BU,$A:$A)=0,"×","√")),""))</f>
        <v/>
      </c>
      <c r="BU40" s="32" t="str">
        <f ca="1">IF($A40="","",IF(IF(BU$2&lt;=$A$1,1,0),IF(BU$4="休","",IF(COUNTIF(DATA!BV:BV,$A:$A)=0,"×","√")),""))</f>
        <v/>
      </c>
      <c r="BV40" s="32" t="str">
        <f ca="1">IF($A40="","",IF(IF(BV$2&lt;=$A$1,1,0),IF(BV$4="休","",IF(COUNTIF(DATA!BW:BW,$A:$A)=0,"×","√")),""))</f>
        <v/>
      </c>
      <c r="BW40" s="32" t="str">
        <f ca="1">IF($A40="","",IF(IF(BW$2&lt;=$A$1,1,0),IF(BW$4="休","",IF(COUNTIF(DATA!BX:BX,$A:$A)=0,"×","√")),""))</f>
        <v/>
      </c>
      <c r="BX40" s="32" t="str">
        <f ca="1">IF($A40="","",IF(IF(BX$2&lt;=$A$1,1,0),IF(BX$4="休","",IF(COUNTIF(DATA!BY:BY,$A:$A)=0,"×","√")),""))</f>
        <v/>
      </c>
      <c r="BY40" s="32" t="str">
        <f ca="1">IF($A40="","",IF(IF(BY$2&lt;=$A$1,1,0),IF(BY$4="休","",IF(COUNTIF(DATA!BZ:BZ,$A:$A)=0,"×","√")),""))</f>
        <v/>
      </c>
      <c r="BZ40" s="32" t="str">
        <f ca="1">IF($A40="","",IF(IF(BZ$2&lt;=$A$1,1,0),IF(BZ$4="休","",IF(COUNTIF(DATA!CA:CA,$A:$A)=0,"×","√")),""))</f>
        <v/>
      </c>
      <c r="CA40" s="32" t="str">
        <f ca="1">IF($A40="","",IF(IF(CA$2&lt;=$A$1,1,0),IF(CA$4="休","",IF(COUNTIF(DATA!CB:CB,$A:$A)=0,"×","√")),""))</f>
        <v/>
      </c>
      <c r="CB40" s="32" t="str">
        <f ca="1">IF($A40="","",IF(IF(CB$2&lt;=$A$1,1,0),IF(CB$4="休","",IF(COUNTIF(DATA!CC:CC,$A:$A)=0,"×","√")),""))</f>
        <v/>
      </c>
      <c r="CC40" s="32" t="str">
        <f ca="1">IF($A40="","",IF(IF(CC$2&lt;=$A$1,1,0),IF(CC$4="休","",IF(COUNTIF(DATA!CD:CD,$A:$A)=0,"×","√")),""))</f>
        <v/>
      </c>
      <c r="CD40" s="32" t="str">
        <f ca="1">IF($A40="","",IF(IF(CD$2&lt;=$A$1,1,0),IF(CD$4="休","",IF(COUNTIF(DATA!CE:CE,$A:$A)=0,"×","√")),""))</f>
        <v/>
      </c>
      <c r="CE40" s="32" t="str">
        <f ca="1">IF($A40="","",IF(IF(CE$2&lt;=$A$1,1,0),IF(CE$4="休","",IF(COUNTIF(DATA!CF:CF,$A:$A)=0,"×","√")),""))</f>
        <v/>
      </c>
      <c r="CF40" s="32" t="str">
        <f ca="1">IF($A40="","",IF(IF(CF$2&lt;=$A$1,1,0),IF(CF$4="休","",IF(COUNTIF(DATA!CG:CG,$A:$A)=0,"×","√")),""))</f>
        <v/>
      </c>
      <c r="CG40" s="32" t="str">
        <f ca="1">IF($A40="","",IF(IF(CG$2&lt;=$A$1,1,0),IF(CG$4="休","",IF(COUNTIF(DATA!CH:CH,$A:$A)=0,"×","√")),""))</f>
        <v/>
      </c>
      <c r="CH40" s="32" t="str">
        <f ca="1">IF($A40="","",IF(IF(CH$2&lt;=$A$1,1,0),IF(CH$4="休","",IF(COUNTIF(DATA!CI:CI,$A:$A)=0,"×","√")),""))</f>
        <v/>
      </c>
      <c r="CI40" s="32" t="str">
        <f ca="1">IF($A40="","",IF(IF(CI$2&lt;=$A$1,1,0),IF(CI$4="休","",IF(COUNTIF(DATA!CJ:CJ,$A:$A)=0,"×","√")),""))</f>
        <v/>
      </c>
      <c r="CJ40" s="32" t="str">
        <f ca="1">IF($A40="","",IF(IF(CJ$2&lt;=$A$1,1,0),IF(CJ$4="休","",IF(COUNTIF(DATA!CK:CK,$A:$A)=0,"×","√")),""))</f>
        <v/>
      </c>
      <c r="CK40" s="32" t="str">
        <f ca="1">IF($A40="","",IF(IF(CK$2&lt;=$A$1,1,0),IF(CK$4="休","",IF(COUNTIF(DATA!CL:CL,$A:$A)=0,"×","√")),""))</f>
        <v/>
      </c>
      <c r="CL40" s="32" t="str">
        <f ca="1">IF($A40="","",IF(IF(CL$2&lt;=$A$1,1,0),IF(CL$4="休","",IF(COUNTIF(DATA!CM:CM,$A:$A)=0,"×","√")),""))</f>
        <v/>
      </c>
      <c r="CM40" s="32" t="str">
        <f ca="1">IF($A40="","",IF(IF(CM$2&lt;=$A$1,1,0),IF(CM$4="休","",IF(COUNTIF(DATA!CN:CN,$A:$A)=0,"×","√")),""))</f>
        <v/>
      </c>
      <c r="CN40" s="32" t="str">
        <f ca="1">IF($A40="","",IF(IF(CN$2&lt;=$A$1,1,0),IF(CN$4="休","",IF(COUNTIF(DATA!CO:CO,$A:$A)=0,"×","√")),""))</f>
        <v/>
      </c>
      <c r="CO40" s="32" t="str">
        <f ca="1">IF($A40="","",IF(IF(CO$2&lt;=$A$1,1,0),IF(CO$4="休","",IF(COUNTIF(DATA!CP:CP,$A:$A)=0,"×","√")),""))</f>
        <v/>
      </c>
      <c r="CP40" s="32" t="str">
        <f ca="1">IF($A40="","",IF(IF(CP$2&lt;=$A$1,1,0),IF(CP$4="休","",IF(COUNTIF(DATA!CQ:CQ,$A:$A)=0,"×","√")),""))</f>
        <v/>
      </c>
      <c r="CQ40" s="32" t="str">
        <f ca="1">IF($A40="","",IF(IF(CQ$2&lt;=$A$1,1,0),IF(CQ$4="休","",IF(COUNTIF(DATA!CR:CR,$A:$A)=0,"×","√")),""))</f>
        <v/>
      </c>
      <c r="CR40" s="32" t="str">
        <f ca="1">IF($A40="","",IF(IF(CR$2&lt;=$A$1,1,0),IF(CR$4="休","",IF(COUNTIF(DATA!CS:CS,$A:$A)=0,"×","√")),""))</f>
        <v/>
      </c>
    </row>
    <row r="41" s="26" customFormat="1" ht="18.75" spans="1:96">
      <c r="A41" s="32" t="str">
        <f>DATA!$A40&amp;""</f>
        <v>柯宇豪</v>
      </c>
      <c r="B41" s="32" t="str">
        <f ca="1">IF($A41="","",IF(IF(B$2&lt;=$A$1,1,0),IF(B$4="休","",IF(COUNTIF(DATA!C:C,$A:$A)=0,"×","√")),""))</f>
        <v>√</v>
      </c>
      <c r="C41" s="32" t="str">
        <f ca="1">IF($A41="","",IF(IF(C$2&lt;=$A$1,1,0),IF(C$4="休","",IF(COUNTIF(DATA!D:D,$A:$A)=0,"×","√")),""))</f>
        <v>√</v>
      </c>
      <c r="D41" s="32" t="str">
        <f ca="1">IF($A41="","",IF(IF(D$2&lt;=$A$1,1,0),IF(D$4="休","",IF(COUNTIF(DATA!E:E,$A:$A)=0,"×","√")),""))</f>
        <v>√</v>
      </c>
      <c r="E41" s="32" t="str">
        <f ca="1">IF($A41="","",IF(IF(E$2&lt;=$A$1,1,0),IF(E$4="休","",IF(COUNTIF(DATA!F:F,$A:$A)=0,"×","√")),""))</f>
        <v>√</v>
      </c>
      <c r="F41" s="32" t="str">
        <f ca="1">IF($A41="","",IF(IF(F$2&lt;=$A$1,1,0),IF(F$4="休","",IF(COUNTIF(DATA!G:G,$A:$A)=0,"×","√")),""))</f>
        <v>√</v>
      </c>
      <c r="G41" s="32" t="str">
        <f ca="1">IF($A41="","",IF(IF(G$2&lt;=$A$1,1,0),IF(G$4="休","",IF(COUNTIF(DATA!H:H,$A:$A)=0,"×","√")),""))</f>
        <v>√</v>
      </c>
      <c r="H41" s="32" t="str">
        <f ca="1">IF($A41="","",IF(IF(H$2&lt;=$A$1,1,0),IF(H$4="休","",IF(COUNTIF(DATA!I:I,$A:$A)=0,"×","√")),""))</f>
        <v>√</v>
      </c>
      <c r="I41" s="32" t="str">
        <f ca="1">IF($A41="","",IF(IF(I$2&lt;=$A$1,1,0),IF(I$4="休","",IF(COUNTIF(DATA!J:J,$A:$A)=0,"×","√")),""))</f>
        <v>√</v>
      </c>
      <c r="J41" s="32" t="str">
        <f ca="1">IF($A41="","",IF(IF(J$2&lt;=$A$1,1,0),IF(J$4="休","",IF(COUNTIF(DATA!K:K,$A:$A)=0,"×","√")),""))</f>
        <v/>
      </c>
      <c r="K41" s="32" t="str">
        <f ca="1">IF($A41="","",IF(IF(K$2&lt;=$A$1,1,0),IF(K$4="休","",IF(COUNTIF(DATA!L:L,$A:$A)=0,"×","√")),""))</f>
        <v/>
      </c>
      <c r="L41" s="32" t="str">
        <f ca="1">IF($A41="","",IF(IF(L$2&lt;=$A$1,1,0),IF(L$4="休","",IF(COUNTIF(DATA!M:M,$A:$A)=0,"×","√")),""))</f>
        <v/>
      </c>
      <c r="M41" s="32" t="str">
        <f ca="1">IF($A41="","",IF(IF(M$2&lt;=$A$1,1,0),IF(M$4="休","",IF(COUNTIF(DATA!N:N,$A:$A)=0,"×","√")),""))</f>
        <v/>
      </c>
      <c r="N41" s="32" t="str">
        <f ca="1">IF($A41="","",IF(IF(N$2&lt;=$A$1,1,0),IF(N$4="休","",IF(COUNTIF(DATA!O:O,$A:$A)=0,"×","√")),""))</f>
        <v/>
      </c>
      <c r="O41" s="32" t="str">
        <f ca="1">IF($A41="","",IF(IF(O$2&lt;=$A$1,1,0),IF(O$4="休","",IF(COUNTIF(DATA!P:P,$A:$A)=0,"×","√")),""))</f>
        <v/>
      </c>
      <c r="P41" s="32" t="str">
        <f ca="1">IF($A41="","",IF(IF(P$2&lt;=$A$1,1,0),IF(P$4="休","",IF(COUNTIF(DATA!Q:Q,$A:$A)=0,"×","√")),""))</f>
        <v/>
      </c>
      <c r="Q41" s="32" t="str">
        <f ca="1">IF($A41="","",IF(IF(Q$2&lt;=$A$1,1,0),IF(Q$4="休","",IF(COUNTIF(DATA!R:R,$A:$A)=0,"×","√")),""))</f>
        <v/>
      </c>
      <c r="R41" s="32" t="str">
        <f ca="1">IF($A41="","",IF(IF(R$2&lt;=$A$1,1,0),IF(R$4="休","",IF(COUNTIF(DATA!S:S,$A:$A)=0,"×","√")),""))</f>
        <v/>
      </c>
      <c r="S41" s="32" t="str">
        <f ca="1">IF($A41="","",IF(IF(S$2&lt;=$A$1,1,0),IF(S$4="休","",IF(COUNTIF(DATA!T:T,$A:$A)=0,"×","√")),""))</f>
        <v/>
      </c>
      <c r="T41" s="32" t="str">
        <f ca="1">IF($A41="","",IF(IF(T$2&lt;=$A$1,1,0),IF(T$4="休","",IF(COUNTIF(DATA!U:U,$A:$A)=0,"×","√")),""))</f>
        <v/>
      </c>
      <c r="U41" s="32" t="str">
        <f ca="1">IF($A41="","",IF(IF(U$2&lt;=$A$1,1,0),IF(U$4="休","",IF(COUNTIF(DATA!V:V,$A:$A)=0,"×","√")),""))</f>
        <v/>
      </c>
      <c r="V41" s="32" t="str">
        <f ca="1">IF($A41="","",IF(IF(V$2&lt;=$A$1,1,0),IF(V$4="休","",IF(COUNTIF(DATA!W:W,$A:$A)=0,"×","√")),""))</f>
        <v/>
      </c>
      <c r="W41" s="32" t="str">
        <f ca="1">IF($A41="","",IF(IF(W$2&lt;=$A$1,1,0),IF(W$4="休","",IF(COUNTIF(DATA!X:X,$A:$A)=0,"×","√")),""))</f>
        <v/>
      </c>
      <c r="X41" s="32" t="str">
        <f ca="1">IF($A41="","",IF(IF(X$2&lt;=$A$1,1,0),IF(X$4="休","",IF(COUNTIF(DATA!Y:Y,$A:$A)=0,"×","√")),""))</f>
        <v/>
      </c>
      <c r="Y41" s="32" t="str">
        <f ca="1">IF($A41="","",IF(IF(Y$2&lt;=$A$1,1,0),IF(Y$4="休","",IF(COUNTIF(DATA!Z:Z,$A:$A)=0,"×","√")),""))</f>
        <v/>
      </c>
      <c r="Z41" s="32" t="str">
        <f ca="1">IF($A41="","",IF(IF(Z$2&lt;=$A$1,1,0),IF(Z$4="休","",IF(COUNTIF(DATA!AA:AA,$A:$A)=0,"×","√")),""))</f>
        <v/>
      </c>
      <c r="AA41" s="32" t="str">
        <f ca="1">IF($A41="","",IF(IF(AA$2&lt;=$A$1,1,0),IF(AA$4="休","",IF(COUNTIF(DATA!AB:AB,$A:$A)=0,"×","√")),""))</f>
        <v/>
      </c>
      <c r="AB41" s="32" t="str">
        <f ca="1">IF($A41="","",IF(IF(AB$2&lt;=$A$1,1,0),IF(AB$4="休","",IF(COUNTIF(DATA!AC:AC,$A:$A)=0,"×","√")),""))</f>
        <v/>
      </c>
      <c r="AC41" s="32" t="str">
        <f ca="1">IF($A41="","",IF(IF(AC$2&lt;=$A$1,1,0),IF(AC$4="休","",IF(COUNTIF(DATA!AD:AD,$A:$A)=0,"×","√")),""))</f>
        <v/>
      </c>
      <c r="AD41" s="32" t="str">
        <f ca="1">IF($A41="","",IF(IF(AD$2&lt;=$A$1,1,0),IF(AD$4="休","",IF(COUNTIF(DATA!AE:AE,$A:$A)=0,"×","√")),""))</f>
        <v/>
      </c>
      <c r="AE41" s="32" t="str">
        <f ca="1">IF($A41="","",IF(IF(AE$2&lt;=$A$1,1,0),IF(AE$4="休","",IF(COUNTIF(DATA!AF:AF,$A:$A)=0,"×","√")),""))</f>
        <v/>
      </c>
      <c r="AF41" s="32" t="str">
        <f ca="1">IF($A41="","",IF(IF(AF$2&lt;=$A$1,1,0),IF(AF$4="休","",IF(COUNTIF(DATA!AG:AG,$A:$A)=0,"×","√")),""))</f>
        <v/>
      </c>
      <c r="AG41" s="32" t="str">
        <f ca="1">IF($A41="","",IF(IF(AG$2&lt;=$A$1,1,0),IF(AG$4="休","",IF(COUNTIF(DATA!AH:AH,$A:$A)=0,"×","√")),""))</f>
        <v/>
      </c>
      <c r="AH41" s="32" t="str">
        <f ca="1">IF($A41="","",IF(IF(AH$2&lt;=$A$1,1,0),IF(AH$4="休","",IF(COUNTIF(DATA!AI:AI,$A:$A)=0,"×","√")),""))</f>
        <v/>
      </c>
      <c r="AI41" s="32" t="str">
        <f ca="1">IF($A41="","",IF(IF(AI$2&lt;=$A$1,1,0),IF(AI$4="休","",IF(COUNTIF(DATA!AJ:AJ,$A:$A)=0,"×","√")),""))</f>
        <v/>
      </c>
      <c r="AJ41" s="32" t="str">
        <f ca="1">IF($A41="","",IF(IF(AJ$2&lt;=$A$1,1,0),IF(AJ$4="休","",IF(COUNTIF(DATA!AK:AK,$A:$A)=0,"×","√")),""))</f>
        <v/>
      </c>
      <c r="AK41" s="32" t="str">
        <f ca="1">IF($A41="","",IF(IF(AK$2&lt;=$A$1,1,0),IF(AK$4="休","",IF(COUNTIF(DATA!AL:AL,$A:$A)=0,"×","√")),""))</f>
        <v/>
      </c>
      <c r="AL41" s="32" t="str">
        <f ca="1">IF($A41="","",IF(IF(AL$2&lt;=$A$1,1,0),IF(AL$4="休","",IF(COUNTIF(DATA!AM:AM,$A:$A)=0,"×","√")),""))</f>
        <v/>
      </c>
      <c r="AM41" s="32" t="str">
        <f ca="1">IF($A41="","",IF(IF(AM$2&lt;=$A$1,1,0),IF(AM$4="休","",IF(COUNTIF(DATA!AN:AN,$A:$A)=0,"×","√")),""))</f>
        <v/>
      </c>
      <c r="AN41" s="32" t="str">
        <f ca="1">IF($A41="","",IF(IF(AN$2&lt;=$A$1,1,0),IF(AN$4="休","",IF(COUNTIF(DATA!AO:AO,$A:$A)=0,"×","√")),""))</f>
        <v/>
      </c>
      <c r="AO41" s="32" t="str">
        <f ca="1">IF($A41="","",IF(IF(AO$2&lt;=$A$1,1,0),IF(AO$4="休","",IF(COUNTIF(DATA!AP:AP,$A:$A)=0,"×","√")),""))</f>
        <v/>
      </c>
      <c r="AP41" s="32" t="str">
        <f ca="1">IF($A41="","",IF(IF(AP$2&lt;=$A$1,1,0),IF(AP$4="休","",IF(COUNTIF(DATA!AQ:AQ,$A:$A)=0,"×","√")),""))</f>
        <v/>
      </c>
      <c r="AQ41" s="32" t="str">
        <f ca="1">IF($A41="","",IF(IF(AQ$2&lt;=$A$1,1,0),IF(AQ$4="休","",IF(COUNTIF(DATA!AR:AR,$A:$A)=0,"×","√")),""))</f>
        <v/>
      </c>
      <c r="AR41" s="32" t="str">
        <f ca="1">IF($A41="","",IF(IF(AR$2&lt;=$A$1,1,0),IF(AR$4="休","",IF(COUNTIF(DATA!AS:AS,$A:$A)=0,"×","√")),""))</f>
        <v/>
      </c>
      <c r="AS41" s="32" t="str">
        <f ca="1">IF($A41="","",IF(IF(AS$2&lt;=$A$1,1,0),IF(AS$4="休","",IF(COUNTIF(DATA!AT:AT,$A:$A)=0,"×","√")),""))</f>
        <v/>
      </c>
      <c r="AT41" s="32" t="str">
        <f ca="1">IF($A41="","",IF(IF(AT$2&lt;=$A$1,1,0),IF(AT$4="休","",IF(COUNTIF(DATA!AU:AU,$A:$A)=0,"×","√")),""))</f>
        <v/>
      </c>
      <c r="AU41" s="32" t="str">
        <f ca="1">IF($A41="","",IF(IF(AU$2&lt;=$A$1,1,0),IF(AU$4="休","",IF(COUNTIF(DATA!AV:AV,$A:$A)=0,"×","√")),""))</f>
        <v/>
      </c>
      <c r="AV41" s="32" t="str">
        <f ca="1">IF($A41="","",IF(IF(AV$2&lt;=$A$1,1,0),IF(AV$4="休","",IF(COUNTIF(DATA!AW:AW,$A:$A)=0,"×","√")),""))</f>
        <v/>
      </c>
      <c r="AW41" s="32" t="str">
        <f ca="1">IF($A41="","",IF(IF(AW$2&lt;=$A$1,1,0),IF(AW$4="休","",IF(COUNTIF(DATA!AX:AX,$A:$A)=0,"×","√")),""))</f>
        <v/>
      </c>
      <c r="AX41" s="32" t="str">
        <f ca="1">IF($A41="","",IF(IF(AX$2&lt;=$A$1,1,0),IF(AX$4="休","",IF(COUNTIF(DATA!AY:AY,$A:$A)=0,"×","√")),""))</f>
        <v/>
      </c>
      <c r="AY41" s="32" t="str">
        <f ca="1">IF($A41="","",IF(IF(AY$2&lt;=$A$1,1,0),IF(AY$4="休","",IF(COUNTIF(DATA!AZ:AZ,$A:$A)=0,"×","√")),""))</f>
        <v/>
      </c>
      <c r="AZ41" s="32" t="str">
        <f ca="1">IF($A41="","",IF(IF(AZ$2&lt;=$A$1,1,0),IF(AZ$4="休","",IF(COUNTIF(DATA!BA:BA,$A:$A)=0,"×","√")),""))</f>
        <v/>
      </c>
      <c r="BA41" s="32" t="str">
        <f ca="1">IF($A41="","",IF(IF(BA$2&lt;=$A$1,1,0),IF(BA$4="休","",IF(COUNTIF(DATA!BB:BB,$A:$A)=0,"×","√")),""))</f>
        <v/>
      </c>
      <c r="BB41" s="32" t="str">
        <f ca="1">IF($A41="","",IF(IF(BB$2&lt;=$A$1,1,0),IF(BB$4="休","",IF(COUNTIF(DATA!BC:BC,$A:$A)=0,"×","√")),""))</f>
        <v/>
      </c>
      <c r="BC41" s="32" t="str">
        <f ca="1">IF($A41="","",IF(IF(BC$2&lt;=$A$1,1,0),IF(BC$4="休","",IF(COUNTIF(DATA!BD:BD,$A:$A)=0,"×","√")),""))</f>
        <v/>
      </c>
      <c r="BD41" s="32" t="str">
        <f ca="1">IF($A41="","",IF(IF(BD$2&lt;=$A$1,1,0),IF(BD$4="休","",IF(COUNTIF(DATA!BE:BE,$A:$A)=0,"×","√")),""))</f>
        <v/>
      </c>
      <c r="BE41" s="32" t="str">
        <f ca="1">IF($A41="","",IF(IF(BE$2&lt;=$A$1,1,0),IF(BE$4="休","",IF(COUNTIF(DATA!BF:BF,$A:$A)=0,"×","√")),""))</f>
        <v/>
      </c>
      <c r="BF41" s="32" t="str">
        <f ca="1">IF($A41="","",IF(IF(BF$2&lt;=$A$1,1,0),IF(BF$4="休","",IF(COUNTIF(DATA!BG:BG,$A:$A)=0,"×","√")),""))</f>
        <v/>
      </c>
      <c r="BG41" s="32" t="str">
        <f ca="1">IF($A41="","",IF(IF(BG$2&lt;=$A$1,1,0),IF(BG$4="休","",IF(COUNTIF(DATA!BH:BH,$A:$A)=0,"×","√")),""))</f>
        <v/>
      </c>
      <c r="BH41" s="32" t="str">
        <f ca="1">IF($A41="","",IF(IF(BH$2&lt;=$A$1,1,0),IF(BH$4="休","",IF(COUNTIF(DATA!BI:BI,$A:$A)=0,"×","√")),""))</f>
        <v/>
      </c>
      <c r="BI41" s="32" t="str">
        <f ca="1">IF($A41="","",IF(IF(BI$2&lt;=$A$1,1,0),IF(BI$4="休","",IF(COUNTIF(DATA!BJ:BJ,$A:$A)=0,"×","√")),""))</f>
        <v/>
      </c>
      <c r="BJ41" s="32" t="str">
        <f ca="1">IF($A41="","",IF(IF(BJ$2&lt;=$A$1,1,0),IF(BJ$4="休","",IF(COUNTIF(DATA!BK:BK,$A:$A)=0,"×","√")),""))</f>
        <v/>
      </c>
      <c r="BK41" s="32" t="str">
        <f ca="1">IF($A41="","",IF(IF(BK$2&lt;=$A$1,1,0),IF(BK$4="休","",IF(COUNTIF(DATA!BL:BL,$A:$A)=0,"×","√")),""))</f>
        <v/>
      </c>
      <c r="BL41" s="32" t="str">
        <f ca="1">IF($A41="","",IF(IF(BL$2&lt;=$A$1,1,0),IF(BL$4="休","",IF(COUNTIF(DATA!BM:BM,$A:$A)=0,"×","√")),""))</f>
        <v/>
      </c>
      <c r="BM41" s="32" t="str">
        <f ca="1">IF($A41="","",IF(IF(BM$2&lt;=$A$1,1,0),IF(BM$4="休","",IF(COUNTIF(DATA!BN:BN,$A:$A)=0,"×","√")),""))</f>
        <v/>
      </c>
      <c r="BN41" s="32" t="str">
        <f ca="1">IF($A41="","",IF(IF(BN$2&lt;=$A$1,1,0),IF(BN$4="休","",IF(COUNTIF(DATA!BO:BO,$A:$A)=0,"×","√")),""))</f>
        <v/>
      </c>
      <c r="BO41" s="32" t="str">
        <f ca="1">IF($A41="","",IF(IF(BO$2&lt;=$A$1,1,0),IF(BO$4="休","",IF(COUNTIF(DATA!BP:BP,$A:$A)=0,"×","√")),""))</f>
        <v/>
      </c>
      <c r="BP41" s="32" t="str">
        <f ca="1">IF($A41="","",IF(IF(BP$2&lt;=$A$1,1,0),IF(BP$4="休","",IF(COUNTIF(DATA!BQ:BQ,$A:$A)=0,"×","√")),""))</f>
        <v/>
      </c>
      <c r="BQ41" s="32" t="str">
        <f ca="1">IF($A41="","",IF(IF(BQ$2&lt;=$A$1,1,0),IF(BQ$4="休","",IF(COUNTIF(DATA!BR:BR,$A:$A)=0,"×","√")),""))</f>
        <v/>
      </c>
      <c r="BR41" s="32" t="str">
        <f ca="1">IF($A41="","",IF(IF(BR$2&lt;=$A$1,1,0),IF(BR$4="休","",IF(COUNTIF(DATA!BS:BS,$A:$A)=0,"×","√")),""))</f>
        <v/>
      </c>
      <c r="BS41" s="32" t="str">
        <f ca="1">IF($A41="","",IF(IF(BS$2&lt;=$A$1,1,0),IF(BS$4="休","",IF(COUNTIF(DATA!BT:BT,$A:$A)=0,"×","√")),""))</f>
        <v/>
      </c>
      <c r="BT41" s="32" t="str">
        <f ca="1">IF($A41="","",IF(IF(BT$2&lt;=$A$1,1,0),IF(BT$4="休","",IF(COUNTIF(DATA!BU:BU,$A:$A)=0,"×","√")),""))</f>
        <v/>
      </c>
      <c r="BU41" s="32" t="str">
        <f ca="1">IF($A41="","",IF(IF(BU$2&lt;=$A$1,1,0),IF(BU$4="休","",IF(COUNTIF(DATA!BV:BV,$A:$A)=0,"×","√")),""))</f>
        <v/>
      </c>
      <c r="BV41" s="32" t="str">
        <f ca="1">IF($A41="","",IF(IF(BV$2&lt;=$A$1,1,0),IF(BV$4="休","",IF(COUNTIF(DATA!BW:BW,$A:$A)=0,"×","√")),""))</f>
        <v/>
      </c>
      <c r="BW41" s="32" t="str">
        <f ca="1">IF($A41="","",IF(IF(BW$2&lt;=$A$1,1,0),IF(BW$4="休","",IF(COUNTIF(DATA!BX:BX,$A:$A)=0,"×","√")),""))</f>
        <v/>
      </c>
      <c r="BX41" s="32" t="str">
        <f ca="1">IF($A41="","",IF(IF(BX$2&lt;=$A$1,1,0),IF(BX$4="休","",IF(COUNTIF(DATA!BY:BY,$A:$A)=0,"×","√")),""))</f>
        <v/>
      </c>
      <c r="BY41" s="32" t="str">
        <f ca="1">IF($A41="","",IF(IF(BY$2&lt;=$A$1,1,0),IF(BY$4="休","",IF(COUNTIF(DATA!BZ:BZ,$A:$A)=0,"×","√")),""))</f>
        <v/>
      </c>
      <c r="BZ41" s="32" t="str">
        <f ca="1">IF($A41="","",IF(IF(BZ$2&lt;=$A$1,1,0),IF(BZ$4="休","",IF(COUNTIF(DATA!CA:CA,$A:$A)=0,"×","√")),""))</f>
        <v/>
      </c>
      <c r="CA41" s="32" t="str">
        <f ca="1">IF($A41="","",IF(IF(CA$2&lt;=$A$1,1,0),IF(CA$4="休","",IF(COUNTIF(DATA!CB:CB,$A:$A)=0,"×","√")),""))</f>
        <v/>
      </c>
      <c r="CB41" s="32" t="str">
        <f ca="1">IF($A41="","",IF(IF(CB$2&lt;=$A$1,1,0),IF(CB$4="休","",IF(COUNTIF(DATA!CC:CC,$A:$A)=0,"×","√")),""))</f>
        <v/>
      </c>
      <c r="CC41" s="32" t="str">
        <f ca="1">IF($A41="","",IF(IF(CC$2&lt;=$A$1,1,0),IF(CC$4="休","",IF(COUNTIF(DATA!CD:CD,$A:$A)=0,"×","√")),""))</f>
        <v/>
      </c>
      <c r="CD41" s="32" t="str">
        <f ca="1">IF($A41="","",IF(IF(CD$2&lt;=$A$1,1,0),IF(CD$4="休","",IF(COUNTIF(DATA!CE:CE,$A:$A)=0,"×","√")),""))</f>
        <v/>
      </c>
      <c r="CE41" s="32" t="str">
        <f ca="1">IF($A41="","",IF(IF(CE$2&lt;=$A$1,1,0),IF(CE$4="休","",IF(COUNTIF(DATA!CF:CF,$A:$A)=0,"×","√")),""))</f>
        <v/>
      </c>
      <c r="CF41" s="32" t="str">
        <f ca="1">IF($A41="","",IF(IF(CF$2&lt;=$A$1,1,0),IF(CF$4="休","",IF(COUNTIF(DATA!CG:CG,$A:$A)=0,"×","√")),""))</f>
        <v/>
      </c>
      <c r="CG41" s="32" t="str">
        <f ca="1">IF($A41="","",IF(IF(CG$2&lt;=$A$1,1,0),IF(CG$4="休","",IF(COUNTIF(DATA!CH:CH,$A:$A)=0,"×","√")),""))</f>
        <v/>
      </c>
      <c r="CH41" s="32" t="str">
        <f ca="1">IF($A41="","",IF(IF(CH$2&lt;=$A$1,1,0),IF(CH$4="休","",IF(COUNTIF(DATA!CI:CI,$A:$A)=0,"×","√")),""))</f>
        <v/>
      </c>
      <c r="CI41" s="32" t="str">
        <f ca="1">IF($A41="","",IF(IF(CI$2&lt;=$A$1,1,0),IF(CI$4="休","",IF(COUNTIF(DATA!CJ:CJ,$A:$A)=0,"×","√")),""))</f>
        <v/>
      </c>
      <c r="CJ41" s="32" t="str">
        <f ca="1">IF($A41="","",IF(IF(CJ$2&lt;=$A$1,1,0),IF(CJ$4="休","",IF(COUNTIF(DATA!CK:CK,$A:$A)=0,"×","√")),""))</f>
        <v/>
      </c>
      <c r="CK41" s="32" t="str">
        <f ca="1">IF($A41="","",IF(IF(CK$2&lt;=$A$1,1,0),IF(CK$4="休","",IF(COUNTIF(DATA!CL:CL,$A:$A)=0,"×","√")),""))</f>
        <v/>
      </c>
      <c r="CL41" s="32" t="str">
        <f ca="1">IF($A41="","",IF(IF(CL$2&lt;=$A$1,1,0),IF(CL$4="休","",IF(COUNTIF(DATA!CM:CM,$A:$A)=0,"×","√")),""))</f>
        <v/>
      </c>
      <c r="CM41" s="32" t="str">
        <f ca="1">IF($A41="","",IF(IF(CM$2&lt;=$A$1,1,0),IF(CM$4="休","",IF(COUNTIF(DATA!CN:CN,$A:$A)=0,"×","√")),""))</f>
        <v/>
      </c>
      <c r="CN41" s="32" t="str">
        <f ca="1">IF($A41="","",IF(IF(CN$2&lt;=$A$1,1,0),IF(CN$4="休","",IF(COUNTIF(DATA!CO:CO,$A:$A)=0,"×","√")),""))</f>
        <v/>
      </c>
      <c r="CO41" s="32" t="str">
        <f ca="1">IF($A41="","",IF(IF(CO$2&lt;=$A$1,1,0),IF(CO$4="休","",IF(COUNTIF(DATA!CP:CP,$A:$A)=0,"×","√")),""))</f>
        <v/>
      </c>
      <c r="CP41" s="32" t="str">
        <f ca="1">IF($A41="","",IF(IF(CP$2&lt;=$A$1,1,0),IF(CP$4="休","",IF(COUNTIF(DATA!CQ:CQ,$A:$A)=0,"×","√")),""))</f>
        <v/>
      </c>
      <c r="CQ41" s="32" t="str">
        <f ca="1">IF($A41="","",IF(IF(CQ$2&lt;=$A$1,1,0),IF(CQ$4="休","",IF(COUNTIF(DATA!CR:CR,$A:$A)=0,"×","√")),""))</f>
        <v/>
      </c>
      <c r="CR41" s="32" t="str">
        <f ca="1">IF($A41="","",IF(IF(CR$2&lt;=$A$1,1,0),IF(CR$4="休","",IF(COUNTIF(DATA!CS:CS,$A:$A)=0,"×","√")),""))</f>
        <v/>
      </c>
    </row>
    <row r="42" s="26" customFormat="1" ht="18.75" spans="1:96">
      <c r="A42" s="32" t="str">
        <f>DATA!$A41&amp;""</f>
        <v>占玄辉</v>
      </c>
      <c r="B42" s="32" t="str">
        <f ca="1">IF($A42="","",IF(IF(B$2&lt;=$A$1,1,0),IF(B$4="休","",IF(COUNTIF(DATA!C:C,$A:$A)=0,"×","√")),""))</f>
        <v>√</v>
      </c>
      <c r="C42" s="32" t="str">
        <f ca="1">IF($A42="","",IF(IF(C$2&lt;=$A$1,1,0),IF(C$4="休","",IF(COUNTIF(DATA!D:D,$A:$A)=0,"×","√")),""))</f>
        <v>√</v>
      </c>
      <c r="D42" s="32" t="str">
        <f ca="1">IF($A42="","",IF(IF(D$2&lt;=$A$1,1,0),IF(D$4="休","",IF(COUNTIF(DATA!E:E,$A:$A)=0,"×","√")),""))</f>
        <v>√</v>
      </c>
      <c r="E42" s="32" t="str">
        <f ca="1">IF($A42="","",IF(IF(E$2&lt;=$A$1,1,0),IF(E$4="休","",IF(COUNTIF(DATA!F:F,$A:$A)=0,"×","√")),""))</f>
        <v>√</v>
      </c>
      <c r="F42" s="32" t="str">
        <f ca="1">IF($A42="","",IF(IF(F$2&lt;=$A$1,1,0),IF(F$4="休","",IF(COUNTIF(DATA!G:G,$A:$A)=0,"×","√")),""))</f>
        <v>√</v>
      </c>
      <c r="G42" s="32" t="str">
        <f ca="1">IF($A42="","",IF(IF(G$2&lt;=$A$1,1,0),IF(G$4="休","",IF(COUNTIF(DATA!H:H,$A:$A)=0,"×","√")),""))</f>
        <v>√</v>
      </c>
      <c r="H42" s="32" t="str">
        <f ca="1">IF($A42="","",IF(IF(H$2&lt;=$A$1,1,0),IF(H$4="休","",IF(COUNTIF(DATA!I:I,$A:$A)=0,"×","√")),""))</f>
        <v>√</v>
      </c>
      <c r="I42" s="32" t="str">
        <f ca="1">IF($A42="","",IF(IF(I$2&lt;=$A$1,1,0),IF(I$4="休","",IF(COUNTIF(DATA!J:J,$A:$A)=0,"×","√")),""))</f>
        <v>√</v>
      </c>
      <c r="J42" s="32" t="str">
        <f ca="1">IF($A42="","",IF(IF(J$2&lt;=$A$1,1,0),IF(J$4="休","",IF(COUNTIF(DATA!K:K,$A:$A)=0,"×","√")),""))</f>
        <v/>
      </c>
      <c r="K42" s="32" t="str">
        <f ca="1">IF($A42="","",IF(IF(K$2&lt;=$A$1,1,0),IF(K$4="休","",IF(COUNTIF(DATA!L:L,$A:$A)=0,"×","√")),""))</f>
        <v/>
      </c>
      <c r="L42" s="32" t="str">
        <f ca="1">IF($A42="","",IF(IF(L$2&lt;=$A$1,1,0),IF(L$4="休","",IF(COUNTIF(DATA!M:M,$A:$A)=0,"×","√")),""))</f>
        <v/>
      </c>
      <c r="M42" s="32" t="str">
        <f ca="1">IF($A42="","",IF(IF(M$2&lt;=$A$1,1,0),IF(M$4="休","",IF(COUNTIF(DATA!N:N,$A:$A)=0,"×","√")),""))</f>
        <v/>
      </c>
      <c r="N42" s="32" t="str">
        <f ca="1">IF($A42="","",IF(IF(N$2&lt;=$A$1,1,0),IF(N$4="休","",IF(COUNTIF(DATA!O:O,$A:$A)=0,"×","√")),""))</f>
        <v/>
      </c>
      <c r="O42" s="32" t="str">
        <f ca="1">IF($A42="","",IF(IF(O$2&lt;=$A$1,1,0),IF(O$4="休","",IF(COUNTIF(DATA!P:P,$A:$A)=0,"×","√")),""))</f>
        <v/>
      </c>
      <c r="P42" s="32" t="str">
        <f ca="1">IF($A42="","",IF(IF(P$2&lt;=$A$1,1,0),IF(P$4="休","",IF(COUNTIF(DATA!Q:Q,$A:$A)=0,"×","√")),""))</f>
        <v/>
      </c>
      <c r="Q42" s="32" t="str">
        <f ca="1">IF($A42="","",IF(IF(Q$2&lt;=$A$1,1,0),IF(Q$4="休","",IF(COUNTIF(DATA!R:R,$A:$A)=0,"×","√")),""))</f>
        <v/>
      </c>
      <c r="R42" s="32" t="str">
        <f ca="1">IF($A42="","",IF(IF(R$2&lt;=$A$1,1,0),IF(R$4="休","",IF(COUNTIF(DATA!S:S,$A:$A)=0,"×","√")),""))</f>
        <v/>
      </c>
      <c r="S42" s="32" t="str">
        <f ca="1">IF($A42="","",IF(IF(S$2&lt;=$A$1,1,0),IF(S$4="休","",IF(COUNTIF(DATA!T:T,$A:$A)=0,"×","√")),""))</f>
        <v/>
      </c>
      <c r="T42" s="32" t="str">
        <f ca="1">IF($A42="","",IF(IF(T$2&lt;=$A$1,1,0),IF(T$4="休","",IF(COUNTIF(DATA!U:U,$A:$A)=0,"×","√")),""))</f>
        <v/>
      </c>
      <c r="U42" s="32" t="str">
        <f ca="1">IF($A42="","",IF(IF(U$2&lt;=$A$1,1,0),IF(U$4="休","",IF(COUNTIF(DATA!V:V,$A:$A)=0,"×","√")),""))</f>
        <v/>
      </c>
      <c r="V42" s="32" t="str">
        <f ca="1">IF($A42="","",IF(IF(V$2&lt;=$A$1,1,0),IF(V$4="休","",IF(COUNTIF(DATA!W:W,$A:$A)=0,"×","√")),""))</f>
        <v/>
      </c>
      <c r="W42" s="32" t="str">
        <f ca="1">IF($A42="","",IF(IF(W$2&lt;=$A$1,1,0),IF(W$4="休","",IF(COUNTIF(DATA!X:X,$A:$A)=0,"×","√")),""))</f>
        <v/>
      </c>
      <c r="X42" s="32" t="str">
        <f ca="1">IF($A42="","",IF(IF(X$2&lt;=$A$1,1,0),IF(X$4="休","",IF(COUNTIF(DATA!Y:Y,$A:$A)=0,"×","√")),""))</f>
        <v/>
      </c>
      <c r="Y42" s="32" t="str">
        <f ca="1">IF($A42="","",IF(IF(Y$2&lt;=$A$1,1,0),IF(Y$4="休","",IF(COUNTIF(DATA!Z:Z,$A:$A)=0,"×","√")),""))</f>
        <v/>
      </c>
      <c r="Z42" s="32" t="str">
        <f ca="1">IF($A42="","",IF(IF(Z$2&lt;=$A$1,1,0),IF(Z$4="休","",IF(COUNTIF(DATA!AA:AA,$A:$A)=0,"×","√")),""))</f>
        <v/>
      </c>
      <c r="AA42" s="32" t="str">
        <f ca="1">IF($A42="","",IF(IF(AA$2&lt;=$A$1,1,0),IF(AA$4="休","",IF(COUNTIF(DATA!AB:AB,$A:$A)=0,"×","√")),""))</f>
        <v/>
      </c>
      <c r="AB42" s="32" t="str">
        <f ca="1">IF($A42="","",IF(IF(AB$2&lt;=$A$1,1,0),IF(AB$4="休","",IF(COUNTIF(DATA!AC:AC,$A:$A)=0,"×","√")),""))</f>
        <v/>
      </c>
      <c r="AC42" s="32" t="str">
        <f ca="1">IF($A42="","",IF(IF(AC$2&lt;=$A$1,1,0),IF(AC$4="休","",IF(COUNTIF(DATA!AD:AD,$A:$A)=0,"×","√")),""))</f>
        <v/>
      </c>
      <c r="AD42" s="32" t="str">
        <f ca="1">IF($A42="","",IF(IF(AD$2&lt;=$A$1,1,0),IF(AD$4="休","",IF(COUNTIF(DATA!AE:AE,$A:$A)=0,"×","√")),""))</f>
        <v/>
      </c>
      <c r="AE42" s="32" t="str">
        <f ca="1">IF($A42="","",IF(IF(AE$2&lt;=$A$1,1,0),IF(AE$4="休","",IF(COUNTIF(DATA!AF:AF,$A:$A)=0,"×","√")),""))</f>
        <v/>
      </c>
      <c r="AF42" s="32" t="str">
        <f ca="1">IF($A42="","",IF(IF(AF$2&lt;=$A$1,1,0),IF(AF$4="休","",IF(COUNTIF(DATA!AG:AG,$A:$A)=0,"×","√")),""))</f>
        <v/>
      </c>
      <c r="AG42" s="32" t="str">
        <f ca="1">IF($A42="","",IF(IF(AG$2&lt;=$A$1,1,0),IF(AG$4="休","",IF(COUNTIF(DATA!AH:AH,$A:$A)=0,"×","√")),""))</f>
        <v/>
      </c>
      <c r="AH42" s="32" t="str">
        <f ca="1">IF($A42="","",IF(IF(AH$2&lt;=$A$1,1,0),IF(AH$4="休","",IF(COUNTIF(DATA!AI:AI,$A:$A)=0,"×","√")),""))</f>
        <v/>
      </c>
      <c r="AI42" s="32" t="str">
        <f ca="1">IF($A42="","",IF(IF(AI$2&lt;=$A$1,1,0),IF(AI$4="休","",IF(COUNTIF(DATA!AJ:AJ,$A:$A)=0,"×","√")),""))</f>
        <v/>
      </c>
      <c r="AJ42" s="32" t="str">
        <f ca="1">IF($A42="","",IF(IF(AJ$2&lt;=$A$1,1,0),IF(AJ$4="休","",IF(COUNTIF(DATA!AK:AK,$A:$A)=0,"×","√")),""))</f>
        <v/>
      </c>
      <c r="AK42" s="32" t="str">
        <f ca="1">IF($A42="","",IF(IF(AK$2&lt;=$A$1,1,0),IF(AK$4="休","",IF(COUNTIF(DATA!AL:AL,$A:$A)=0,"×","√")),""))</f>
        <v/>
      </c>
      <c r="AL42" s="32" t="str">
        <f ca="1">IF($A42="","",IF(IF(AL$2&lt;=$A$1,1,0),IF(AL$4="休","",IF(COUNTIF(DATA!AM:AM,$A:$A)=0,"×","√")),""))</f>
        <v/>
      </c>
      <c r="AM42" s="32" t="str">
        <f ca="1">IF($A42="","",IF(IF(AM$2&lt;=$A$1,1,0),IF(AM$4="休","",IF(COUNTIF(DATA!AN:AN,$A:$A)=0,"×","√")),""))</f>
        <v/>
      </c>
      <c r="AN42" s="32" t="str">
        <f ca="1">IF($A42="","",IF(IF(AN$2&lt;=$A$1,1,0),IF(AN$4="休","",IF(COUNTIF(DATA!AO:AO,$A:$A)=0,"×","√")),""))</f>
        <v/>
      </c>
      <c r="AO42" s="32" t="str">
        <f ca="1">IF($A42="","",IF(IF(AO$2&lt;=$A$1,1,0),IF(AO$4="休","",IF(COUNTIF(DATA!AP:AP,$A:$A)=0,"×","√")),""))</f>
        <v/>
      </c>
      <c r="AP42" s="32" t="str">
        <f ca="1">IF($A42="","",IF(IF(AP$2&lt;=$A$1,1,0),IF(AP$4="休","",IF(COUNTIF(DATA!AQ:AQ,$A:$A)=0,"×","√")),""))</f>
        <v/>
      </c>
      <c r="AQ42" s="32" t="str">
        <f ca="1">IF($A42="","",IF(IF(AQ$2&lt;=$A$1,1,0),IF(AQ$4="休","",IF(COUNTIF(DATA!AR:AR,$A:$A)=0,"×","√")),""))</f>
        <v/>
      </c>
      <c r="AR42" s="32" t="str">
        <f ca="1">IF($A42="","",IF(IF(AR$2&lt;=$A$1,1,0),IF(AR$4="休","",IF(COUNTIF(DATA!AS:AS,$A:$A)=0,"×","√")),""))</f>
        <v/>
      </c>
      <c r="AS42" s="32" t="str">
        <f ca="1">IF($A42="","",IF(IF(AS$2&lt;=$A$1,1,0),IF(AS$4="休","",IF(COUNTIF(DATA!AT:AT,$A:$A)=0,"×","√")),""))</f>
        <v/>
      </c>
      <c r="AT42" s="32" t="str">
        <f ca="1">IF($A42="","",IF(IF(AT$2&lt;=$A$1,1,0),IF(AT$4="休","",IF(COUNTIF(DATA!AU:AU,$A:$A)=0,"×","√")),""))</f>
        <v/>
      </c>
      <c r="AU42" s="32" t="str">
        <f ca="1">IF($A42="","",IF(IF(AU$2&lt;=$A$1,1,0),IF(AU$4="休","",IF(COUNTIF(DATA!AV:AV,$A:$A)=0,"×","√")),""))</f>
        <v/>
      </c>
      <c r="AV42" s="32" t="str">
        <f ca="1">IF($A42="","",IF(IF(AV$2&lt;=$A$1,1,0),IF(AV$4="休","",IF(COUNTIF(DATA!AW:AW,$A:$A)=0,"×","√")),""))</f>
        <v/>
      </c>
      <c r="AW42" s="32" t="str">
        <f ca="1">IF($A42="","",IF(IF(AW$2&lt;=$A$1,1,0),IF(AW$4="休","",IF(COUNTIF(DATA!AX:AX,$A:$A)=0,"×","√")),""))</f>
        <v/>
      </c>
      <c r="AX42" s="32" t="str">
        <f ca="1">IF($A42="","",IF(IF(AX$2&lt;=$A$1,1,0),IF(AX$4="休","",IF(COUNTIF(DATA!AY:AY,$A:$A)=0,"×","√")),""))</f>
        <v/>
      </c>
      <c r="AY42" s="32" t="str">
        <f ca="1">IF($A42="","",IF(IF(AY$2&lt;=$A$1,1,0),IF(AY$4="休","",IF(COUNTIF(DATA!AZ:AZ,$A:$A)=0,"×","√")),""))</f>
        <v/>
      </c>
      <c r="AZ42" s="32" t="str">
        <f ca="1">IF($A42="","",IF(IF(AZ$2&lt;=$A$1,1,0),IF(AZ$4="休","",IF(COUNTIF(DATA!BA:BA,$A:$A)=0,"×","√")),""))</f>
        <v/>
      </c>
      <c r="BA42" s="32" t="str">
        <f ca="1">IF($A42="","",IF(IF(BA$2&lt;=$A$1,1,0),IF(BA$4="休","",IF(COUNTIF(DATA!BB:BB,$A:$A)=0,"×","√")),""))</f>
        <v/>
      </c>
      <c r="BB42" s="32" t="str">
        <f ca="1">IF($A42="","",IF(IF(BB$2&lt;=$A$1,1,0),IF(BB$4="休","",IF(COUNTIF(DATA!BC:BC,$A:$A)=0,"×","√")),""))</f>
        <v/>
      </c>
      <c r="BC42" s="32" t="str">
        <f ca="1">IF($A42="","",IF(IF(BC$2&lt;=$A$1,1,0),IF(BC$4="休","",IF(COUNTIF(DATA!BD:BD,$A:$A)=0,"×","√")),""))</f>
        <v/>
      </c>
      <c r="BD42" s="32" t="str">
        <f ca="1">IF($A42="","",IF(IF(BD$2&lt;=$A$1,1,0),IF(BD$4="休","",IF(COUNTIF(DATA!BE:BE,$A:$A)=0,"×","√")),""))</f>
        <v/>
      </c>
      <c r="BE42" s="32" t="str">
        <f ca="1">IF($A42="","",IF(IF(BE$2&lt;=$A$1,1,0),IF(BE$4="休","",IF(COUNTIF(DATA!BF:BF,$A:$A)=0,"×","√")),""))</f>
        <v/>
      </c>
      <c r="BF42" s="32" t="str">
        <f ca="1">IF($A42="","",IF(IF(BF$2&lt;=$A$1,1,0),IF(BF$4="休","",IF(COUNTIF(DATA!BG:BG,$A:$A)=0,"×","√")),""))</f>
        <v/>
      </c>
      <c r="BG42" s="32" t="str">
        <f ca="1">IF($A42="","",IF(IF(BG$2&lt;=$A$1,1,0),IF(BG$4="休","",IF(COUNTIF(DATA!BH:BH,$A:$A)=0,"×","√")),""))</f>
        <v/>
      </c>
      <c r="BH42" s="32" t="str">
        <f ca="1">IF($A42="","",IF(IF(BH$2&lt;=$A$1,1,0),IF(BH$4="休","",IF(COUNTIF(DATA!BI:BI,$A:$A)=0,"×","√")),""))</f>
        <v/>
      </c>
      <c r="BI42" s="32" t="str">
        <f ca="1">IF($A42="","",IF(IF(BI$2&lt;=$A$1,1,0),IF(BI$4="休","",IF(COUNTIF(DATA!BJ:BJ,$A:$A)=0,"×","√")),""))</f>
        <v/>
      </c>
      <c r="BJ42" s="32" t="str">
        <f ca="1">IF($A42="","",IF(IF(BJ$2&lt;=$A$1,1,0),IF(BJ$4="休","",IF(COUNTIF(DATA!BK:BK,$A:$A)=0,"×","√")),""))</f>
        <v/>
      </c>
      <c r="BK42" s="32" t="str">
        <f ca="1">IF($A42="","",IF(IF(BK$2&lt;=$A$1,1,0),IF(BK$4="休","",IF(COUNTIF(DATA!BL:BL,$A:$A)=0,"×","√")),""))</f>
        <v/>
      </c>
      <c r="BL42" s="32" t="str">
        <f ca="1">IF($A42="","",IF(IF(BL$2&lt;=$A$1,1,0),IF(BL$4="休","",IF(COUNTIF(DATA!BM:BM,$A:$A)=0,"×","√")),""))</f>
        <v/>
      </c>
      <c r="BM42" s="32" t="str">
        <f ca="1">IF($A42="","",IF(IF(BM$2&lt;=$A$1,1,0),IF(BM$4="休","",IF(COUNTIF(DATA!BN:BN,$A:$A)=0,"×","√")),""))</f>
        <v/>
      </c>
      <c r="BN42" s="32" t="str">
        <f ca="1">IF($A42="","",IF(IF(BN$2&lt;=$A$1,1,0),IF(BN$4="休","",IF(COUNTIF(DATA!BO:BO,$A:$A)=0,"×","√")),""))</f>
        <v/>
      </c>
      <c r="BO42" s="32" t="str">
        <f ca="1">IF($A42="","",IF(IF(BO$2&lt;=$A$1,1,0),IF(BO$4="休","",IF(COUNTIF(DATA!BP:BP,$A:$A)=0,"×","√")),""))</f>
        <v/>
      </c>
      <c r="BP42" s="32" t="str">
        <f ca="1">IF($A42="","",IF(IF(BP$2&lt;=$A$1,1,0),IF(BP$4="休","",IF(COUNTIF(DATA!BQ:BQ,$A:$A)=0,"×","√")),""))</f>
        <v/>
      </c>
      <c r="BQ42" s="32" t="str">
        <f ca="1">IF($A42="","",IF(IF(BQ$2&lt;=$A$1,1,0),IF(BQ$4="休","",IF(COUNTIF(DATA!BR:BR,$A:$A)=0,"×","√")),""))</f>
        <v/>
      </c>
      <c r="BR42" s="32" t="str">
        <f ca="1">IF($A42="","",IF(IF(BR$2&lt;=$A$1,1,0),IF(BR$4="休","",IF(COUNTIF(DATA!BS:BS,$A:$A)=0,"×","√")),""))</f>
        <v/>
      </c>
      <c r="BS42" s="32" t="str">
        <f ca="1">IF($A42="","",IF(IF(BS$2&lt;=$A$1,1,0),IF(BS$4="休","",IF(COUNTIF(DATA!BT:BT,$A:$A)=0,"×","√")),""))</f>
        <v/>
      </c>
      <c r="BT42" s="32" t="str">
        <f ca="1">IF($A42="","",IF(IF(BT$2&lt;=$A$1,1,0),IF(BT$4="休","",IF(COUNTIF(DATA!BU:BU,$A:$A)=0,"×","√")),""))</f>
        <v/>
      </c>
      <c r="BU42" s="32" t="str">
        <f ca="1">IF($A42="","",IF(IF(BU$2&lt;=$A$1,1,0),IF(BU$4="休","",IF(COUNTIF(DATA!BV:BV,$A:$A)=0,"×","√")),""))</f>
        <v/>
      </c>
      <c r="BV42" s="32" t="str">
        <f ca="1">IF($A42="","",IF(IF(BV$2&lt;=$A$1,1,0),IF(BV$4="休","",IF(COUNTIF(DATA!BW:BW,$A:$A)=0,"×","√")),""))</f>
        <v/>
      </c>
      <c r="BW42" s="32" t="str">
        <f ca="1">IF($A42="","",IF(IF(BW$2&lt;=$A$1,1,0),IF(BW$4="休","",IF(COUNTIF(DATA!BX:BX,$A:$A)=0,"×","√")),""))</f>
        <v/>
      </c>
      <c r="BX42" s="32" t="str">
        <f ca="1">IF($A42="","",IF(IF(BX$2&lt;=$A$1,1,0),IF(BX$4="休","",IF(COUNTIF(DATA!BY:BY,$A:$A)=0,"×","√")),""))</f>
        <v/>
      </c>
      <c r="BY42" s="32" t="str">
        <f ca="1">IF($A42="","",IF(IF(BY$2&lt;=$A$1,1,0),IF(BY$4="休","",IF(COUNTIF(DATA!BZ:BZ,$A:$A)=0,"×","√")),""))</f>
        <v/>
      </c>
      <c r="BZ42" s="32" t="str">
        <f ca="1">IF($A42="","",IF(IF(BZ$2&lt;=$A$1,1,0),IF(BZ$4="休","",IF(COUNTIF(DATA!CA:CA,$A:$A)=0,"×","√")),""))</f>
        <v/>
      </c>
      <c r="CA42" s="32" t="str">
        <f ca="1">IF($A42="","",IF(IF(CA$2&lt;=$A$1,1,0),IF(CA$4="休","",IF(COUNTIF(DATA!CB:CB,$A:$A)=0,"×","√")),""))</f>
        <v/>
      </c>
      <c r="CB42" s="32" t="str">
        <f ca="1">IF($A42="","",IF(IF(CB$2&lt;=$A$1,1,0),IF(CB$4="休","",IF(COUNTIF(DATA!CC:CC,$A:$A)=0,"×","√")),""))</f>
        <v/>
      </c>
      <c r="CC42" s="32" t="str">
        <f ca="1">IF($A42="","",IF(IF(CC$2&lt;=$A$1,1,0),IF(CC$4="休","",IF(COUNTIF(DATA!CD:CD,$A:$A)=0,"×","√")),""))</f>
        <v/>
      </c>
      <c r="CD42" s="32" t="str">
        <f ca="1">IF($A42="","",IF(IF(CD$2&lt;=$A$1,1,0),IF(CD$4="休","",IF(COUNTIF(DATA!CE:CE,$A:$A)=0,"×","√")),""))</f>
        <v/>
      </c>
      <c r="CE42" s="32" t="str">
        <f ca="1">IF($A42="","",IF(IF(CE$2&lt;=$A$1,1,0),IF(CE$4="休","",IF(COUNTIF(DATA!CF:CF,$A:$A)=0,"×","√")),""))</f>
        <v/>
      </c>
      <c r="CF42" s="32" t="str">
        <f ca="1">IF($A42="","",IF(IF(CF$2&lt;=$A$1,1,0),IF(CF$4="休","",IF(COUNTIF(DATA!CG:CG,$A:$A)=0,"×","√")),""))</f>
        <v/>
      </c>
      <c r="CG42" s="32" t="str">
        <f ca="1">IF($A42="","",IF(IF(CG$2&lt;=$A$1,1,0),IF(CG$4="休","",IF(COUNTIF(DATA!CH:CH,$A:$A)=0,"×","√")),""))</f>
        <v/>
      </c>
      <c r="CH42" s="32" t="str">
        <f ca="1">IF($A42="","",IF(IF(CH$2&lt;=$A$1,1,0),IF(CH$4="休","",IF(COUNTIF(DATA!CI:CI,$A:$A)=0,"×","√")),""))</f>
        <v/>
      </c>
      <c r="CI42" s="32" t="str">
        <f ca="1">IF($A42="","",IF(IF(CI$2&lt;=$A$1,1,0),IF(CI$4="休","",IF(COUNTIF(DATA!CJ:CJ,$A:$A)=0,"×","√")),""))</f>
        <v/>
      </c>
      <c r="CJ42" s="32" t="str">
        <f ca="1">IF($A42="","",IF(IF(CJ$2&lt;=$A$1,1,0),IF(CJ$4="休","",IF(COUNTIF(DATA!CK:CK,$A:$A)=0,"×","√")),""))</f>
        <v/>
      </c>
      <c r="CK42" s="32" t="str">
        <f ca="1">IF($A42="","",IF(IF(CK$2&lt;=$A$1,1,0),IF(CK$4="休","",IF(COUNTIF(DATA!CL:CL,$A:$A)=0,"×","√")),""))</f>
        <v/>
      </c>
      <c r="CL42" s="32" t="str">
        <f ca="1">IF($A42="","",IF(IF(CL$2&lt;=$A$1,1,0),IF(CL$4="休","",IF(COUNTIF(DATA!CM:CM,$A:$A)=0,"×","√")),""))</f>
        <v/>
      </c>
      <c r="CM42" s="32" t="str">
        <f ca="1">IF($A42="","",IF(IF(CM$2&lt;=$A$1,1,0),IF(CM$4="休","",IF(COUNTIF(DATA!CN:CN,$A:$A)=0,"×","√")),""))</f>
        <v/>
      </c>
      <c r="CN42" s="32" t="str">
        <f ca="1">IF($A42="","",IF(IF(CN$2&lt;=$A$1,1,0),IF(CN$4="休","",IF(COUNTIF(DATA!CO:CO,$A:$A)=0,"×","√")),""))</f>
        <v/>
      </c>
      <c r="CO42" s="32" t="str">
        <f ca="1">IF($A42="","",IF(IF(CO$2&lt;=$A$1,1,0),IF(CO$4="休","",IF(COUNTIF(DATA!CP:CP,$A:$A)=0,"×","√")),""))</f>
        <v/>
      </c>
      <c r="CP42" s="32" t="str">
        <f ca="1">IF($A42="","",IF(IF(CP$2&lt;=$A$1,1,0),IF(CP$4="休","",IF(COUNTIF(DATA!CQ:CQ,$A:$A)=0,"×","√")),""))</f>
        <v/>
      </c>
      <c r="CQ42" s="32" t="str">
        <f ca="1">IF($A42="","",IF(IF(CQ$2&lt;=$A$1,1,0),IF(CQ$4="休","",IF(COUNTIF(DATA!CR:CR,$A:$A)=0,"×","√")),""))</f>
        <v/>
      </c>
      <c r="CR42" s="32" t="str">
        <f ca="1">IF($A42="","",IF(IF(CR$2&lt;=$A$1,1,0),IF(CR$4="休","",IF(COUNTIF(DATA!CS:CS,$A:$A)=0,"×","√")),""))</f>
        <v/>
      </c>
    </row>
    <row r="43" s="26" customFormat="1" ht="18.75" spans="1:96">
      <c r="A43" s="32" t="str">
        <f>DATA!$A42&amp;""</f>
        <v>周洋</v>
      </c>
      <c r="B43" s="32" t="str">
        <f ca="1">IF($A43="","",IF(IF(B$2&lt;=$A$1,1,0),IF(B$4="休","",IF(COUNTIF(DATA!C:C,$A:$A)=0,"×","√")),""))</f>
        <v>√</v>
      </c>
      <c r="C43" s="32" t="str">
        <f ca="1">IF($A43="","",IF(IF(C$2&lt;=$A$1,1,0),IF(C$4="休","",IF(COUNTIF(DATA!D:D,$A:$A)=0,"×","√")),""))</f>
        <v>√</v>
      </c>
      <c r="D43" s="32" t="str">
        <f ca="1">IF($A43="","",IF(IF(D$2&lt;=$A$1,1,0),IF(D$4="休","",IF(COUNTIF(DATA!E:E,$A:$A)=0,"×","√")),""))</f>
        <v>√</v>
      </c>
      <c r="E43" s="32" t="str">
        <f ca="1">IF($A43="","",IF(IF(E$2&lt;=$A$1,1,0),IF(E$4="休","",IF(COUNTIF(DATA!F:F,$A:$A)=0,"×","√")),""))</f>
        <v>√</v>
      </c>
      <c r="F43" s="32" t="str">
        <f ca="1">IF($A43="","",IF(IF(F$2&lt;=$A$1,1,0),IF(F$4="休","",IF(COUNTIF(DATA!G:G,$A:$A)=0,"×","√")),""))</f>
        <v>√</v>
      </c>
      <c r="G43" s="32" t="str">
        <f ca="1">IF($A43="","",IF(IF(G$2&lt;=$A$1,1,0),IF(G$4="休","",IF(COUNTIF(DATA!H:H,$A:$A)=0,"×","√")),""))</f>
        <v>√</v>
      </c>
      <c r="H43" s="32" t="str">
        <f ca="1">IF($A43="","",IF(IF(H$2&lt;=$A$1,1,0),IF(H$4="休","",IF(COUNTIF(DATA!I:I,$A:$A)=0,"×","√")),""))</f>
        <v>√</v>
      </c>
      <c r="I43" s="32" t="str">
        <f ca="1">IF($A43="","",IF(IF(I$2&lt;=$A$1,1,0),IF(I$4="休","",IF(COUNTIF(DATA!J:J,$A:$A)=0,"×","√")),""))</f>
        <v>√</v>
      </c>
      <c r="J43" s="32" t="str">
        <f ca="1">IF($A43="","",IF(IF(J$2&lt;=$A$1,1,0),IF(J$4="休","",IF(COUNTIF(DATA!K:K,$A:$A)=0,"×","√")),""))</f>
        <v/>
      </c>
      <c r="K43" s="32" t="str">
        <f ca="1">IF($A43="","",IF(IF(K$2&lt;=$A$1,1,0),IF(K$4="休","",IF(COUNTIF(DATA!L:L,$A:$A)=0,"×","√")),""))</f>
        <v/>
      </c>
      <c r="L43" s="32" t="str">
        <f ca="1">IF($A43="","",IF(IF(L$2&lt;=$A$1,1,0),IF(L$4="休","",IF(COUNTIF(DATA!M:M,$A:$A)=0,"×","√")),""))</f>
        <v/>
      </c>
      <c r="M43" s="32" t="str">
        <f ca="1">IF($A43="","",IF(IF(M$2&lt;=$A$1,1,0),IF(M$4="休","",IF(COUNTIF(DATA!N:N,$A:$A)=0,"×","√")),""))</f>
        <v/>
      </c>
      <c r="N43" s="32" t="str">
        <f ca="1">IF($A43="","",IF(IF(N$2&lt;=$A$1,1,0),IF(N$4="休","",IF(COUNTIF(DATA!O:O,$A:$A)=0,"×","√")),""))</f>
        <v/>
      </c>
      <c r="O43" s="32" t="str">
        <f ca="1">IF($A43="","",IF(IF(O$2&lt;=$A$1,1,0),IF(O$4="休","",IF(COUNTIF(DATA!P:P,$A:$A)=0,"×","√")),""))</f>
        <v/>
      </c>
      <c r="P43" s="32" t="str">
        <f ca="1">IF($A43="","",IF(IF(P$2&lt;=$A$1,1,0),IF(P$4="休","",IF(COUNTIF(DATA!Q:Q,$A:$A)=0,"×","√")),""))</f>
        <v/>
      </c>
      <c r="Q43" s="32" t="str">
        <f ca="1">IF($A43="","",IF(IF(Q$2&lt;=$A$1,1,0),IF(Q$4="休","",IF(COUNTIF(DATA!R:R,$A:$A)=0,"×","√")),""))</f>
        <v/>
      </c>
      <c r="R43" s="32" t="str">
        <f ca="1">IF($A43="","",IF(IF(R$2&lt;=$A$1,1,0),IF(R$4="休","",IF(COUNTIF(DATA!S:S,$A:$A)=0,"×","√")),""))</f>
        <v/>
      </c>
      <c r="S43" s="32" t="str">
        <f ca="1">IF($A43="","",IF(IF(S$2&lt;=$A$1,1,0),IF(S$4="休","",IF(COUNTIF(DATA!T:T,$A:$A)=0,"×","√")),""))</f>
        <v/>
      </c>
      <c r="T43" s="32" t="str">
        <f ca="1">IF($A43="","",IF(IF(T$2&lt;=$A$1,1,0),IF(T$4="休","",IF(COUNTIF(DATA!U:U,$A:$A)=0,"×","√")),""))</f>
        <v/>
      </c>
      <c r="U43" s="32" t="str">
        <f ca="1">IF($A43="","",IF(IF(U$2&lt;=$A$1,1,0),IF(U$4="休","",IF(COUNTIF(DATA!V:V,$A:$A)=0,"×","√")),""))</f>
        <v/>
      </c>
      <c r="V43" s="32" t="str">
        <f ca="1">IF($A43="","",IF(IF(V$2&lt;=$A$1,1,0),IF(V$4="休","",IF(COUNTIF(DATA!W:W,$A:$A)=0,"×","√")),""))</f>
        <v/>
      </c>
      <c r="W43" s="32" t="str">
        <f ca="1">IF($A43="","",IF(IF(W$2&lt;=$A$1,1,0),IF(W$4="休","",IF(COUNTIF(DATA!X:X,$A:$A)=0,"×","√")),""))</f>
        <v/>
      </c>
      <c r="X43" s="32" t="str">
        <f ca="1">IF($A43="","",IF(IF(X$2&lt;=$A$1,1,0),IF(X$4="休","",IF(COUNTIF(DATA!Y:Y,$A:$A)=0,"×","√")),""))</f>
        <v/>
      </c>
      <c r="Y43" s="32" t="str">
        <f ca="1">IF($A43="","",IF(IF(Y$2&lt;=$A$1,1,0),IF(Y$4="休","",IF(COUNTIF(DATA!Z:Z,$A:$A)=0,"×","√")),""))</f>
        <v/>
      </c>
      <c r="Z43" s="32" t="str">
        <f ca="1">IF($A43="","",IF(IF(Z$2&lt;=$A$1,1,0),IF(Z$4="休","",IF(COUNTIF(DATA!AA:AA,$A:$A)=0,"×","√")),""))</f>
        <v/>
      </c>
      <c r="AA43" s="32" t="str">
        <f ca="1">IF($A43="","",IF(IF(AA$2&lt;=$A$1,1,0),IF(AA$4="休","",IF(COUNTIF(DATA!AB:AB,$A:$A)=0,"×","√")),""))</f>
        <v/>
      </c>
      <c r="AB43" s="32" t="str">
        <f ca="1">IF($A43="","",IF(IF(AB$2&lt;=$A$1,1,0),IF(AB$4="休","",IF(COUNTIF(DATA!AC:AC,$A:$A)=0,"×","√")),""))</f>
        <v/>
      </c>
      <c r="AC43" s="32" t="str">
        <f ca="1">IF($A43="","",IF(IF(AC$2&lt;=$A$1,1,0),IF(AC$4="休","",IF(COUNTIF(DATA!AD:AD,$A:$A)=0,"×","√")),""))</f>
        <v/>
      </c>
      <c r="AD43" s="32" t="str">
        <f ca="1">IF($A43="","",IF(IF(AD$2&lt;=$A$1,1,0),IF(AD$4="休","",IF(COUNTIF(DATA!AE:AE,$A:$A)=0,"×","√")),""))</f>
        <v/>
      </c>
      <c r="AE43" s="32" t="str">
        <f ca="1">IF($A43="","",IF(IF(AE$2&lt;=$A$1,1,0),IF(AE$4="休","",IF(COUNTIF(DATA!AF:AF,$A:$A)=0,"×","√")),""))</f>
        <v/>
      </c>
      <c r="AF43" s="32" t="str">
        <f ca="1">IF($A43="","",IF(IF(AF$2&lt;=$A$1,1,0),IF(AF$4="休","",IF(COUNTIF(DATA!AG:AG,$A:$A)=0,"×","√")),""))</f>
        <v/>
      </c>
      <c r="AG43" s="32" t="str">
        <f ca="1">IF($A43="","",IF(IF(AG$2&lt;=$A$1,1,0),IF(AG$4="休","",IF(COUNTIF(DATA!AH:AH,$A:$A)=0,"×","√")),""))</f>
        <v/>
      </c>
      <c r="AH43" s="32" t="str">
        <f ca="1">IF($A43="","",IF(IF(AH$2&lt;=$A$1,1,0),IF(AH$4="休","",IF(COUNTIF(DATA!AI:AI,$A:$A)=0,"×","√")),""))</f>
        <v/>
      </c>
      <c r="AI43" s="32" t="str">
        <f ca="1">IF($A43="","",IF(IF(AI$2&lt;=$A$1,1,0),IF(AI$4="休","",IF(COUNTIF(DATA!AJ:AJ,$A:$A)=0,"×","√")),""))</f>
        <v/>
      </c>
      <c r="AJ43" s="32" t="str">
        <f ca="1">IF($A43="","",IF(IF(AJ$2&lt;=$A$1,1,0),IF(AJ$4="休","",IF(COUNTIF(DATA!AK:AK,$A:$A)=0,"×","√")),""))</f>
        <v/>
      </c>
      <c r="AK43" s="32" t="str">
        <f ca="1">IF($A43="","",IF(IF(AK$2&lt;=$A$1,1,0),IF(AK$4="休","",IF(COUNTIF(DATA!AL:AL,$A:$A)=0,"×","√")),""))</f>
        <v/>
      </c>
      <c r="AL43" s="32" t="str">
        <f ca="1">IF($A43="","",IF(IF(AL$2&lt;=$A$1,1,0),IF(AL$4="休","",IF(COUNTIF(DATA!AM:AM,$A:$A)=0,"×","√")),""))</f>
        <v/>
      </c>
      <c r="AM43" s="32" t="str">
        <f ca="1">IF($A43="","",IF(IF(AM$2&lt;=$A$1,1,0),IF(AM$4="休","",IF(COUNTIF(DATA!AN:AN,$A:$A)=0,"×","√")),""))</f>
        <v/>
      </c>
      <c r="AN43" s="32" t="str">
        <f ca="1">IF($A43="","",IF(IF(AN$2&lt;=$A$1,1,0),IF(AN$4="休","",IF(COUNTIF(DATA!AO:AO,$A:$A)=0,"×","√")),""))</f>
        <v/>
      </c>
      <c r="AO43" s="32" t="str">
        <f ca="1">IF($A43="","",IF(IF(AO$2&lt;=$A$1,1,0),IF(AO$4="休","",IF(COUNTIF(DATA!AP:AP,$A:$A)=0,"×","√")),""))</f>
        <v/>
      </c>
      <c r="AP43" s="32" t="str">
        <f ca="1">IF($A43="","",IF(IF(AP$2&lt;=$A$1,1,0),IF(AP$4="休","",IF(COUNTIF(DATA!AQ:AQ,$A:$A)=0,"×","√")),""))</f>
        <v/>
      </c>
      <c r="AQ43" s="32" t="str">
        <f ca="1">IF($A43="","",IF(IF(AQ$2&lt;=$A$1,1,0),IF(AQ$4="休","",IF(COUNTIF(DATA!AR:AR,$A:$A)=0,"×","√")),""))</f>
        <v/>
      </c>
      <c r="AR43" s="32" t="str">
        <f ca="1">IF($A43="","",IF(IF(AR$2&lt;=$A$1,1,0),IF(AR$4="休","",IF(COUNTIF(DATA!AS:AS,$A:$A)=0,"×","√")),""))</f>
        <v/>
      </c>
      <c r="AS43" s="32" t="str">
        <f ca="1">IF($A43="","",IF(IF(AS$2&lt;=$A$1,1,0),IF(AS$4="休","",IF(COUNTIF(DATA!AT:AT,$A:$A)=0,"×","√")),""))</f>
        <v/>
      </c>
      <c r="AT43" s="32" t="str">
        <f ca="1">IF($A43="","",IF(IF(AT$2&lt;=$A$1,1,0),IF(AT$4="休","",IF(COUNTIF(DATA!AU:AU,$A:$A)=0,"×","√")),""))</f>
        <v/>
      </c>
      <c r="AU43" s="32" t="str">
        <f ca="1">IF($A43="","",IF(IF(AU$2&lt;=$A$1,1,0),IF(AU$4="休","",IF(COUNTIF(DATA!AV:AV,$A:$A)=0,"×","√")),""))</f>
        <v/>
      </c>
      <c r="AV43" s="32" t="str">
        <f ca="1">IF($A43="","",IF(IF(AV$2&lt;=$A$1,1,0),IF(AV$4="休","",IF(COUNTIF(DATA!AW:AW,$A:$A)=0,"×","√")),""))</f>
        <v/>
      </c>
      <c r="AW43" s="32" t="str">
        <f ca="1">IF($A43="","",IF(IF(AW$2&lt;=$A$1,1,0),IF(AW$4="休","",IF(COUNTIF(DATA!AX:AX,$A:$A)=0,"×","√")),""))</f>
        <v/>
      </c>
      <c r="AX43" s="32" t="str">
        <f ca="1">IF($A43="","",IF(IF(AX$2&lt;=$A$1,1,0),IF(AX$4="休","",IF(COUNTIF(DATA!AY:AY,$A:$A)=0,"×","√")),""))</f>
        <v/>
      </c>
      <c r="AY43" s="32" t="str">
        <f ca="1">IF($A43="","",IF(IF(AY$2&lt;=$A$1,1,0),IF(AY$4="休","",IF(COUNTIF(DATA!AZ:AZ,$A:$A)=0,"×","√")),""))</f>
        <v/>
      </c>
      <c r="AZ43" s="32" t="str">
        <f ca="1">IF($A43="","",IF(IF(AZ$2&lt;=$A$1,1,0),IF(AZ$4="休","",IF(COUNTIF(DATA!BA:BA,$A:$A)=0,"×","√")),""))</f>
        <v/>
      </c>
      <c r="BA43" s="32" t="str">
        <f ca="1">IF($A43="","",IF(IF(BA$2&lt;=$A$1,1,0),IF(BA$4="休","",IF(COUNTIF(DATA!BB:BB,$A:$A)=0,"×","√")),""))</f>
        <v/>
      </c>
      <c r="BB43" s="32" t="str">
        <f ca="1">IF($A43="","",IF(IF(BB$2&lt;=$A$1,1,0),IF(BB$4="休","",IF(COUNTIF(DATA!BC:BC,$A:$A)=0,"×","√")),""))</f>
        <v/>
      </c>
      <c r="BC43" s="32" t="str">
        <f ca="1">IF($A43="","",IF(IF(BC$2&lt;=$A$1,1,0),IF(BC$4="休","",IF(COUNTIF(DATA!BD:BD,$A:$A)=0,"×","√")),""))</f>
        <v/>
      </c>
      <c r="BD43" s="32" t="str">
        <f ca="1">IF($A43="","",IF(IF(BD$2&lt;=$A$1,1,0),IF(BD$4="休","",IF(COUNTIF(DATA!BE:BE,$A:$A)=0,"×","√")),""))</f>
        <v/>
      </c>
      <c r="BE43" s="32" t="str">
        <f ca="1">IF($A43="","",IF(IF(BE$2&lt;=$A$1,1,0),IF(BE$4="休","",IF(COUNTIF(DATA!BF:BF,$A:$A)=0,"×","√")),""))</f>
        <v/>
      </c>
      <c r="BF43" s="32" t="str">
        <f ca="1">IF($A43="","",IF(IF(BF$2&lt;=$A$1,1,0),IF(BF$4="休","",IF(COUNTIF(DATA!BG:BG,$A:$A)=0,"×","√")),""))</f>
        <v/>
      </c>
      <c r="BG43" s="32" t="str">
        <f ca="1">IF($A43="","",IF(IF(BG$2&lt;=$A$1,1,0),IF(BG$4="休","",IF(COUNTIF(DATA!BH:BH,$A:$A)=0,"×","√")),""))</f>
        <v/>
      </c>
      <c r="BH43" s="32" t="str">
        <f ca="1">IF($A43="","",IF(IF(BH$2&lt;=$A$1,1,0),IF(BH$4="休","",IF(COUNTIF(DATA!BI:BI,$A:$A)=0,"×","√")),""))</f>
        <v/>
      </c>
      <c r="BI43" s="32" t="str">
        <f ca="1">IF($A43="","",IF(IF(BI$2&lt;=$A$1,1,0),IF(BI$4="休","",IF(COUNTIF(DATA!BJ:BJ,$A:$A)=0,"×","√")),""))</f>
        <v/>
      </c>
      <c r="BJ43" s="32" t="str">
        <f ca="1">IF($A43="","",IF(IF(BJ$2&lt;=$A$1,1,0),IF(BJ$4="休","",IF(COUNTIF(DATA!BK:BK,$A:$A)=0,"×","√")),""))</f>
        <v/>
      </c>
      <c r="BK43" s="32" t="str">
        <f ca="1">IF($A43="","",IF(IF(BK$2&lt;=$A$1,1,0),IF(BK$4="休","",IF(COUNTIF(DATA!BL:BL,$A:$A)=0,"×","√")),""))</f>
        <v/>
      </c>
      <c r="BL43" s="32" t="str">
        <f ca="1">IF($A43="","",IF(IF(BL$2&lt;=$A$1,1,0),IF(BL$4="休","",IF(COUNTIF(DATA!BM:BM,$A:$A)=0,"×","√")),""))</f>
        <v/>
      </c>
      <c r="BM43" s="32" t="str">
        <f ca="1">IF($A43="","",IF(IF(BM$2&lt;=$A$1,1,0),IF(BM$4="休","",IF(COUNTIF(DATA!BN:BN,$A:$A)=0,"×","√")),""))</f>
        <v/>
      </c>
      <c r="BN43" s="32" t="str">
        <f ca="1">IF($A43="","",IF(IF(BN$2&lt;=$A$1,1,0),IF(BN$4="休","",IF(COUNTIF(DATA!BO:BO,$A:$A)=0,"×","√")),""))</f>
        <v/>
      </c>
      <c r="BO43" s="32" t="str">
        <f ca="1">IF($A43="","",IF(IF(BO$2&lt;=$A$1,1,0),IF(BO$4="休","",IF(COUNTIF(DATA!BP:BP,$A:$A)=0,"×","√")),""))</f>
        <v/>
      </c>
      <c r="BP43" s="32" t="str">
        <f ca="1">IF($A43="","",IF(IF(BP$2&lt;=$A$1,1,0),IF(BP$4="休","",IF(COUNTIF(DATA!BQ:BQ,$A:$A)=0,"×","√")),""))</f>
        <v/>
      </c>
      <c r="BQ43" s="32" t="str">
        <f ca="1">IF($A43="","",IF(IF(BQ$2&lt;=$A$1,1,0),IF(BQ$4="休","",IF(COUNTIF(DATA!BR:BR,$A:$A)=0,"×","√")),""))</f>
        <v/>
      </c>
      <c r="BR43" s="32" t="str">
        <f ca="1">IF($A43="","",IF(IF(BR$2&lt;=$A$1,1,0),IF(BR$4="休","",IF(COUNTIF(DATA!BS:BS,$A:$A)=0,"×","√")),""))</f>
        <v/>
      </c>
      <c r="BS43" s="32" t="str">
        <f ca="1">IF($A43="","",IF(IF(BS$2&lt;=$A$1,1,0),IF(BS$4="休","",IF(COUNTIF(DATA!BT:BT,$A:$A)=0,"×","√")),""))</f>
        <v/>
      </c>
      <c r="BT43" s="32" t="str">
        <f ca="1">IF($A43="","",IF(IF(BT$2&lt;=$A$1,1,0),IF(BT$4="休","",IF(COUNTIF(DATA!BU:BU,$A:$A)=0,"×","√")),""))</f>
        <v/>
      </c>
      <c r="BU43" s="32" t="str">
        <f ca="1">IF($A43="","",IF(IF(BU$2&lt;=$A$1,1,0),IF(BU$4="休","",IF(COUNTIF(DATA!BV:BV,$A:$A)=0,"×","√")),""))</f>
        <v/>
      </c>
      <c r="BV43" s="32" t="str">
        <f ca="1">IF($A43="","",IF(IF(BV$2&lt;=$A$1,1,0),IF(BV$4="休","",IF(COUNTIF(DATA!BW:BW,$A:$A)=0,"×","√")),""))</f>
        <v/>
      </c>
      <c r="BW43" s="32" t="str">
        <f ca="1">IF($A43="","",IF(IF(BW$2&lt;=$A$1,1,0),IF(BW$4="休","",IF(COUNTIF(DATA!BX:BX,$A:$A)=0,"×","√")),""))</f>
        <v/>
      </c>
      <c r="BX43" s="32" t="str">
        <f ca="1">IF($A43="","",IF(IF(BX$2&lt;=$A$1,1,0),IF(BX$4="休","",IF(COUNTIF(DATA!BY:BY,$A:$A)=0,"×","√")),""))</f>
        <v/>
      </c>
      <c r="BY43" s="32" t="str">
        <f ca="1">IF($A43="","",IF(IF(BY$2&lt;=$A$1,1,0),IF(BY$4="休","",IF(COUNTIF(DATA!BZ:BZ,$A:$A)=0,"×","√")),""))</f>
        <v/>
      </c>
      <c r="BZ43" s="32" t="str">
        <f ca="1">IF($A43="","",IF(IF(BZ$2&lt;=$A$1,1,0),IF(BZ$4="休","",IF(COUNTIF(DATA!CA:CA,$A:$A)=0,"×","√")),""))</f>
        <v/>
      </c>
      <c r="CA43" s="32" t="str">
        <f ca="1">IF($A43="","",IF(IF(CA$2&lt;=$A$1,1,0),IF(CA$4="休","",IF(COUNTIF(DATA!CB:CB,$A:$A)=0,"×","√")),""))</f>
        <v/>
      </c>
      <c r="CB43" s="32" t="str">
        <f ca="1">IF($A43="","",IF(IF(CB$2&lt;=$A$1,1,0),IF(CB$4="休","",IF(COUNTIF(DATA!CC:CC,$A:$A)=0,"×","√")),""))</f>
        <v/>
      </c>
      <c r="CC43" s="32" t="str">
        <f ca="1">IF($A43="","",IF(IF(CC$2&lt;=$A$1,1,0),IF(CC$4="休","",IF(COUNTIF(DATA!CD:CD,$A:$A)=0,"×","√")),""))</f>
        <v/>
      </c>
      <c r="CD43" s="32" t="str">
        <f ca="1">IF($A43="","",IF(IF(CD$2&lt;=$A$1,1,0),IF(CD$4="休","",IF(COUNTIF(DATA!CE:CE,$A:$A)=0,"×","√")),""))</f>
        <v/>
      </c>
      <c r="CE43" s="32" t="str">
        <f ca="1">IF($A43="","",IF(IF(CE$2&lt;=$A$1,1,0),IF(CE$4="休","",IF(COUNTIF(DATA!CF:CF,$A:$A)=0,"×","√")),""))</f>
        <v/>
      </c>
      <c r="CF43" s="32" t="str">
        <f ca="1">IF($A43="","",IF(IF(CF$2&lt;=$A$1,1,0),IF(CF$4="休","",IF(COUNTIF(DATA!CG:CG,$A:$A)=0,"×","√")),""))</f>
        <v/>
      </c>
      <c r="CG43" s="32" t="str">
        <f ca="1">IF($A43="","",IF(IF(CG$2&lt;=$A$1,1,0),IF(CG$4="休","",IF(COUNTIF(DATA!CH:CH,$A:$A)=0,"×","√")),""))</f>
        <v/>
      </c>
      <c r="CH43" s="32" t="str">
        <f ca="1">IF($A43="","",IF(IF(CH$2&lt;=$A$1,1,0),IF(CH$4="休","",IF(COUNTIF(DATA!CI:CI,$A:$A)=0,"×","√")),""))</f>
        <v/>
      </c>
      <c r="CI43" s="32" t="str">
        <f ca="1">IF($A43="","",IF(IF(CI$2&lt;=$A$1,1,0),IF(CI$4="休","",IF(COUNTIF(DATA!CJ:CJ,$A:$A)=0,"×","√")),""))</f>
        <v/>
      </c>
      <c r="CJ43" s="32" t="str">
        <f ca="1">IF($A43="","",IF(IF(CJ$2&lt;=$A$1,1,0),IF(CJ$4="休","",IF(COUNTIF(DATA!CK:CK,$A:$A)=0,"×","√")),""))</f>
        <v/>
      </c>
      <c r="CK43" s="32" t="str">
        <f ca="1">IF($A43="","",IF(IF(CK$2&lt;=$A$1,1,0),IF(CK$4="休","",IF(COUNTIF(DATA!CL:CL,$A:$A)=0,"×","√")),""))</f>
        <v/>
      </c>
      <c r="CL43" s="32" t="str">
        <f ca="1">IF($A43="","",IF(IF(CL$2&lt;=$A$1,1,0),IF(CL$4="休","",IF(COUNTIF(DATA!CM:CM,$A:$A)=0,"×","√")),""))</f>
        <v/>
      </c>
      <c r="CM43" s="32" t="str">
        <f ca="1">IF($A43="","",IF(IF(CM$2&lt;=$A$1,1,0),IF(CM$4="休","",IF(COUNTIF(DATA!CN:CN,$A:$A)=0,"×","√")),""))</f>
        <v/>
      </c>
      <c r="CN43" s="32" t="str">
        <f ca="1">IF($A43="","",IF(IF(CN$2&lt;=$A$1,1,0),IF(CN$4="休","",IF(COUNTIF(DATA!CO:CO,$A:$A)=0,"×","√")),""))</f>
        <v/>
      </c>
      <c r="CO43" s="32" t="str">
        <f ca="1">IF($A43="","",IF(IF(CO$2&lt;=$A$1,1,0),IF(CO$4="休","",IF(COUNTIF(DATA!CP:CP,$A:$A)=0,"×","√")),""))</f>
        <v/>
      </c>
      <c r="CP43" s="32" t="str">
        <f ca="1">IF($A43="","",IF(IF(CP$2&lt;=$A$1,1,0),IF(CP$4="休","",IF(COUNTIF(DATA!CQ:CQ,$A:$A)=0,"×","√")),""))</f>
        <v/>
      </c>
      <c r="CQ43" s="32" t="str">
        <f ca="1">IF($A43="","",IF(IF(CQ$2&lt;=$A$1,1,0),IF(CQ$4="休","",IF(COUNTIF(DATA!CR:CR,$A:$A)=0,"×","√")),""))</f>
        <v/>
      </c>
      <c r="CR43" s="32" t="str">
        <f ca="1">IF($A43="","",IF(IF(CR$2&lt;=$A$1,1,0),IF(CR$4="休","",IF(COUNTIF(DATA!CS:CS,$A:$A)=0,"×","√")),""))</f>
        <v/>
      </c>
    </row>
    <row r="44" s="26" customFormat="1" ht="18.75" spans="1:96">
      <c r="A44" s="32" t="str">
        <f>DATA!$A43&amp;""</f>
        <v>王思雨</v>
      </c>
      <c r="B44" s="32" t="str">
        <f ca="1">IF($A44="","",IF(IF(B$2&lt;=$A$1,1,0),IF(B$4="休","",IF(COUNTIF(DATA!C:C,$A:$A)=0,"×","√")),""))</f>
        <v>√</v>
      </c>
      <c r="C44" s="32" t="str">
        <f ca="1">IF($A44="","",IF(IF(C$2&lt;=$A$1,1,0),IF(C$4="休","",IF(COUNTIF(DATA!D:D,$A:$A)=0,"×","√")),""))</f>
        <v>√</v>
      </c>
      <c r="D44" s="32" t="str">
        <f ca="1">IF($A44="","",IF(IF(D$2&lt;=$A$1,1,0),IF(D$4="休","",IF(COUNTIF(DATA!E:E,$A:$A)=0,"×","√")),""))</f>
        <v>√</v>
      </c>
      <c r="E44" s="32" t="str">
        <f ca="1">IF($A44="","",IF(IF(E$2&lt;=$A$1,1,0),IF(E$4="休","",IF(COUNTIF(DATA!F:F,$A:$A)=0,"×","√")),""))</f>
        <v>√</v>
      </c>
      <c r="F44" s="32" t="str">
        <f ca="1">IF($A44="","",IF(IF(F$2&lt;=$A$1,1,0),IF(F$4="休","",IF(COUNTIF(DATA!G:G,$A:$A)=0,"×","√")),""))</f>
        <v>√</v>
      </c>
      <c r="G44" s="32" t="str">
        <f ca="1">IF($A44="","",IF(IF(G$2&lt;=$A$1,1,0),IF(G$4="休","",IF(COUNTIF(DATA!H:H,$A:$A)=0,"×","√")),""))</f>
        <v>√</v>
      </c>
      <c r="H44" s="32" t="str">
        <f ca="1">IF($A44="","",IF(IF(H$2&lt;=$A$1,1,0),IF(H$4="休","",IF(COUNTIF(DATA!I:I,$A:$A)=0,"×","√")),""))</f>
        <v>√</v>
      </c>
      <c r="I44" s="32" t="str">
        <f ca="1">IF($A44="","",IF(IF(I$2&lt;=$A$1,1,0),IF(I$4="休","",IF(COUNTIF(DATA!J:J,$A:$A)=0,"×","√")),""))</f>
        <v>√</v>
      </c>
      <c r="J44" s="32" t="str">
        <f ca="1">IF($A44="","",IF(IF(J$2&lt;=$A$1,1,0),IF(J$4="休","",IF(COUNTIF(DATA!K:K,$A:$A)=0,"×","√")),""))</f>
        <v/>
      </c>
      <c r="K44" s="32" t="str">
        <f ca="1">IF($A44="","",IF(IF(K$2&lt;=$A$1,1,0),IF(K$4="休","",IF(COUNTIF(DATA!L:L,$A:$A)=0,"×","√")),""))</f>
        <v/>
      </c>
      <c r="L44" s="32" t="str">
        <f ca="1">IF($A44="","",IF(IF(L$2&lt;=$A$1,1,0),IF(L$4="休","",IF(COUNTIF(DATA!M:M,$A:$A)=0,"×","√")),""))</f>
        <v/>
      </c>
      <c r="M44" s="32" t="str">
        <f ca="1">IF($A44="","",IF(IF(M$2&lt;=$A$1,1,0),IF(M$4="休","",IF(COUNTIF(DATA!N:N,$A:$A)=0,"×","√")),""))</f>
        <v/>
      </c>
      <c r="N44" s="32" t="str">
        <f ca="1">IF($A44="","",IF(IF(N$2&lt;=$A$1,1,0),IF(N$4="休","",IF(COUNTIF(DATA!O:O,$A:$A)=0,"×","√")),""))</f>
        <v/>
      </c>
      <c r="O44" s="32" t="str">
        <f ca="1">IF($A44="","",IF(IF(O$2&lt;=$A$1,1,0),IF(O$4="休","",IF(COUNTIF(DATA!P:P,$A:$A)=0,"×","√")),""))</f>
        <v/>
      </c>
      <c r="P44" s="32" t="str">
        <f ca="1">IF($A44="","",IF(IF(P$2&lt;=$A$1,1,0),IF(P$4="休","",IF(COUNTIF(DATA!Q:Q,$A:$A)=0,"×","√")),""))</f>
        <v/>
      </c>
      <c r="Q44" s="32" t="str">
        <f ca="1">IF($A44="","",IF(IF(Q$2&lt;=$A$1,1,0),IF(Q$4="休","",IF(COUNTIF(DATA!R:R,$A:$A)=0,"×","√")),""))</f>
        <v/>
      </c>
      <c r="R44" s="32" t="str">
        <f ca="1">IF($A44="","",IF(IF(R$2&lt;=$A$1,1,0),IF(R$4="休","",IF(COUNTIF(DATA!S:S,$A:$A)=0,"×","√")),""))</f>
        <v/>
      </c>
      <c r="S44" s="32" t="str">
        <f ca="1">IF($A44="","",IF(IF(S$2&lt;=$A$1,1,0),IF(S$4="休","",IF(COUNTIF(DATA!T:T,$A:$A)=0,"×","√")),""))</f>
        <v/>
      </c>
      <c r="T44" s="32" t="str">
        <f ca="1">IF($A44="","",IF(IF(T$2&lt;=$A$1,1,0),IF(T$4="休","",IF(COUNTIF(DATA!U:U,$A:$A)=0,"×","√")),""))</f>
        <v/>
      </c>
      <c r="U44" s="32" t="str">
        <f ca="1">IF($A44="","",IF(IF(U$2&lt;=$A$1,1,0),IF(U$4="休","",IF(COUNTIF(DATA!V:V,$A:$A)=0,"×","√")),""))</f>
        <v/>
      </c>
      <c r="V44" s="32" t="str">
        <f ca="1">IF($A44="","",IF(IF(V$2&lt;=$A$1,1,0),IF(V$4="休","",IF(COUNTIF(DATA!W:W,$A:$A)=0,"×","√")),""))</f>
        <v/>
      </c>
      <c r="W44" s="32" t="str">
        <f ca="1">IF($A44="","",IF(IF(W$2&lt;=$A$1,1,0),IF(W$4="休","",IF(COUNTIF(DATA!X:X,$A:$A)=0,"×","√")),""))</f>
        <v/>
      </c>
      <c r="X44" s="32" t="str">
        <f ca="1">IF($A44="","",IF(IF(X$2&lt;=$A$1,1,0),IF(X$4="休","",IF(COUNTIF(DATA!Y:Y,$A:$A)=0,"×","√")),""))</f>
        <v/>
      </c>
      <c r="Y44" s="32" t="str">
        <f ca="1">IF($A44="","",IF(IF(Y$2&lt;=$A$1,1,0),IF(Y$4="休","",IF(COUNTIF(DATA!Z:Z,$A:$A)=0,"×","√")),""))</f>
        <v/>
      </c>
      <c r="Z44" s="32" t="str">
        <f ca="1">IF($A44="","",IF(IF(Z$2&lt;=$A$1,1,0),IF(Z$4="休","",IF(COUNTIF(DATA!AA:AA,$A:$A)=0,"×","√")),""))</f>
        <v/>
      </c>
      <c r="AA44" s="32" t="str">
        <f ca="1">IF($A44="","",IF(IF(AA$2&lt;=$A$1,1,0),IF(AA$4="休","",IF(COUNTIF(DATA!AB:AB,$A:$A)=0,"×","√")),""))</f>
        <v/>
      </c>
      <c r="AB44" s="32" t="str">
        <f ca="1">IF($A44="","",IF(IF(AB$2&lt;=$A$1,1,0),IF(AB$4="休","",IF(COUNTIF(DATA!AC:AC,$A:$A)=0,"×","√")),""))</f>
        <v/>
      </c>
      <c r="AC44" s="32" t="str">
        <f ca="1">IF($A44="","",IF(IF(AC$2&lt;=$A$1,1,0),IF(AC$4="休","",IF(COUNTIF(DATA!AD:AD,$A:$A)=0,"×","√")),""))</f>
        <v/>
      </c>
      <c r="AD44" s="32" t="str">
        <f ca="1">IF($A44="","",IF(IF(AD$2&lt;=$A$1,1,0),IF(AD$4="休","",IF(COUNTIF(DATA!AE:AE,$A:$A)=0,"×","√")),""))</f>
        <v/>
      </c>
      <c r="AE44" s="32" t="str">
        <f ca="1">IF($A44="","",IF(IF(AE$2&lt;=$A$1,1,0),IF(AE$4="休","",IF(COUNTIF(DATA!AF:AF,$A:$A)=0,"×","√")),""))</f>
        <v/>
      </c>
      <c r="AF44" s="32" t="str">
        <f ca="1">IF($A44="","",IF(IF(AF$2&lt;=$A$1,1,0),IF(AF$4="休","",IF(COUNTIF(DATA!AG:AG,$A:$A)=0,"×","√")),""))</f>
        <v/>
      </c>
      <c r="AG44" s="32" t="str">
        <f ca="1">IF($A44="","",IF(IF(AG$2&lt;=$A$1,1,0),IF(AG$4="休","",IF(COUNTIF(DATA!AH:AH,$A:$A)=0,"×","√")),""))</f>
        <v/>
      </c>
      <c r="AH44" s="32" t="str">
        <f ca="1">IF($A44="","",IF(IF(AH$2&lt;=$A$1,1,0),IF(AH$4="休","",IF(COUNTIF(DATA!AI:AI,$A:$A)=0,"×","√")),""))</f>
        <v/>
      </c>
      <c r="AI44" s="32" t="str">
        <f ca="1">IF($A44="","",IF(IF(AI$2&lt;=$A$1,1,0),IF(AI$4="休","",IF(COUNTIF(DATA!AJ:AJ,$A:$A)=0,"×","√")),""))</f>
        <v/>
      </c>
      <c r="AJ44" s="32" t="str">
        <f ca="1">IF($A44="","",IF(IF(AJ$2&lt;=$A$1,1,0),IF(AJ$4="休","",IF(COUNTIF(DATA!AK:AK,$A:$A)=0,"×","√")),""))</f>
        <v/>
      </c>
      <c r="AK44" s="32" t="str">
        <f ca="1">IF($A44="","",IF(IF(AK$2&lt;=$A$1,1,0),IF(AK$4="休","",IF(COUNTIF(DATA!AL:AL,$A:$A)=0,"×","√")),""))</f>
        <v/>
      </c>
      <c r="AL44" s="32" t="str">
        <f ca="1">IF($A44="","",IF(IF(AL$2&lt;=$A$1,1,0),IF(AL$4="休","",IF(COUNTIF(DATA!AM:AM,$A:$A)=0,"×","√")),""))</f>
        <v/>
      </c>
      <c r="AM44" s="32" t="str">
        <f ca="1">IF($A44="","",IF(IF(AM$2&lt;=$A$1,1,0),IF(AM$4="休","",IF(COUNTIF(DATA!AN:AN,$A:$A)=0,"×","√")),""))</f>
        <v/>
      </c>
      <c r="AN44" s="32" t="str">
        <f ca="1">IF($A44="","",IF(IF(AN$2&lt;=$A$1,1,0),IF(AN$4="休","",IF(COUNTIF(DATA!AO:AO,$A:$A)=0,"×","√")),""))</f>
        <v/>
      </c>
      <c r="AO44" s="32" t="str">
        <f ca="1">IF($A44="","",IF(IF(AO$2&lt;=$A$1,1,0),IF(AO$4="休","",IF(COUNTIF(DATA!AP:AP,$A:$A)=0,"×","√")),""))</f>
        <v/>
      </c>
      <c r="AP44" s="32" t="str">
        <f ca="1">IF($A44="","",IF(IF(AP$2&lt;=$A$1,1,0),IF(AP$4="休","",IF(COUNTIF(DATA!AQ:AQ,$A:$A)=0,"×","√")),""))</f>
        <v/>
      </c>
      <c r="AQ44" s="32" t="str">
        <f ca="1">IF($A44="","",IF(IF(AQ$2&lt;=$A$1,1,0),IF(AQ$4="休","",IF(COUNTIF(DATA!AR:AR,$A:$A)=0,"×","√")),""))</f>
        <v/>
      </c>
      <c r="AR44" s="32" t="str">
        <f ca="1">IF($A44="","",IF(IF(AR$2&lt;=$A$1,1,0),IF(AR$4="休","",IF(COUNTIF(DATA!AS:AS,$A:$A)=0,"×","√")),""))</f>
        <v/>
      </c>
      <c r="AS44" s="32" t="str">
        <f ca="1">IF($A44="","",IF(IF(AS$2&lt;=$A$1,1,0),IF(AS$4="休","",IF(COUNTIF(DATA!AT:AT,$A:$A)=0,"×","√")),""))</f>
        <v/>
      </c>
      <c r="AT44" s="32" t="str">
        <f ca="1">IF($A44="","",IF(IF(AT$2&lt;=$A$1,1,0),IF(AT$4="休","",IF(COUNTIF(DATA!AU:AU,$A:$A)=0,"×","√")),""))</f>
        <v/>
      </c>
      <c r="AU44" s="32" t="str">
        <f ca="1">IF($A44="","",IF(IF(AU$2&lt;=$A$1,1,0),IF(AU$4="休","",IF(COUNTIF(DATA!AV:AV,$A:$A)=0,"×","√")),""))</f>
        <v/>
      </c>
      <c r="AV44" s="32" t="str">
        <f ca="1">IF($A44="","",IF(IF(AV$2&lt;=$A$1,1,0),IF(AV$4="休","",IF(COUNTIF(DATA!AW:AW,$A:$A)=0,"×","√")),""))</f>
        <v/>
      </c>
      <c r="AW44" s="32" t="str">
        <f ca="1">IF($A44="","",IF(IF(AW$2&lt;=$A$1,1,0),IF(AW$4="休","",IF(COUNTIF(DATA!AX:AX,$A:$A)=0,"×","√")),""))</f>
        <v/>
      </c>
      <c r="AX44" s="32" t="str">
        <f ca="1">IF($A44="","",IF(IF(AX$2&lt;=$A$1,1,0),IF(AX$4="休","",IF(COUNTIF(DATA!AY:AY,$A:$A)=0,"×","√")),""))</f>
        <v/>
      </c>
      <c r="AY44" s="32" t="str">
        <f ca="1">IF($A44="","",IF(IF(AY$2&lt;=$A$1,1,0),IF(AY$4="休","",IF(COUNTIF(DATA!AZ:AZ,$A:$A)=0,"×","√")),""))</f>
        <v/>
      </c>
      <c r="AZ44" s="32" t="str">
        <f ca="1">IF($A44="","",IF(IF(AZ$2&lt;=$A$1,1,0),IF(AZ$4="休","",IF(COUNTIF(DATA!BA:BA,$A:$A)=0,"×","√")),""))</f>
        <v/>
      </c>
      <c r="BA44" s="32" t="str">
        <f ca="1">IF($A44="","",IF(IF(BA$2&lt;=$A$1,1,0),IF(BA$4="休","",IF(COUNTIF(DATA!BB:BB,$A:$A)=0,"×","√")),""))</f>
        <v/>
      </c>
      <c r="BB44" s="32" t="str">
        <f ca="1">IF($A44="","",IF(IF(BB$2&lt;=$A$1,1,0),IF(BB$4="休","",IF(COUNTIF(DATA!BC:BC,$A:$A)=0,"×","√")),""))</f>
        <v/>
      </c>
      <c r="BC44" s="32" t="str">
        <f ca="1">IF($A44="","",IF(IF(BC$2&lt;=$A$1,1,0),IF(BC$4="休","",IF(COUNTIF(DATA!BD:BD,$A:$A)=0,"×","√")),""))</f>
        <v/>
      </c>
      <c r="BD44" s="32" t="str">
        <f ca="1">IF($A44="","",IF(IF(BD$2&lt;=$A$1,1,0),IF(BD$4="休","",IF(COUNTIF(DATA!BE:BE,$A:$A)=0,"×","√")),""))</f>
        <v/>
      </c>
      <c r="BE44" s="32" t="str">
        <f ca="1">IF($A44="","",IF(IF(BE$2&lt;=$A$1,1,0),IF(BE$4="休","",IF(COUNTIF(DATA!BF:BF,$A:$A)=0,"×","√")),""))</f>
        <v/>
      </c>
      <c r="BF44" s="32" t="str">
        <f ca="1">IF($A44="","",IF(IF(BF$2&lt;=$A$1,1,0),IF(BF$4="休","",IF(COUNTIF(DATA!BG:BG,$A:$A)=0,"×","√")),""))</f>
        <v/>
      </c>
      <c r="BG44" s="32" t="str">
        <f ca="1">IF($A44="","",IF(IF(BG$2&lt;=$A$1,1,0),IF(BG$4="休","",IF(COUNTIF(DATA!BH:BH,$A:$A)=0,"×","√")),""))</f>
        <v/>
      </c>
      <c r="BH44" s="32" t="str">
        <f ca="1">IF($A44="","",IF(IF(BH$2&lt;=$A$1,1,0),IF(BH$4="休","",IF(COUNTIF(DATA!BI:BI,$A:$A)=0,"×","√")),""))</f>
        <v/>
      </c>
      <c r="BI44" s="32" t="str">
        <f ca="1">IF($A44="","",IF(IF(BI$2&lt;=$A$1,1,0),IF(BI$4="休","",IF(COUNTIF(DATA!BJ:BJ,$A:$A)=0,"×","√")),""))</f>
        <v/>
      </c>
      <c r="BJ44" s="32" t="str">
        <f ca="1">IF($A44="","",IF(IF(BJ$2&lt;=$A$1,1,0),IF(BJ$4="休","",IF(COUNTIF(DATA!BK:BK,$A:$A)=0,"×","√")),""))</f>
        <v/>
      </c>
      <c r="BK44" s="32" t="str">
        <f ca="1">IF($A44="","",IF(IF(BK$2&lt;=$A$1,1,0),IF(BK$4="休","",IF(COUNTIF(DATA!BL:BL,$A:$A)=0,"×","√")),""))</f>
        <v/>
      </c>
      <c r="BL44" s="32" t="str">
        <f ca="1">IF($A44="","",IF(IF(BL$2&lt;=$A$1,1,0),IF(BL$4="休","",IF(COUNTIF(DATA!BM:BM,$A:$A)=0,"×","√")),""))</f>
        <v/>
      </c>
      <c r="BM44" s="32" t="str">
        <f ca="1">IF($A44="","",IF(IF(BM$2&lt;=$A$1,1,0),IF(BM$4="休","",IF(COUNTIF(DATA!BN:BN,$A:$A)=0,"×","√")),""))</f>
        <v/>
      </c>
      <c r="BN44" s="32" t="str">
        <f ca="1">IF($A44="","",IF(IF(BN$2&lt;=$A$1,1,0),IF(BN$4="休","",IF(COUNTIF(DATA!BO:BO,$A:$A)=0,"×","√")),""))</f>
        <v/>
      </c>
      <c r="BO44" s="32" t="str">
        <f ca="1">IF($A44="","",IF(IF(BO$2&lt;=$A$1,1,0),IF(BO$4="休","",IF(COUNTIF(DATA!BP:BP,$A:$A)=0,"×","√")),""))</f>
        <v/>
      </c>
      <c r="BP44" s="32" t="str">
        <f ca="1">IF($A44="","",IF(IF(BP$2&lt;=$A$1,1,0),IF(BP$4="休","",IF(COUNTIF(DATA!BQ:BQ,$A:$A)=0,"×","√")),""))</f>
        <v/>
      </c>
      <c r="BQ44" s="32" t="str">
        <f ca="1">IF($A44="","",IF(IF(BQ$2&lt;=$A$1,1,0),IF(BQ$4="休","",IF(COUNTIF(DATA!BR:BR,$A:$A)=0,"×","√")),""))</f>
        <v/>
      </c>
      <c r="BR44" s="32" t="str">
        <f ca="1">IF($A44="","",IF(IF(BR$2&lt;=$A$1,1,0),IF(BR$4="休","",IF(COUNTIF(DATA!BS:BS,$A:$A)=0,"×","√")),""))</f>
        <v/>
      </c>
      <c r="BS44" s="32" t="str">
        <f ca="1">IF($A44="","",IF(IF(BS$2&lt;=$A$1,1,0),IF(BS$4="休","",IF(COUNTIF(DATA!BT:BT,$A:$A)=0,"×","√")),""))</f>
        <v/>
      </c>
      <c r="BT44" s="32" t="str">
        <f ca="1">IF($A44="","",IF(IF(BT$2&lt;=$A$1,1,0),IF(BT$4="休","",IF(COUNTIF(DATA!BU:BU,$A:$A)=0,"×","√")),""))</f>
        <v/>
      </c>
      <c r="BU44" s="32" t="str">
        <f ca="1">IF($A44="","",IF(IF(BU$2&lt;=$A$1,1,0),IF(BU$4="休","",IF(COUNTIF(DATA!BV:BV,$A:$A)=0,"×","√")),""))</f>
        <v/>
      </c>
      <c r="BV44" s="32" t="str">
        <f ca="1">IF($A44="","",IF(IF(BV$2&lt;=$A$1,1,0),IF(BV$4="休","",IF(COUNTIF(DATA!BW:BW,$A:$A)=0,"×","√")),""))</f>
        <v/>
      </c>
      <c r="BW44" s="32" t="str">
        <f ca="1">IF($A44="","",IF(IF(BW$2&lt;=$A$1,1,0),IF(BW$4="休","",IF(COUNTIF(DATA!BX:BX,$A:$A)=0,"×","√")),""))</f>
        <v/>
      </c>
      <c r="BX44" s="32" t="str">
        <f ca="1">IF($A44="","",IF(IF(BX$2&lt;=$A$1,1,0),IF(BX$4="休","",IF(COUNTIF(DATA!BY:BY,$A:$A)=0,"×","√")),""))</f>
        <v/>
      </c>
      <c r="BY44" s="32" t="str">
        <f ca="1">IF($A44="","",IF(IF(BY$2&lt;=$A$1,1,0),IF(BY$4="休","",IF(COUNTIF(DATA!BZ:BZ,$A:$A)=0,"×","√")),""))</f>
        <v/>
      </c>
      <c r="BZ44" s="32" t="str">
        <f ca="1">IF($A44="","",IF(IF(BZ$2&lt;=$A$1,1,0),IF(BZ$4="休","",IF(COUNTIF(DATA!CA:CA,$A:$A)=0,"×","√")),""))</f>
        <v/>
      </c>
      <c r="CA44" s="32" t="str">
        <f ca="1">IF($A44="","",IF(IF(CA$2&lt;=$A$1,1,0),IF(CA$4="休","",IF(COUNTIF(DATA!CB:CB,$A:$A)=0,"×","√")),""))</f>
        <v/>
      </c>
      <c r="CB44" s="32" t="str">
        <f ca="1">IF($A44="","",IF(IF(CB$2&lt;=$A$1,1,0),IF(CB$4="休","",IF(COUNTIF(DATA!CC:CC,$A:$A)=0,"×","√")),""))</f>
        <v/>
      </c>
      <c r="CC44" s="32" t="str">
        <f ca="1">IF($A44="","",IF(IF(CC$2&lt;=$A$1,1,0),IF(CC$4="休","",IF(COUNTIF(DATA!CD:CD,$A:$A)=0,"×","√")),""))</f>
        <v/>
      </c>
      <c r="CD44" s="32" t="str">
        <f ca="1">IF($A44="","",IF(IF(CD$2&lt;=$A$1,1,0),IF(CD$4="休","",IF(COUNTIF(DATA!CE:CE,$A:$A)=0,"×","√")),""))</f>
        <v/>
      </c>
      <c r="CE44" s="32" t="str">
        <f ca="1">IF($A44="","",IF(IF(CE$2&lt;=$A$1,1,0),IF(CE$4="休","",IF(COUNTIF(DATA!CF:CF,$A:$A)=0,"×","√")),""))</f>
        <v/>
      </c>
      <c r="CF44" s="32" t="str">
        <f ca="1">IF($A44="","",IF(IF(CF$2&lt;=$A$1,1,0),IF(CF$4="休","",IF(COUNTIF(DATA!CG:CG,$A:$A)=0,"×","√")),""))</f>
        <v/>
      </c>
      <c r="CG44" s="32" t="str">
        <f ca="1">IF($A44="","",IF(IF(CG$2&lt;=$A$1,1,0),IF(CG$4="休","",IF(COUNTIF(DATA!CH:CH,$A:$A)=0,"×","√")),""))</f>
        <v/>
      </c>
      <c r="CH44" s="32" t="str">
        <f ca="1">IF($A44="","",IF(IF(CH$2&lt;=$A$1,1,0),IF(CH$4="休","",IF(COUNTIF(DATA!CI:CI,$A:$A)=0,"×","√")),""))</f>
        <v/>
      </c>
      <c r="CI44" s="32" t="str">
        <f ca="1">IF($A44="","",IF(IF(CI$2&lt;=$A$1,1,0),IF(CI$4="休","",IF(COUNTIF(DATA!CJ:CJ,$A:$A)=0,"×","√")),""))</f>
        <v/>
      </c>
      <c r="CJ44" s="32" t="str">
        <f ca="1">IF($A44="","",IF(IF(CJ$2&lt;=$A$1,1,0),IF(CJ$4="休","",IF(COUNTIF(DATA!CK:CK,$A:$A)=0,"×","√")),""))</f>
        <v/>
      </c>
      <c r="CK44" s="32" t="str">
        <f ca="1">IF($A44="","",IF(IF(CK$2&lt;=$A$1,1,0),IF(CK$4="休","",IF(COUNTIF(DATA!CL:CL,$A:$A)=0,"×","√")),""))</f>
        <v/>
      </c>
      <c r="CL44" s="32" t="str">
        <f ca="1">IF($A44="","",IF(IF(CL$2&lt;=$A$1,1,0),IF(CL$4="休","",IF(COUNTIF(DATA!CM:CM,$A:$A)=0,"×","√")),""))</f>
        <v/>
      </c>
      <c r="CM44" s="32" t="str">
        <f ca="1">IF($A44="","",IF(IF(CM$2&lt;=$A$1,1,0),IF(CM$4="休","",IF(COUNTIF(DATA!CN:CN,$A:$A)=0,"×","√")),""))</f>
        <v/>
      </c>
      <c r="CN44" s="32" t="str">
        <f ca="1">IF($A44="","",IF(IF(CN$2&lt;=$A$1,1,0),IF(CN$4="休","",IF(COUNTIF(DATA!CO:CO,$A:$A)=0,"×","√")),""))</f>
        <v/>
      </c>
      <c r="CO44" s="32" t="str">
        <f ca="1">IF($A44="","",IF(IF(CO$2&lt;=$A$1,1,0),IF(CO$4="休","",IF(COUNTIF(DATA!CP:CP,$A:$A)=0,"×","√")),""))</f>
        <v/>
      </c>
      <c r="CP44" s="32" t="str">
        <f ca="1">IF($A44="","",IF(IF(CP$2&lt;=$A$1,1,0),IF(CP$4="休","",IF(COUNTIF(DATA!CQ:CQ,$A:$A)=0,"×","√")),""))</f>
        <v/>
      </c>
      <c r="CQ44" s="32" t="str">
        <f ca="1">IF($A44="","",IF(IF(CQ$2&lt;=$A$1,1,0),IF(CQ$4="休","",IF(COUNTIF(DATA!CR:CR,$A:$A)=0,"×","√")),""))</f>
        <v/>
      </c>
      <c r="CR44" s="32" t="str">
        <f ca="1">IF($A44="","",IF(IF(CR$2&lt;=$A$1,1,0),IF(CR$4="休","",IF(COUNTIF(DATA!CS:CS,$A:$A)=0,"×","√")),""))</f>
        <v/>
      </c>
    </row>
    <row r="45" s="26" customFormat="1" ht="18.75" spans="1:96">
      <c r="A45" s="32" t="str">
        <f>DATA!$A44&amp;""</f>
        <v>陈纳森</v>
      </c>
      <c r="B45" s="32" t="str">
        <f ca="1">IF($A45="","",IF(IF(B$2&lt;=$A$1,1,0),IF(B$4="休","",IF(COUNTIF(DATA!C:C,$A:$A)=0,"×","√")),""))</f>
        <v>×</v>
      </c>
      <c r="C45" s="32" t="str">
        <f ca="1">IF($A45="","",IF(IF(C$2&lt;=$A$1,1,0),IF(C$4="休","",IF(COUNTIF(DATA!D:D,$A:$A)=0,"×","√")),""))</f>
        <v>×</v>
      </c>
      <c r="D45" s="32" t="str">
        <f ca="1">IF($A45="","",IF(IF(D$2&lt;=$A$1,1,0),IF(D$4="休","",IF(COUNTIF(DATA!E:E,$A:$A)=0,"×","√")),""))</f>
        <v>×</v>
      </c>
      <c r="E45" s="32" t="str">
        <f ca="1">IF($A45="","",IF(IF(E$2&lt;=$A$1,1,0),IF(E$4="休","",IF(COUNTIF(DATA!F:F,$A:$A)=0,"×","√")),""))</f>
        <v>×</v>
      </c>
      <c r="F45" s="32" t="str">
        <f ca="1">IF($A45="","",IF(IF(F$2&lt;=$A$1,1,0),IF(F$4="休","",IF(COUNTIF(DATA!G:G,$A:$A)=0,"×","√")),""))</f>
        <v>×</v>
      </c>
      <c r="G45" s="32" t="str">
        <f ca="1">IF($A45="","",IF(IF(G$2&lt;=$A$1,1,0),IF(G$4="休","",IF(COUNTIF(DATA!H:H,$A:$A)=0,"×","√")),""))</f>
        <v>×</v>
      </c>
      <c r="H45" s="32" t="str">
        <f ca="1">IF($A45="","",IF(IF(H$2&lt;=$A$1,1,0),IF(H$4="休","",IF(COUNTIF(DATA!I:I,$A:$A)=0,"×","√")),""))</f>
        <v>×</v>
      </c>
      <c r="I45" s="32" t="str">
        <f ca="1">IF($A45="","",IF(IF(I$2&lt;=$A$1,1,0),IF(I$4="休","",IF(COUNTIF(DATA!J:J,$A:$A)=0,"×","√")),""))</f>
        <v>×</v>
      </c>
      <c r="J45" s="32" t="str">
        <f ca="1">IF($A45="","",IF(IF(J$2&lt;=$A$1,1,0),IF(J$4="休","",IF(COUNTIF(DATA!K:K,$A:$A)=0,"×","√")),""))</f>
        <v/>
      </c>
      <c r="K45" s="32" t="str">
        <f ca="1">IF($A45="","",IF(IF(K$2&lt;=$A$1,1,0),IF(K$4="休","",IF(COUNTIF(DATA!L:L,$A:$A)=0,"×","√")),""))</f>
        <v/>
      </c>
      <c r="L45" s="32" t="str">
        <f ca="1">IF($A45="","",IF(IF(L$2&lt;=$A$1,1,0),IF(L$4="休","",IF(COUNTIF(DATA!M:M,$A:$A)=0,"×","√")),""))</f>
        <v/>
      </c>
      <c r="M45" s="32" t="str">
        <f ca="1">IF($A45="","",IF(IF(M$2&lt;=$A$1,1,0),IF(M$4="休","",IF(COUNTIF(DATA!N:N,$A:$A)=0,"×","√")),""))</f>
        <v/>
      </c>
      <c r="N45" s="32" t="str">
        <f ca="1">IF($A45="","",IF(IF(N$2&lt;=$A$1,1,0),IF(N$4="休","",IF(COUNTIF(DATA!O:O,$A:$A)=0,"×","√")),""))</f>
        <v/>
      </c>
      <c r="O45" s="32" t="str">
        <f ca="1">IF($A45="","",IF(IF(O$2&lt;=$A$1,1,0),IF(O$4="休","",IF(COUNTIF(DATA!P:P,$A:$A)=0,"×","√")),""))</f>
        <v/>
      </c>
      <c r="P45" s="32" t="str">
        <f ca="1">IF($A45="","",IF(IF(P$2&lt;=$A$1,1,0),IF(P$4="休","",IF(COUNTIF(DATA!Q:Q,$A:$A)=0,"×","√")),""))</f>
        <v/>
      </c>
      <c r="Q45" s="32" t="str">
        <f ca="1">IF($A45="","",IF(IF(Q$2&lt;=$A$1,1,0),IF(Q$4="休","",IF(COUNTIF(DATA!R:R,$A:$A)=0,"×","√")),""))</f>
        <v/>
      </c>
      <c r="R45" s="32" t="str">
        <f ca="1">IF($A45="","",IF(IF(R$2&lt;=$A$1,1,0),IF(R$4="休","",IF(COUNTIF(DATA!S:S,$A:$A)=0,"×","√")),""))</f>
        <v/>
      </c>
      <c r="S45" s="32" t="str">
        <f ca="1">IF($A45="","",IF(IF(S$2&lt;=$A$1,1,0),IF(S$4="休","",IF(COUNTIF(DATA!T:T,$A:$A)=0,"×","√")),""))</f>
        <v/>
      </c>
      <c r="T45" s="32" t="str">
        <f ca="1">IF($A45="","",IF(IF(T$2&lt;=$A$1,1,0),IF(T$4="休","",IF(COUNTIF(DATA!U:U,$A:$A)=0,"×","√")),""))</f>
        <v/>
      </c>
      <c r="U45" s="32" t="str">
        <f ca="1">IF($A45="","",IF(IF(U$2&lt;=$A$1,1,0),IF(U$4="休","",IF(COUNTIF(DATA!V:V,$A:$A)=0,"×","√")),""))</f>
        <v/>
      </c>
      <c r="V45" s="32" t="str">
        <f ca="1">IF($A45="","",IF(IF(V$2&lt;=$A$1,1,0),IF(V$4="休","",IF(COUNTIF(DATA!W:W,$A:$A)=0,"×","√")),""))</f>
        <v/>
      </c>
      <c r="W45" s="32" t="str">
        <f ca="1">IF($A45="","",IF(IF(W$2&lt;=$A$1,1,0),IF(W$4="休","",IF(COUNTIF(DATA!X:X,$A:$A)=0,"×","√")),""))</f>
        <v/>
      </c>
      <c r="X45" s="32" t="str">
        <f ca="1">IF($A45="","",IF(IF(X$2&lt;=$A$1,1,0),IF(X$4="休","",IF(COUNTIF(DATA!Y:Y,$A:$A)=0,"×","√")),""))</f>
        <v/>
      </c>
      <c r="Y45" s="32" t="str">
        <f ca="1">IF($A45="","",IF(IF(Y$2&lt;=$A$1,1,0),IF(Y$4="休","",IF(COUNTIF(DATA!Z:Z,$A:$A)=0,"×","√")),""))</f>
        <v/>
      </c>
      <c r="Z45" s="32" t="str">
        <f ca="1">IF($A45="","",IF(IF(Z$2&lt;=$A$1,1,0),IF(Z$4="休","",IF(COUNTIF(DATA!AA:AA,$A:$A)=0,"×","√")),""))</f>
        <v/>
      </c>
      <c r="AA45" s="32" t="str">
        <f ca="1">IF($A45="","",IF(IF(AA$2&lt;=$A$1,1,0),IF(AA$4="休","",IF(COUNTIF(DATA!AB:AB,$A:$A)=0,"×","√")),""))</f>
        <v/>
      </c>
      <c r="AB45" s="32" t="str">
        <f ca="1">IF($A45="","",IF(IF(AB$2&lt;=$A$1,1,0),IF(AB$4="休","",IF(COUNTIF(DATA!AC:AC,$A:$A)=0,"×","√")),""))</f>
        <v/>
      </c>
      <c r="AC45" s="32" t="str">
        <f ca="1">IF($A45="","",IF(IF(AC$2&lt;=$A$1,1,0),IF(AC$4="休","",IF(COUNTIF(DATA!AD:AD,$A:$A)=0,"×","√")),""))</f>
        <v/>
      </c>
      <c r="AD45" s="32" t="str">
        <f ca="1">IF($A45="","",IF(IF(AD$2&lt;=$A$1,1,0),IF(AD$4="休","",IF(COUNTIF(DATA!AE:AE,$A:$A)=0,"×","√")),""))</f>
        <v/>
      </c>
      <c r="AE45" s="32" t="str">
        <f ca="1">IF($A45="","",IF(IF(AE$2&lt;=$A$1,1,0),IF(AE$4="休","",IF(COUNTIF(DATA!AF:AF,$A:$A)=0,"×","√")),""))</f>
        <v/>
      </c>
      <c r="AF45" s="32" t="str">
        <f ca="1">IF($A45="","",IF(IF(AF$2&lt;=$A$1,1,0),IF(AF$4="休","",IF(COUNTIF(DATA!AG:AG,$A:$A)=0,"×","√")),""))</f>
        <v/>
      </c>
      <c r="AG45" s="32" t="str">
        <f ca="1">IF($A45="","",IF(IF(AG$2&lt;=$A$1,1,0),IF(AG$4="休","",IF(COUNTIF(DATA!AH:AH,$A:$A)=0,"×","√")),""))</f>
        <v/>
      </c>
      <c r="AH45" s="32" t="str">
        <f ca="1">IF($A45="","",IF(IF(AH$2&lt;=$A$1,1,0),IF(AH$4="休","",IF(COUNTIF(DATA!AI:AI,$A:$A)=0,"×","√")),""))</f>
        <v/>
      </c>
      <c r="AI45" s="32" t="str">
        <f ca="1">IF($A45="","",IF(IF(AI$2&lt;=$A$1,1,0),IF(AI$4="休","",IF(COUNTIF(DATA!AJ:AJ,$A:$A)=0,"×","√")),""))</f>
        <v/>
      </c>
      <c r="AJ45" s="32" t="str">
        <f ca="1">IF($A45="","",IF(IF(AJ$2&lt;=$A$1,1,0),IF(AJ$4="休","",IF(COUNTIF(DATA!AK:AK,$A:$A)=0,"×","√")),""))</f>
        <v/>
      </c>
      <c r="AK45" s="32" t="str">
        <f ca="1">IF($A45="","",IF(IF(AK$2&lt;=$A$1,1,0),IF(AK$4="休","",IF(COUNTIF(DATA!AL:AL,$A:$A)=0,"×","√")),""))</f>
        <v/>
      </c>
      <c r="AL45" s="32" t="str">
        <f ca="1">IF($A45="","",IF(IF(AL$2&lt;=$A$1,1,0),IF(AL$4="休","",IF(COUNTIF(DATA!AM:AM,$A:$A)=0,"×","√")),""))</f>
        <v/>
      </c>
      <c r="AM45" s="32" t="str">
        <f ca="1">IF($A45="","",IF(IF(AM$2&lt;=$A$1,1,0),IF(AM$4="休","",IF(COUNTIF(DATA!AN:AN,$A:$A)=0,"×","√")),""))</f>
        <v/>
      </c>
      <c r="AN45" s="32" t="str">
        <f ca="1">IF($A45="","",IF(IF(AN$2&lt;=$A$1,1,0),IF(AN$4="休","",IF(COUNTIF(DATA!AO:AO,$A:$A)=0,"×","√")),""))</f>
        <v/>
      </c>
      <c r="AO45" s="32" t="str">
        <f ca="1">IF($A45="","",IF(IF(AO$2&lt;=$A$1,1,0),IF(AO$4="休","",IF(COUNTIF(DATA!AP:AP,$A:$A)=0,"×","√")),""))</f>
        <v/>
      </c>
      <c r="AP45" s="32" t="str">
        <f ca="1">IF($A45="","",IF(IF(AP$2&lt;=$A$1,1,0),IF(AP$4="休","",IF(COUNTIF(DATA!AQ:AQ,$A:$A)=0,"×","√")),""))</f>
        <v/>
      </c>
      <c r="AQ45" s="32" t="str">
        <f ca="1">IF($A45="","",IF(IF(AQ$2&lt;=$A$1,1,0),IF(AQ$4="休","",IF(COUNTIF(DATA!AR:AR,$A:$A)=0,"×","√")),""))</f>
        <v/>
      </c>
      <c r="AR45" s="32" t="str">
        <f ca="1">IF($A45="","",IF(IF(AR$2&lt;=$A$1,1,0),IF(AR$4="休","",IF(COUNTIF(DATA!AS:AS,$A:$A)=0,"×","√")),""))</f>
        <v/>
      </c>
      <c r="AS45" s="32" t="str">
        <f ca="1">IF($A45="","",IF(IF(AS$2&lt;=$A$1,1,0),IF(AS$4="休","",IF(COUNTIF(DATA!AT:AT,$A:$A)=0,"×","√")),""))</f>
        <v/>
      </c>
      <c r="AT45" s="32" t="str">
        <f ca="1">IF($A45="","",IF(IF(AT$2&lt;=$A$1,1,0),IF(AT$4="休","",IF(COUNTIF(DATA!AU:AU,$A:$A)=0,"×","√")),""))</f>
        <v/>
      </c>
      <c r="AU45" s="32" t="str">
        <f ca="1">IF($A45="","",IF(IF(AU$2&lt;=$A$1,1,0),IF(AU$4="休","",IF(COUNTIF(DATA!AV:AV,$A:$A)=0,"×","√")),""))</f>
        <v/>
      </c>
      <c r="AV45" s="32" t="str">
        <f ca="1">IF($A45="","",IF(IF(AV$2&lt;=$A$1,1,0),IF(AV$4="休","",IF(COUNTIF(DATA!AW:AW,$A:$A)=0,"×","√")),""))</f>
        <v/>
      </c>
      <c r="AW45" s="32" t="str">
        <f ca="1">IF($A45="","",IF(IF(AW$2&lt;=$A$1,1,0),IF(AW$4="休","",IF(COUNTIF(DATA!AX:AX,$A:$A)=0,"×","√")),""))</f>
        <v/>
      </c>
      <c r="AX45" s="32" t="str">
        <f ca="1">IF($A45="","",IF(IF(AX$2&lt;=$A$1,1,0),IF(AX$4="休","",IF(COUNTIF(DATA!AY:AY,$A:$A)=0,"×","√")),""))</f>
        <v/>
      </c>
      <c r="AY45" s="32" t="str">
        <f ca="1">IF($A45="","",IF(IF(AY$2&lt;=$A$1,1,0),IF(AY$4="休","",IF(COUNTIF(DATA!AZ:AZ,$A:$A)=0,"×","√")),""))</f>
        <v/>
      </c>
      <c r="AZ45" s="32" t="str">
        <f ca="1">IF($A45="","",IF(IF(AZ$2&lt;=$A$1,1,0),IF(AZ$4="休","",IF(COUNTIF(DATA!BA:BA,$A:$A)=0,"×","√")),""))</f>
        <v/>
      </c>
      <c r="BA45" s="32" t="str">
        <f ca="1">IF($A45="","",IF(IF(BA$2&lt;=$A$1,1,0),IF(BA$4="休","",IF(COUNTIF(DATA!BB:BB,$A:$A)=0,"×","√")),""))</f>
        <v/>
      </c>
      <c r="BB45" s="32" t="str">
        <f ca="1">IF($A45="","",IF(IF(BB$2&lt;=$A$1,1,0),IF(BB$4="休","",IF(COUNTIF(DATA!BC:BC,$A:$A)=0,"×","√")),""))</f>
        <v/>
      </c>
      <c r="BC45" s="32" t="str">
        <f ca="1">IF($A45="","",IF(IF(BC$2&lt;=$A$1,1,0),IF(BC$4="休","",IF(COUNTIF(DATA!BD:BD,$A:$A)=0,"×","√")),""))</f>
        <v/>
      </c>
      <c r="BD45" s="32" t="str">
        <f ca="1">IF($A45="","",IF(IF(BD$2&lt;=$A$1,1,0),IF(BD$4="休","",IF(COUNTIF(DATA!BE:BE,$A:$A)=0,"×","√")),""))</f>
        <v/>
      </c>
      <c r="BE45" s="32" t="str">
        <f ca="1">IF($A45="","",IF(IF(BE$2&lt;=$A$1,1,0),IF(BE$4="休","",IF(COUNTIF(DATA!BF:BF,$A:$A)=0,"×","√")),""))</f>
        <v/>
      </c>
      <c r="BF45" s="32" t="str">
        <f ca="1">IF($A45="","",IF(IF(BF$2&lt;=$A$1,1,0),IF(BF$4="休","",IF(COUNTIF(DATA!BG:BG,$A:$A)=0,"×","√")),""))</f>
        <v/>
      </c>
      <c r="BG45" s="32" t="str">
        <f ca="1">IF($A45="","",IF(IF(BG$2&lt;=$A$1,1,0),IF(BG$4="休","",IF(COUNTIF(DATA!BH:BH,$A:$A)=0,"×","√")),""))</f>
        <v/>
      </c>
      <c r="BH45" s="32" t="str">
        <f ca="1">IF($A45="","",IF(IF(BH$2&lt;=$A$1,1,0),IF(BH$4="休","",IF(COUNTIF(DATA!BI:BI,$A:$A)=0,"×","√")),""))</f>
        <v/>
      </c>
      <c r="BI45" s="32" t="str">
        <f ca="1">IF($A45="","",IF(IF(BI$2&lt;=$A$1,1,0),IF(BI$4="休","",IF(COUNTIF(DATA!BJ:BJ,$A:$A)=0,"×","√")),""))</f>
        <v/>
      </c>
      <c r="BJ45" s="32" t="str">
        <f ca="1">IF($A45="","",IF(IF(BJ$2&lt;=$A$1,1,0),IF(BJ$4="休","",IF(COUNTIF(DATA!BK:BK,$A:$A)=0,"×","√")),""))</f>
        <v/>
      </c>
      <c r="BK45" s="32" t="str">
        <f ca="1">IF($A45="","",IF(IF(BK$2&lt;=$A$1,1,0),IF(BK$4="休","",IF(COUNTIF(DATA!BL:BL,$A:$A)=0,"×","√")),""))</f>
        <v/>
      </c>
      <c r="BL45" s="32" t="str">
        <f ca="1">IF($A45="","",IF(IF(BL$2&lt;=$A$1,1,0),IF(BL$4="休","",IF(COUNTIF(DATA!BM:BM,$A:$A)=0,"×","√")),""))</f>
        <v/>
      </c>
      <c r="BM45" s="32" t="str">
        <f ca="1">IF($A45="","",IF(IF(BM$2&lt;=$A$1,1,0),IF(BM$4="休","",IF(COUNTIF(DATA!BN:BN,$A:$A)=0,"×","√")),""))</f>
        <v/>
      </c>
      <c r="BN45" s="32" t="str">
        <f ca="1">IF($A45="","",IF(IF(BN$2&lt;=$A$1,1,0),IF(BN$4="休","",IF(COUNTIF(DATA!BO:BO,$A:$A)=0,"×","√")),""))</f>
        <v/>
      </c>
      <c r="BO45" s="32" t="str">
        <f ca="1">IF($A45="","",IF(IF(BO$2&lt;=$A$1,1,0),IF(BO$4="休","",IF(COUNTIF(DATA!BP:BP,$A:$A)=0,"×","√")),""))</f>
        <v/>
      </c>
      <c r="BP45" s="32" t="str">
        <f ca="1">IF($A45="","",IF(IF(BP$2&lt;=$A$1,1,0),IF(BP$4="休","",IF(COUNTIF(DATA!BQ:BQ,$A:$A)=0,"×","√")),""))</f>
        <v/>
      </c>
      <c r="BQ45" s="32" t="str">
        <f ca="1">IF($A45="","",IF(IF(BQ$2&lt;=$A$1,1,0),IF(BQ$4="休","",IF(COUNTIF(DATA!BR:BR,$A:$A)=0,"×","√")),""))</f>
        <v/>
      </c>
      <c r="BR45" s="32" t="str">
        <f ca="1">IF($A45="","",IF(IF(BR$2&lt;=$A$1,1,0),IF(BR$4="休","",IF(COUNTIF(DATA!BS:BS,$A:$A)=0,"×","√")),""))</f>
        <v/>
      </c>
      <c r="BS45" s="32" t="str">
        <f ca="1">IF($A45="","",IF(IF(BS$2&lt;=$A$1,1,0),IF(BS$4="休","",IF(COUNTIF(DATA!BT:BT,$A:$A)=0,"×","√")),""))</f>
        <v/>
      </c>
      <c r="BT45" s="32" t="str">
        <f ca="1">IF($A45="","",IF(IF(BT$2&lt;=$A$1,1,0),IF(BT$4="休","",IF(COUNTIF(DATA!BU:BU,$A:$A)=0,"×","√")),""))</f>
        <v/>
      </c>
      <c r="BU45" s="32" t="str">
        <f ca="1">IF($A45="","",IF(IF(BU$2&lt;=$A$1,1,0),IF(BU$4="休","",IF(COUNTIF(DATA!BV:BV,$A:$A)=0,"×","√")),""))</f>
        <v/>
      </c>
      <c r="BV45" s="32" t="str">
        <f ca="1">IF($A45="","",IF(IF(BV$2&lt;=$A$1,1,0),IF(BV$4="休","",IF(COUNTIF(DATA!BW:BW,$A:$A)=0,"×","√")),""))</f>
        <v/>
      </c>
      <c r="BW45" s="32" t="str">
        <f ca="1">IF($A45="","",IF(IF(BW$2&lt;=$A$1,1,0),IF(BW$4="休","",IF(COUNTIF(DATA!BX:BX,$A:$A)=0,"×","√")),""))</f>
        <v/>
      </c>
      <c r="BX45" s="32" t="str">
        <f ca="1">IF($A45="","",IF(IF(BX$2&lt;=$A$1,1,0),IF(BX$4="休","",IF(COUNTIF(DATA!BY:BY,$A:$A)=0,"×","√")),""))</f>
        <v/>
      </c>
      <c r="BY45" s="32" t="str">
        <f ca="1">IF($A45="","",IF(IF(BY$2&lt;=$A$1,1,0),IF(BY$4="休","",IF(COUNTIF(DATA!BZ:BZ,$A:$A)=0,"×","√")),""))</f>
        <v/>
      </c>
      <c r="BZ45" s="32" t="str">
        <f ca="1">IF($A45="","",IF(IF(BZ$2&lt;=$A$1,1,0),IF(BZ$4="休","",IF(COUNTIF(DATA!CA:CA,$A:$A)=0,"×","√")),""))</f>
        <v/>
      </c>
      <c r="CA45" s="32" t="str">
        <f ca="1">IF($A45="","",IF(IF(CA$2&lt;=$A$1,1,0),IF(CA$4="休","",IF(COUNTIF(DATA!CB:CB,$A:$A)=0,"×","√")),""))</f>
        <v/>
      </c>
      <c r="CB45" s="32" t="str">
        <f ca="1">IF($A45="","",IF(IF(CB$2&lt;=$A$1,1,0),IF(CB$4="休","",IF(COUNTIF(DATA!CC:CC,$A:$A)=0,"×","√")),""))</f>
        <v/>
      </c>
      <c r="CC45" s="32" t="str">
        <f ca="1">IF($A45="","",IF(IF(CC$2&lt;=$A$1,1,0),IF(CC$4="休","",IF(COUNTIF(DATA!CD:CD,$A:$A)=0,"×","√")),""))</f>
        <v/>
      </c>
      <c r="CD45" s="32" t="str">
        <f ca="1">IF($A45="","",IF(IF(CD$2&lt;=$A$1,1,0),IF(CD$4="休","",IF(COUNTIF(DATA!CE:CE,$A:$A)=0,"×","√")),""))</f>
        <v/>
      </c>
      <c r="CE45" s="32" t="str">
        <f ca="1">IF($A45="","",IF(IF(CE$2&lt;=$A$1,1,0),IF(CE$4="休","",IF(COUNTIF(DATA!CF:CF,$A:$A)=0,"×","√")),""))</f>
        <v/>
      </c>
      <c r="CF45" s="32" t="str">
        <f ca="1">IF($A45="","",IF(IF(CF$2&lt;=$A$1,1,0),IF(CF$4="休","",IF(COUNTIF(DATA!CG:CG,$A:$A)=0,"×","√")),""))</f>
        <v/>
      </c>
      <c r="CG45" s="32" t="str">
        <f ca="1">IF($A45="","",IF(IF(CG$2&lt;=$A$1,1,0),IF(CG$4="休","",IF(COUNTIF(DATA!CH:CH,$A:$A)=0,"×","√")),""))</f>
        <v/>
      </c>
      <c r="CH45" s="32" t="str">
        <f ca="1">IF($A45="","",IF(IF(CH$2&lt;=$A$1,1,0),IF(CH$4="休","",IF(COUNTIF(DATA!CI:CI,$A:$A)=0,"×","√")),""))</f>
        <v/>
      </c>
      <c r="CI45" s="32" t="str">
        <f ca="1">IF($A45="","",IF(IF(CI$2&lt;=$A$1,1,0),IF(CI$4="休","",IF(COUNTIF(DATA!CJ:CJ,$A:$A)=0,"×","√")),""))</f>
        <v/>
      </c>
      <c r="CJ45" s="32" t="str">
        <f ca="1">IF($A45="","",IF(IF(CJ$2&lt;=$A$1,1,0),IF(CJ$4="休","",IF(COUNTIF(DATA!CK:CK,$A:$A)=0,"×","√")),""))</f>
        <v/>
      </c>
      <c r="CK45" s="32" t="str">
        <f ca="1">IF($A45="","",IF(IF(CK$2&lt;=$A$1,1,0),IF(CK$4="休","",IF(COUNTIF(DATA!CL:CL,$A:$A)=0,"×","√")),""))</f>
        <v/>
      </c>
      <c r="CL45" s="32" t="str">
        <f ca="1">IF($A45="","",IF(IF(CL$2&lt;=$A$1,1,0),IF(CL$4="休","",IF(COUNTIF(DATA!CM:CM,$A:$A)=0,"×","√")),""))</f>
        <v/>
      </c>
      <c r="CM45" s="32" t="str">
        <f ca="1">IF($A45="","",IF(IF(CM$2&lt;=$A$1,1,0),IF(CM$4="休","",IF(COUNTIF(DATA!CN:CN,$A:$A)=0,"×","√")),""))</f>
        <v/>
      </c>
      <c r="CN45" s="32" t="str">
        <f ca="1">IF($A45="","",IF(IF(CN$2&lt;=$A$1,1,0),IF(CN$4="休","",IF(COUNTIF(DATA!CO:CO,$A:$A)=0,"×","√")),""))</f>
        <v/>
      </c>
      <c r="CO45" s="32" t="str">
        <f ca="1">IF($A45="","",IF(IF(CO$2&lt;=$A$1,1,0),IF(CO$4="休","",IF(COUNTIF(DATA!CP:CP,$A:$A)=0,"×","√")),""))</f>
        <v/>
      </c>
      <c r="CP45" s="32" t="str">
        <f ca="1">IF($A45="","",IF(IF(CP$2&lt;=$A$1,1,0),IF(CP$4="休","",IF(COUNTIF(DATA!CQ:CQ,$A:$A)=0,"×","√")),""))</f>
        <v/>
      </c>
      <c r="CQ45" s="32" t="str">
        <f ca="1">IF($A45="","",IF(IF(CQ$2&lt;=$A$1,1,0),IF(CQ$4="休","",IF(COUNTIF(DATA!CR:CR,$A:$A)=0,"×","√")),""))</f>
        <v/>
      </c>
      <c r="CR45" s="32" t="str">
        <f ca="1">IF($A45="","",IF(IF(CR$2&lt;=$A$1,1,0),IF(CR$4="休","",IF(COUNTIF(DATA!CS:CS,$A:$A)=0,"×","√")),""))</f>
        <v/>
      </c>
    </row>
  </sheetData>
  <sheetProtection algorithmName="SHA-512" hashValue="2mAGo/9YaYyDPENgwYVm7hNj5kjkYrX5BocHKfXNp42R6CnXWdxnSKB8r6hyZOk/saQrLMe/Y7RjRxg/mbB9zg==" saltValue="77aWRRZsSAuuQbeZLHmF3w==" spinCount="100000" sheet="1" objects="1" scenarios="1"/>
  <mergeCells count="2">
    <mergeCell ref="A1:AH1"/>
    <mergeCell ref="A2:A3"/>
  </mergeCells>
  <pageMargins left="0.75" right="0.75" top="1" bottom="1" header="0.5" footer="0.5"/>
  <pageSetup paperSize="9" orientation="portrait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theme="1"/>
  </sheetPr>
  <dimension ref="A1:CS2049"/>
  <sheetViews>
    <sheetView workbookViewId="0">
      <selection activeCell="A1" sqref="$A1:$XFD1048576"/>
    </sheetView>
  </sheetViews>
  <sheetFormatPr defaultColWidth="10.625" defaultRowHeight="16.5" zeroHeight="1"/>
  <cols>
    <col min="1" max="1" width="8.125" style="10" customWidth="1"/>
    <col min="2" max="2" width="2.75" style="9" customWidth="1"/>
    <col min="3" max="3" width="7.625" style="9" customWidth="1"/>
    <col min="4" max="10" width="13.625" style="9" customWidth="1"/>
    <col min="11" max="15" width="6.625" style="9" customWidth="1"/>
    <col min="16" max="34" width="7.625" style="9" customWidth="1"/>
    <col min="35" max="43" width="6.625" style="9" customWidth="1"/>
    <col min="44" max="65" width="7.625" style="9" customWidth="1"/>
    <col min="66" max="74" width="6.625" style="9" customWidth="1"/>
    <col min="75" max="95" width="7.625" style="9" customWidth="1"/>
    <col min="96" max="97" width="6.625" style="9" customWidth="1"/>
    <col min="98" max="16384" width="10.625" style="9" customWidth="1"/>
  </cols>
  <sheetData>
    <row r="1" s="7" customFormat="1" spans="1:97">
      <c r="A1" s="11" t="s">
        <v>73</v>
      </c>
      <c r="B1" s="12" t="s">
        <v>74</v>
      </c>
      <c r="C1" s="13">
        <v>44224</v>
      </c>
      <c r="D1" s="13">
        <v>44225</v>
      </c>
      <c r="E1" s="13">
        <v>44226</v>
      </c>
      <c r="F1" s="13">
        <v>44227</v>
      </c>
      <c r="G1" s="13">
        <v>44228</v>
      </c>
      <c r="H1" s="13">
        <v>44229</v>
      </c>
      <c r="I1" s="13">
        <v>44230</v>
      </c>
      <c r="J1" s="13">
        <v>44231</v>
      </c>
      <c r="K1" s="13">
        <v>44232</v>
      </c>
      <c r="L1" s="13">
        <v>44233</v>
      </c>
      <c r="M1" s="13">
        <v>44234</v>
      </c>
      <c r="N1" s="13">
        <v>44235</v>
      </c>
      <c r="O1" s="13">
        <v>44236</v>
      </c>
      <c r="P1" s="13">
        <v>44237</v>
      </c>
      <c r="Q1" s="13">
        <v>44238</v>
      </c>
      <c r="R1" s="13">
        <v>44239</v>
      </c>
      <c r="S1" s="13">
        <v>44240</v>
      </c>
      <c r="T1" s="13">
        <v>44241</v>
      </c>
      <c r="U1" s="13">
        <v>44242</v>
      </c>
      <c r="V1" s="13">
        <v>44243</v>
      </c>
      <c r="W1" s="13">
        <v>44244</v>
      </c>
      <c r="X1" s="13">
        <v>44245</v>
      </c>
      <c r="Y1" s="13">
        <v>44246</v>
      </c>
      <c r="Z1" s="13">
        <v>44247</v>
      </c>
      <c r="AA1" s="13">
        <v>44248</v>
      </c>
      <c r="AB1" s="13">
        <v>44249</v>
      </c>
      <c r="AC1" s="13">
        <v>44250</v>
      </c>
      <c r="AD1" s="13">
        <v>44251</v>
      </c>
      <c r="AE1" s="13">
        <v>44252</v>
      </c>
      <c r="AF1" s="13">
        <v>44253</v>
      </c>
      <c r="AG1" s="13">
        <v>44254</v>
      </c>
      <c r="AH1" s="13">
        <v>44255</v>
      </c>
      <c r="AI1" s="13">
        <v>44256</v>
      </c>
      <c r="AJ1" s="13">
        <v>44257</v>
      </c>
      <c r="AK1" s="13">
        <v>44258</v>
      </c>
      <c r="AL1" s="13">
        <v>44259</v>
      </c>
      <c r="AM1" s="13">
        <v>44260</v>
      </c>
      <c r="AN1" s="13">
        <v>44261</v>
      </c>
      <c r="AO1" s="13">
        <v>44262</v>
      </c>
      <c r="AP1" s="13">
        <v>44263</v>
      </c>
      <c r="AQ1" s="13">
        <v>44264</v>
      </c>
      <c r="AR1" s="13">
        <v>44265</v>
      </c>
      <c r="AS1" s="13">
        <v>44266</v>
      </c>
      <c r="AT1" s="13">
        <v>44267</v>
      </c>
      <c r="AU1" s="13">
        <v>44268</v>
      </c>
      <c r="AV1" s="13">
        <v>44269</v>
      </c>
      <c r="AW1" s="13">
        <v>44270</v>
      </c>
      <c r="AX1" s="13">
        <v>44271</v>
      </c>
      <c r="AY1" s="13">
        <v>44272</v>
      </c>
      <c r="AZ1" s="13">
        <v>44273</v>
      </c>
      <c r="BA1" s="13">
        <v>44274</v>
      </c>
      <c r="BB1" s="13">
        <v>44275</v>
      </c>
      <c r="BC1" s="13">
        <v>44276</v>
      </c>
      <c r="BD1" s="13">
        <v>44277</v>
      </c>
      <c r="BE1" s="13">
        <v>44278</v>
      </c>
      <c r="BF1" s="13">
        <v>44279</v>
      </c>
      <c r="BG1" s="13">
        <v>44280</v>
      </c>
      <c r="BH1" s="13">
        <v>44281</v>
      </c>
      <c r="BI1" s="13">
        <v>44282</v>
      </c>
      <c r="BJ1" s="13">
        <v>44283</v>
      </c>
      <c r="BK1" s="13">
        <v>44284</v>
      </c>
      <c r="BL1" s="13">
        <v>44285</v>
      </c>
      <c r="BM1" s="13">
        <v>44286</v>
      </c>
      <c r="BN1" s="13">
        <v>44287</v>
      </c>
      <c r="BO1" s="13">
        <v>44288</v>
      </c>
      <c r="BP1" s="13">
        <v>44289</v>
      </c>
      <c r="BQ1" s="13">
        <v>44290</v>
      </c>
      <c r="BR1" s="13">
        <v>44291</v>
      </c>
      <c r="BS1" s="13">
        <v>44292</v>
      </c>
      <c r="BT1" s="13">
        <v>44293</v>
      </c>
      <c r="BU1" s="13">
        <v>44294</v>
      </c>
      <c r="BV1" s="13">
        <v>44295</v>
      </c>
      <c r="BW1" s="13">
        <v>44296</v>
      </c>
      <c r="BX1" s="13">
        <v>44297</v>
      </c>
      <c r="BY1" s="13">
        <v>44298</v>
      </c>
      <c r="BZ1" s="13">
        <v>44299</v>
      </c>
      <c r="CA1" s="13">
        <v>44300</v>
      </c>
      <c r="CB1" s="13">
        <v>44301</v>
      </c>
      <c r="CC1" s="13">
        <v>44302</v>
      </c>
      <c r="CD1" s="13">
        <v>44303</v>
      </c>
      <c r="CE1" s="13">
        <v>44304</v>
      </c>
      <c r="CF1" s="13">
        <v>44305</v>
      </c>
      <c r="CG1" s="13">
        <v>44306</v>
      </c>
      <c r="CH1" s="13">
        <v>44307</v>
      </c>
      <c r="CI1" s="13">
        <v>44308</v>
      </c>
      <c r="CJ1" s="13">
        <v>44309</v>
      </c>
      <c r="CK1" s="13">
        <v>44310</v>
      </c>
      <c r="CL1" s="13">
        <v>44311</v>
      </c>
      <c r="CM1" s="13">
        <v>44312</v>
      </c>
      <c r="CN1" s="13">
        <v>44313</v>
      </c>
      <c r="CO1" s="13">
        <v>44314</v>
      </c>
      <c r="CP1" s="13">
        <v>44315</v>
      </c>
      <c r="CQ1" s="13">
        <v>44316</v>
      </c>
      <c r="CR1" s="13">
        <v>44317</v>
      </c>
      <c r="CS1" s="13">
        <v>44318</v>
      </c>
    </row>
    <row r="2" s="7" customFormat="1" spans="1:97">
      <c r="A2" s="11" t="s">
        <v>75</v>
      </c>
      <c r="B2" s="12"/>
      <c r="C2" s="13" t="s">
        <v>76</v>
      </c>
      <c r="D2" s="13" t="s">
        <v>77</v>
      </c>
      <c r="E2" s="13" t="s">
        <v>78</v>
      </c>
      <c r="F2" s="13" t="s">
        <v>79</v>
      </c>
      <c r="G2" s="13" t="s">
        <v>80</v>
      </c>
      <c r="H2" s="13" t="s">
        <v>81</v>
      </c>
      <c r="I2" s="13" t="s">
        <v>82</v>
      </c>
      <c r="J2" s="13" t="s">
        <v>76</v>
      </c>
      <c r="K2" s="13" t="s">
        <v>77</v>
      </c>
      <c r="L2" s="13" t="s">
        <v>78</v>
      </c>
      <c r="M2" s="13" t="s">
        <v>79</v>
      </c>
      <c r="N2" s="13" t="s">
        <v>80</v>
      </c>
      <c r="O2" s="13" t="s">
        <v>81</v>
      </c>
      <c r="P2" s="13" t="s">
        <v>82</v>
      </c>
      <c r="Q2" s="13" t="s">
        <v>76</v>
      </c>
      <c r="R2" s="13" t="s">
        <v>77</v>
      </c>
      <c r="S2" s="13" t="s">
        <v>78</v>
      </c>
      <c r="T2" s="13" t="s">
        <v>79</v>
      </c>
      <c r="U2" s="13" t="s">
        <v>80</v>
      </c>
      <c r="V2" s="13" t="s">
        <v>81</v>
      </c>
      <c r="W2" s="13" t="s">
        <v>82</v>
      </c>
      <c r="X2" s="13" t="s">
        <v>76</v>
      </c>
      <c r="Y2" s="13" t="s">
        <v>77</v>
      </c>
      <c r="Z2" s="13" t="s">
        <v>78</v>
      </c>
      <c r="AA2" s="13" t="s">
        <v>79</v>
      </c>
      <c r="AB2" s="13" t="s">
        <v>80</v>
      </c>
      <c r="AC2" s="13" t="s">
        <v>81</v>
      </c>
      <c r="AD2" s="13" t="s">
        <v>82</v>
      </c>
      <c r="AE2" s="13" t="s">
        <v>76</v>
      </c>
      <c r="AF2" s="13" t="s">
        <v>77</v>
      </c>
      <c r="AG2" s="13" t="s">
        <v>78</v>
      </c>
      <c r="AH2" s="13" t="s">
        <v>79</v>
      </c>
      <c r="AI2" s="13" t="s">
        <v>80</v>
      </c>
      <c r="AJ2" s="13" t="s">
        <v>81</v>
      </c>
      <c r="AK2" s="13" t="s">
        <v>82</v>
      </c>
      <c r="AL2" s="13" t="s">
        <v>76</v>
      </c>
      <c r="AM2" s="13" t="s">
        <v>77</v>
      </c>
      <c r="AN2" s="13" t="s">
        <v>78</v>
      </c>
      <c r="AO2" s="13" t="s">
        <v>79</v>
      </c>
      <c r="AP2" s="13" t="s">
        <v>80</v>
      </c>
      <c r="AQ2" s="13" t="s">
        <v>81</v>
      </c>
      <c r="AR2" s="13" t="s">
        <v>82</v>
      </c>
      <c r="AS2" s="13" t="s">
        <v>76</v>
      </c>
      <c r="AT2" s="13" t="s">
        <v>77</v>
      </c>
      <c r="AU2" s="13" t="s">
        <v>78</v>
      </c>
      <c r="AV2" s="13" t="s">
        <v>79</v>
      </c>
      <c r="AW2" s="13" t="s">
        <v>80</v>
      </c>
      <c r="AX2" s="13" t="s">
        <v>81</v>
      </c>
      <c r="AY2" s="13" t="s">
        <v>82</v>
      </c>
      <c r="AZ2" s="13" t="s">
        <v>76</v>
      </c>
      <c r="BA2" s="13" t="s">
        <v>77</v>
      </c>
      <c r="BB2" s="13" t="s">
        <v>78</v>
      </c>
      <c r="BC2" s="13" t="s">
        <v>79</v>
      </c>
      <c r="BD2" s="13" t="s">
        <v>80</v>
      </c>
      <c r="BE2" s="13" t="s">
        <v>81</v>
      </c>
      <c r="BF2" s="13" t="s">
        <v>82</v>
      </c>
      <c r="BG2" s="13" t="s">
        <v>76</v>
      </c>
      <c r="BH2" s="13" t="s">
        <v>77</v>
      </c>
      <c r="BI2" s="13" t="s">
        <v>78</v>
      </c>
      <c r="BJ2" s="13" t="s">
        <v>79</v>
      </c>
      <c r="BK2" s="13" t="s">
        <v>80</v>
      </c>
      <c r="BL2" s="13" t="s">
        <v>81</v>
      </c>
      <c r="BM2" s="13" t="s">
        <v>82</v>
      </c>
      <c r="BN2" s="13" t="s">
        <v>76</v>
      </c>
      <c r="BO2" s="13" t="s">
        <v>77</v>
      </c>
      <c r="BP2" s="13" t="s">
        <v>78</v>
      </c>
      <c r="BQ2" s="13" t="s">
        <v>79</v>
      </c>
      <c r="BR2" s="13" t="s">
        <v>80</v>
      </c>
      <c r="BS2" s="13" t="s">
        <v>81</v>
      </c>
      <c r="BT2" s="13" t="s">
        <v>82</v>
      </c>
      <c r="BU2" s="13" t="s">
        <v>76</v>
      </c>
      <c r="BV2" s="13" t="s">
        <v>77</v>
      </c>
      <c r="BW2" s="13" t="s">
        <v>78</v>
      </c>
      <c r="BX2" s="13" t="s">
        <v>79</v>
      </c>
      <c r="BY2" s="13" t="s">
        <v>80</v>
      </c>
      <c r="BZ2" s="13" t="s">
        <v>81</v>
      </c>
      <c r="CA2" s="13" t="s">
        <v>82</v>
      </c>
      <c r="CB2" s="13" t="s">
        <v>76</v>
      </c>
      <c r="CC2" s="13" t="s">
        <v>77</v>
      </c>
      <c r="CD2" s="13" t="s">
        <v>78</v>
      </c>
      <c r="CE2" s="13" t="s">
        <v>79</v>
      </c>
      <c r="CF2" s="13" t="s">
        <v>80</v>
      </c>
      <c r="CG2" s="13" t="s">
        <v>81</v>
      </c>
      <c r="CH2" s="13" t="s">
        <v>82</v>
      </c>
      <c r="CI2" s="13" t="s">
        <v>76</v>
      </c>
      <c r="CJ2" s="13" t="s">
        <v>77</v>
      </c>
      <c r="CK2" s="13" t="s">
        <v>78</v>
      </c>
      <c r="CL2" s="13" t="s">
        <v>79</v>
      </c>
      <c r="CM2" s="13" t="s">
        <v>80</v>
      </c>
      <c r="CN2" s="13" t="s">
        <v>81</v>
      </c>
      <c r="CO2" s="13" t="s">
        <v>82</v>
      </c>
      <c r="CP2" s="13" t="s">
        <v>76</v>
      </c>
      <c r="CQ2" s="13" t="s">
        <v>77</v>
      </c>
      <c r="CR2" s="13" t="s">
        <v>78</v>
      </c>
      <c r="CS2" s="13" t="s">
        <v>79</v>
      </c>
    </row>
    <row r="3" s="7" customFormat="1" spans="1:97">
      <c r="A3" s="11"/>
      <c r="B3" s="12"/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</row>
    <row r="4" s="8" customFormat="1" spans="1:97">
      <c r="A4" s="14" t="s">
        <v>22</v>
      </c>
      <c r="B4" s="15"/>
      <c r="C4" s="16" t="s">
        <v>35</v>
      </c>
      <c r="D4" s="17"/>
      <c r="E4" s="17"/>
      <c r="F4" s="17"/>
      <c r="G4" s="17"/>
      <c r="H4" s="17"/>
      <c r="I4" s="21"/>
      <c r="J4" s="21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  <c r="AD4" s="20"/>
      <c r="AE4" s="20"/>
      <c r="AF4" s="20"/>
      <c r="AG4" s="20"/>
      <c r="AH4" s="20"/>
      <c r="AI4" s="20"/>
      <c r="AJ4" s="20"/>
      <c r="AK4" s="20"/>
      <c r="AL4" s="20"/>
      <c r="AM4" s="20"/>
      <c r="AN4" s="20"/>
      <c r="AO4" s="20"/>
      <c r="AP4" s="20"/>
      <c r="AQ4" s="20"/>
      <c r="AR4" s="20"/>
      <c r="AS4" s="20"/>
      <c r="AT4" s="20"/>
      <c r="AU4" s="20"/>
      <c r="AV4" s="20"/>
      <c r="AW4" s="20"/>
      <c r="AX4" s="20"/>
      <c r="AY4" s="20"/>
      <c r="AZ4" s="20"/>
      <c r="BA4" s="20"/>
      <c r="BB4" s="20"/>
      <c r="BC4" s="20"/>
      <c r="BD4" s="20"/>
      <c r="BE4" s="20"/>
      <c r="BF4" s="20"/>
      <c r="BG4" s="20"/>
      <c r="BH4" s="20"/>
      <c r="BI4" s="20"/>
      <c r="BJ4" s="20"/>
      <c r="BK4" s="20"/>
      <c r="BL4" s="20"/>
      <c r="BM4" s="20"/>
      <c r="BN4" s="20"/>
      <c r="BO4" s="20"/>
      <c r="BP4" s="20"/>
      <c r="BQ4" s="20"/>
      <c r="BR4" s="20"/>
      <c r="BS4" s="20"/>
      <c r="BT4" s="20"/>
      <c r="BU4" s="20"/>
      <c r="BV4" s="20"/>
      <c r="BW4" s="20"/>
      <c r="BX4" s="20"/>
      <c r="BY4" s="20"/>
      <c r="BZ4" s="20"/>
      <c r="CA4" s="20"/>
      <c r="CB4" s="20"/>
      <c r="CC4" s="20"/>
      <c r="CD4" s="20"/>
      <c r="CE4" s="20"/>
      <c r="CF4" s="20"/>
      <c r="CG4" s="20"/>
      <c r="CH4" s="20"/>
      <c r="CI4" s="20"/>
      <c r="CJ4" s="20"/>
      <c r="CK4" s="20"/>
      <c r="CL4" s="20"/>
      <c r="CM4" s="20"/>
      <c r="CN4" s="20"/>
      <c r="CO4" s="20"/>
      <c r="CP4" s="20"/>
      <c r="CQ4" s="20"/>
      <c r="CR4" s="20"/>
      <c r="CS4" s="20"/>
    </row>
    <row r="5" s="8" customFormat="1" spans="1:97">
      <c r="A5" s="14" t="s">
        <v>24</v>
      </c>
      <c r="B5" s="15"/>
      <c r="C5" s="16" t="s">
        <v>31</v>
      </c>
      <c r="D5" s="18" t="s">
        <v>66</v>
      </c>
      <c r="E5" s="18" t="s">
        <v>52</v>
      </c>
      <c r="F5" s="18" t="s">
        <v>67</v>
      </c>
      <c r="G5" s="18" t="s">
        <v>43</v>
      </c>
      <c r="H5" s="18" t="s">
        <v>29</v>
      </c>
      <c r="I5" s="22" t="s">
        <v>67</v>
      </c>
      <c r="J5" s="22" t="s">
        <v>68</v>
      </c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  <c r="AD5" s="20"/>
      <c r="AE5" s="20"/>
      <c r="AF5" s="20"/>
      <c r="AG5" s="20"/>
      <c r="AH5" s="20"/>
      <c r="AI5" s="20"/>
      <c r="AJ5" s="20"/>
      <c r="AK5" s="20"/>
      <c r="AL5" s="20"/>
      <c r="AM5" s="20"/>
      <c r="AN5" s="20"/>
      <c r="AO5" s="20"/>
      <c r="AP5" s="20"/>
      <c r="AQ5" s="20"/>
      <c r="AR5" s="20"/>
      <c r="AS5" s="20"/>
      <c r="AT5" s="20"/>
      <c r="AU5" s="20"/>
      <c r="AV5" s="20"/>
      <c r="AW5" s="20"/>
      <c r="AX5" s="20"/>
      <c r="AY5" s="20"/>
      <c r="AZ5" s="20"/>
      <c r="BA5" s="20"/>
      <c r="BB5" s="20"/>
      <c r="BC5" s="20"/>
      <c r="BD5" s="20"/>
      <c r="BE5" s="20"/>
      <c r="BF5" s="20"/>
      <c r="BG5" s="20"/>
      <c r="BH5" s="20"/>
      <c r="BI5" s="20"/>
      <c r="BJ5" s="20"/>
      <c r="BK5" s="20"/>
      <c r="BL5" s="20"/>
      <c r="BM5" s="20"/>
      <c r="BN5" s="20"/>
      <c r="BO5" s="20"/>
      <c r="BP5" s="20"/>
      <c r="BQ5" s="20"/>
      <c r="BR5" s="20"/>
      <c r="BS5" s="20"/>
      <c r="BT5" s="20"/>
      <c r="BU5" s="20"/>
      <c r="BV5" s="20"/>
      <c r="BW5" s="20"/>
      <c r="BX5" s="20"/>
      <c r="BY5" s="20"/>
      <c r="BZ5" s="20"/>
      <c r="CA5" s="20"/>
      <c r="CB5" s="20"/>
      <c r="CC5" s="20"/>
      <c r="CD5" s="20"/>
      <c r="CE5" s="20"/>
      <c r="CF5" s="20"/>
      <c r="CG5" s="20"/>
      <c r="CH5" s="20"/>
      <c r="CI5" s="20"/>
      <c r="CJ5" s="20"/>
      <c r="CK5" s="20"/>
      <c r="CL5" s="20"/>
      <c r="CM5" s="20"/>
      <c r="CN5" s="20"/>
      <c r="CO5" s="20"/>
      <c r="CP5" s="20"/>
      <c r="CQ5" s="20"/>
      <c r="CR5" s="20"/>
      <c r="CS5" s="20"/>
    </row>
    <row r="6" s="8" customFormat="1" spans="1:97">
      <c r="A6" s="14" t="s">
        <v>25</v>
      </c>
      <c r="B6" s="15"/>
      <c r="C6" s="16" t="s">
        <v>48</v>
      </c>
      <c r="D6" s="19" t="s">
        <v>83</v>
      </c>
      <c r="E6" s="19" t="s">
        <v>84</v>
      </c>
      <c r="F6" s="19" t="s">
        <v>85</v>
      </c>
      <c r="G6" s="19" t="s">
        <v>86</v>
      </c>
      <c r="H6" s="19" t="s">
        <v>87</v>
      </c>
      <c r="I6" s="23" t="s">
        <v>88</v>
      </c>
      <c r="J6" s="23" t="s">
        <v>89</v>
      </c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  <c r="AD6" s="20"/>
      <c r="AE6" s="20"/>
      <c r="AF6" s="20"/>
      <c r="AG6" s="20"/>
      <c r="AH6" s="20"/>
      <c r="AI6" s="20"/>
      <c r="AJ6" s="20"/>
      <c r="AK6" s="20"/>
      <c r="AL6" s="20"/>
      <c r="AM6" s="20"/>
      <c r="AN6" s="20"/>
      <c r="AO6" s="20"/>
      <c r="AP6" s="20"/>
      <c r="AQ6" s="20"/>
      <c r="AR6" s="20"/>
      <c r="AS6" s="20"/>
      <c r="AT6" s="20"/>
      <c r="AU6" s="20"/>
      <c r="AV6" s="20"/>
      <c r="AW6" s="20"/>
      <c r="AX6" s="20"/>
      <c r="AY6" s="20"/>
      <c r="AZ6" s="20"/>
      <c r="BA6" s="20"/>
      <c r="BB6" s="20"/>
      <c r="BC6" s="20"/>
      <c r="BD6" s="20"/>
      <c r="BE6" s="20"/>
      <c r="BF6" s="20"/>
      <c r="BG6" s="20"/>
      <c r="BH6" s="20"/>
      <c r="BI6" s="20"/>
      <c r="BJ6" s="20"/>
      <c r="BK6" s="20"/>
      <c r="BL6" s="20"/>
      <c r="BM6" s="20"/>
      <c r="BN6" s="20"/>
      <c r="BO6" s="20"/>
      <c r="BP6" s="20"/>
      <c r="BQ6" s="20"/>
      <c r="BR6" s="20"/>
      <c r="BS6" s="20"/>
      <c r="BT6" s="20"/>
      <c r="BU6" s="20"/>
      <c r="BV6" s="20"/>
      <c r="BW6" s="20"/>
      <c r="BX6" s="20"/>
      <c r="BY6" s="20"/>
      <c r="BZ6" s="20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</row>
    <row r="7" s="8" customFormat="1" spans="1:97">
      <c r="A7" s="14" t="s">
        <v>27</v>
      </c>
      <c r="B7" s="15"/>
      <c r="C7" s="16" t="s">
        <v>42</v>
      </c>
      <c r="D7" s="18"/>
      <c r="E7" s="18"/>
      <c r="F7" s="18"/>
      <c r="G7" s="18"/>
      <c r="H7" s="18"/>
      <c r="I7" s="22"/>
      <c r="J7" s="22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  <c r="AD7" s="20"/>
      <c r="AE7" s="20"/>
      <c r="AF7" s="20"/>
      <c r="AG7" s="20"/>
      <c r="AH7" s="20"/>
      <c r="AI7" s="20"/>
      <c r="AJ7" s="20"/>
      <c r="AK7" s="20"/>
      <c r="AL7" s="20"/>
      <c r="AM7" s="20"/>
      <c r="AN7" s="20"/>
      <c r="AO7" s="20"/>
      <c r="AP7" s="20"/>
      <c r="AQ7" s="20"/>
      <c r="AR7" s="20"/>
      <c r="AS7" s="20"/>
      <c r="AT7" s="20"/>
      <c r="AU7" s="20"/>
      <c r="AV7" s="20"/>
      <c r="AW7" s="20"/>
      <c r="AX7" s="20"/>
      <c r="AY7" s="20"/>
      <c r="AZ7" s="20"/>
      <c r="BA7" s="20"/>
      <c r="BB7" s="20"/>
      <c r="BC7" s="20"/>
      <c r="BD7" s="20"/>
      <c r="BE7" s="20"/>
      <c r="BF7" s="20"/>
      <c r="BG7" s="20"/>
      <c r="BH7" s="20"/>
      <c r="BI7" s="20"/>
      <c r="BJ7" s="20"/>
      <c r="BK7" s="20"/>
      <c r="BL7" s="20"/>
      <c r="BM7" s="20"/>
      <c r="BN7" s="20"/>
      <c r="BO7" s="20"/>
      <c r="BP7" s="20"/>
      <c r="BQ7" s="20"/>
      <c r="BR7" s="20"/>
      <c r="BS7" s="20"/>
      <c r="BT7" s="20"/>
      <c r="BU7" s="20"/>
      <c r="BV7" s="20"/>
      <c r="BW7" s="20"/>
      <c r="BX7" s="20"/>
      <c r="BY7" s="20"/>
      <c r="BZ7" s="20"/>
      <c r="CA7" s="20"/>
      <c r="CB7" s="20"/>
      <c r="CC7" s="20"/>
      <c r="CD7" s="20"/>
      <c r="CE7" s="20"/>
      <c r="CF7" s="20"/>
      <c r="CG7" s="20"/>
      <c r="CH7" s="20"/>
      <c r="CI7" s="20"/>
      <c r="CJ7" s="20"/>
      <c r="CK7" s="20"/>
      <c r="CL7" s="20"/>
      <c r="CM7" s="20"/>
      <c r="CN7" s="20"/>
      <c r="CO7" s="20"/>
      <c r="CP7" s="20"/>
      <c r="CQ7" s="20"/>
      <c r="CR7" s="20"/>
      <c r="CS7" s="20"/>
    </row>
    <row r="8" s="8" customFormat="1" spans="1:97">
      <c r="A8" s="14" t="s">
        <v>29</v>
      </c>
      <c r="B8" s="15"/>
      <c r="C8" s="16" t="s">
        <v>40</v>
      </c>
      <c r="D8" s="17"/>
      <c r="E8" s="17"/>
      <c r="F8" s="17"/>
      <c r="G8" s="17"/>
      <c r="H8" s="17"/>
      <c r="I8" s="21"/>
      <c r="J8" s="21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  <c r="AD8" s="20"/>
      <c r="AE8" s="20"/>
      <c r="AF8" s="20"/>
      <c r="AG8" s="20"/>
      <c r="AH8" s="20"/>
      <c r="AI8" s="20"/>
      <c r="AJ8" s="20"/>
      <c r="AK8" s="20"/>
      <c r="AL8" s="20"/>
      <c r="AM8" s="20"/>
      <c r="AN8" s="20"/>
      <c r="AO8" s="20"/>
      <c r="AP8" s="20"/>
      <c r="AQ8" s="20"/>
      <c r="AR8" s="20"/>
      <c r="AS8" s="20"/>
      <c r="AT8" s="20"/>
      <c r="AU8" s="20"/>
      <c r="AV8" s="20"/>
      <c r="AW8" s="20"/>
      <c r="AX8" s="20"/>
      <c r="AY8" s="20"/>
      <c r="AZ8" s="20"/>
      <c r="BA8" s="20"/>
      <c r="BB8" s="20"/>
      <c r="BC8" s="20"/>
      <c r="BD8" s="20"/>
      <c r="BE8" s="20"/>
      <c r="BF8" s="20"/>
      <c r="BG8" s="20"/>
      <c r="BH8" s="20"/>
      <c r="BI8" s="20"/>
      <c r="BJ8" s="20"/>
      <c r="BK8" s="20"/>
      <c r="BL8" s="20"/>
      <c r="BM8" s="20"/>
      <c r="BN8" s="20"/>
      <c r="BO8" s="20"/>
      <c r="BP8" s="20"/>
      <c r="BQ8" s="20"/>
      <c r="BR8" s="20"/>
      <c r="BS8" s="20"/>
      <c r="BT8" s="20"/>
      <c r="BU8" s="20"/>
      <c r="BV8" s="20"/>
      <c r="BW8" s="20"/>
      <c r="BX8" s="20"/>
      <c r="BY8" s="20"/>
      <c r="BZ8" s="20"/>
      <c r="CA8" s="20"/>
      <c r="CB8" s="20"/>
      <c r="CC8" s="20"/>
      <c r="CD8" s="20"/>
      <c r="CE8" s="20"/>
      <c r="CF8" s="20"/>
      <c r="CG8" s="20"/>
      <c r="CH8" s="20"/>
      <c r="CI8" s="20"/>
      <c r="CJ8" s="20"/>
      <c r="CK8" s="20"/>
      <c r="CL8" s="20"/>
      <c r="CM8" s="20"/>
      <c r="CN8" s="20"/>
      <c r="CO8" s="20"/>
      <c r="CP8" s="20"/>
      <c r="CQ8" s="20"/>
      <c r="CR8" s="20"/>
      <c r="CS8" s="20"/>
    </row>
    <row r="9" s="8" customFormat="1" spans="1:97">
      <c r="A9" s="14" t="s">
        <v>31</v>
      </c>
      <c r="B9" s="15"/>
      <c r="C9" s="16" t="s">
        <v>54</v>
      </c>
      <c r="D9" s="18" t="s">
        <v>52</v>
      </c>
      <c r="E9" s="18" t="s">
        <v>43</v>
      </c>
      <c r="F9" s="18" t="s">
        <v>43</v>
      </c>
      <c r="G9" s="18" t="s">
        <v>63</v>
      </c>
      <c r="H9" s="18" t="s">
        <v>39</v>
      </c>
      <c r="I9" s="22" t="s">
        <v>38</v>
      </c>
      <c r="J9" s="22" t="s">
        <v>59</v>
      </c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  <c r="AD9" s="20"/>
      <c r="AE9" s="20"/>
      <c r="AF9" s="20"/>
      <c r="AG9" s="20"/>
      <c r="AH9" s="20"/>
      <c r="AI9" s="20"/>
      <c r="AJ9" s="20"/>
      <c r="AK9" s="20"/>
      <c r="AL9" s="20"/>
      <c r="AM9" s="20"/>
      <c r="AN9" s="20"/>
      <c r="AO9" s="20"/>
      <c r="AP9" s="20"/>
      <c r="AQ9" s="20"/>
      <c r="AR9" s="20"/>
      <c r="AS9" s="20"/>
      <c r="AT9" s="20"/>
      <c r="AU9" s="20"/>
      <c r="AV9" s="20"/>
      <c r="AW9" s="20"/>
      <c r="AX9" s="20"/>
      <c r="AY9" s="20"/>
      <c r="AZ9" s="20"/>
      <c r="BA9" s="20"/>
      <c r="BB9" s="20"/>
      <c r="BC9" s="20"/>
      <c r="BD9" s="20"/>
      <c r="BE9" s="20"/>
      <c r="BF9" s="20"/>
      <c r="BG9" s="20"/>
      <c r="BH9" s="20"/>
      <c r="BI9" s="20"/>
      <c r="BJ9" s="20"/>
      <c r="BK9" s="20"/>
      <c r="BL9" s="20"/>
      <c r="BM9" s="20"/>
      <c r="BN9" s="20"/>
      <c r="BO9" s="20"/>
      <c r="BP9" s="20"/>
      <c r="BQ9" s="20"/>
      <c r="BR9" s="20"/>
      <c r="BS9" s="20"/>
      <c r="BT9" s="20"/>
      <c r="BU9" s="20"/>
      <c r="BV9" s="20"/>
      <c r="BW9" s="20"/>
      <c r="BX9" s="20"/>
      <c r="BY9" s="20"/>
      <c r="BZ9" s="20"/>
      <c r="CA9" s="20"/>
      <c r="CB9" s="20"/>
      <c r="CC9" s="20"/>
      <c r="CD9" s="20"/>
      <c r="CE9" s="20"/>
      <c r="CF9" s="20"/>
      <c r="CG9" s="20"/>
      <c r="CH9" s="20"/>
      <c r="CI9" s="20"/>
      <c r="CJ9" s="20"/>
      <c r="CK9" s="20"/>
      <c r="CL9" s="20"/>
      <c r="CM9" s="20"/>
      <c r="CN9" s="20"/>
      <c r="CO9" s="20"/>
      <c r="CP9" s="20"/>
      <c r="CQ9" s="20"/>
      <c r="CR9" s="20"/>
      <c r="CS9" s="20"/>
    </row>
    <row r="10" s="8" customFormat="1" spans="1:97">
      <c r="A10" s="14" t="s">
        <v>33</v>
      </c>
      <c r="B10" s="15"/>
      <c r="C10" s="16" t="s">
        <v>62</v>
      </c>
      <c r="D10" s="19" t="s">
        <v>90</v>
      </c>
      <c r="E10" s="19" t="s">
        <v>91</v>
      </c>
      <c r="F10" s="19" t="s">
        <v>92</v>
      </c>
      <c r="G10" s="19" t="s">
        <v>93</v>
      </c>
      <c r="H10" s="19" t="s">
        <v>94</v>
      </c>
      <c r="I10" s="23" t="s">
        <v>95</v>
      </c>
      <c r="J10" s="23" t="s">
        <v>96</v>
      </c>
      <c r="K10" s="20"/>
      <c r="L10" s="20"/>
      <c r="M10" s="20"/>
      <c r="N10" s="20"/>
      <c r="O10" s="20"/>
      <c r="P10" s="20"/>
      <c r="Q10" s="20"/>
      <c r="R10" s="20"/>
      <c r="S10" s="20"/>
      <c r="T10" s="20"/>
      <c r="U10" s="20"/>
      <c r="V10" s="20"/>
      <c r="W10" s="20"/>
      <c r="X10" s="20"/>
      <c r="Y10" s="20"/>
      <c r="Z10" s="20"/>
      <c r="AA10" s="20"/>
      <c r="AB10" s="20"/>
      <c r="AC10" s="20"/>
      <c r="AD10" s="20"/>
      <c r="AE10" s="20"/>
      <c r="AF10" s="20"/>
      <c r="AG10" s="20"/>
      <c r="AH10" s="20"/>
      <c r="AI10" s="20"/>
      <c r="AJ10" s="20"/>
      <c r="AK10" s="20"/>
      <c r="AL10" s="20"/>
      <c r="AM10" s="20"/>
      <c r="AN10" s="20"/>
      <c r="AO10" s="20"/>
      <c r="AP10" s="20"/>
      <c r="AQ10" s="20"/>
      <c r="AR10" s="20"/>
      <c r="AS10" s="20"/>
      <c r="AT10" s="20"/>
      <c r="AU10" s="20"/>
      <c r="AV10" s="20"/>
      <c r="AW10" s="20"/>
      <c r="AX10" s="20"/>
      <c r="AY10" s="20"/>
      <c r="AZ10" s="20"/>
      <c r="BA10" s="20"/>
      <c r="BB10" s="20"/>
      <c r="BC10" s="20"/>
      <c r="BD10" s="20"/>
      <c r="BE10" s="20"/>
      <c r="BF10" s="20"/>
      <c r="BG10" s="20"/>
      <c r="BH10" s="20"/>
      <c r="BI10" s="20"/>
      <c r="BJ10" s="20"/>
      <c r="BK10" s="20"/>
      <c r="BL10" s="20"/>
      <c r="BM10" s="20"/>
      <c r="BN10" s="20"/>
      <c r="BO10" s="20"/>
      <c r="BP10" s="20"/>
      <c r="BQ10" s="20"/>
      <c r="BR10" s="20"/>
      <c r="BS10" s="20"/>
      <c r="BT10" s="20"/>
      <c r="BU10" s="20"/>
      <c r="BV10" s="20"/>
      <c r="BW10" s="20"/>
      <c r="BX10" s="20"/>
      <c r="BY10" s="20"/>
      <c r="BZ10" s="20"/>
      <c r="CA10" s="20"/>
      <c r="CB10" s="20"/>
      <c r="CC10" s="20"/>
      <c r="CD10" s="20"/>
      <c r="CE10" s="20"/>
      <c r="CF10" s="20"/>
      <c r="CG10" s="20"/>
      <c r="CH10" s="20"/>
      <c r="CI10" s="20"/>
      <c r="CJ10" s="20"/>
      <c r="CK10" s="20"/>
      <c r="CL10" s="20"/>
      <c r="CM10" s="20"/>
      <c r="CN10" s="20"/>
      <c r="CO10" s="20"/>
      <c r="CP10" s="20"/>
      <c r="CQ10" s="20"/>
      <c r="CR10" s="20"/>
      <c r="CS10" s="20"/>
    </row>
    <row r="11" s="8" customFormat="1" spans="1:97">
      <c r="A11" s="14" t="s">
        <v>35</v>
      </c>
      <c r="B11" s="15"/>
      <c r="C11" s="16" t="s">
        <v>57</v>
      </c>
      <c r="D11" s="18"/>
      <c r="E11" s="18"/>
      <c r="F11" s="18"/>
      <c r="G11" s="18"/>
      <c r="H11" s="18"/>
      <c r="I11" s="22"/>
      <c r="J11" s="22"/>
      <c r="K11" s="20"/>
      <c r="L11" s="20"/>
      <c r="M11" s="20"/>
      <c r="N11" s="20"/>
      <c r="O11" s="20"/>
      <c r="P11" s="20"/>
      <c r="Q11" s="20"/>
      <c r="R11" s="20"/>
      <c r="S11" s="20"/>
      <c r="T11" s="20"/>
      <c r="U11" s="20"/>
      <c r="V11" s="20"/>
      <c r="W11" s="20"/>
      <c r="X11" s="20"/>
      <c r="Y11" s="20"/>
      <c r="Z11" s="20"/>
      <c r="AA11" s="20"/>
      <c r="AB11" s="20"/>
      <c r="AC11" s="20"/>
      <c r="AD11" s="20"/>
      <c r="AE11" s="20"/>
      <c r="AF11" s="20"/>
      <c r="AG11" s="20"/>
      <c r="AH11" s="20"/>
      <c r="AI11" s="20"/>
      <c r="AJ11" s="20"/>
      <c r="AK11" s="20"/>
      <c r="AL11" s="20"/>
      <c r="AM11" s="20"/>
      <c r="AN11" s="20"/>
      <c r="AO11" s="20"/>
      <c r="AP11" s="20"/>
      <c r="AQ11" s="20"/>
      <c r="AR11" s="20"/>
      <c r="AS11" s="20"/>
      <c r="AT11" s="20"/>
      <c r="AU11" s="20"/>
      <c r="AV11" s="20"/>
      <c r="AW11" s="20"/>
      <c r="AX11" s="20"/>
      <c r="AY11" s="20"/>
      <c r="AZ11" s="20"/>
      <c r="BA11" s="20"/>
      <c r="BB11" s="20"/>
      <c r="BC11" s="20"/>
      <c r="BD11" s="20"/>
      <c r="BE11" s="20"/>
      <c r="BF11" s="20"/>
      <c r="BG11" s="20"/>
      <c r="BH11" s="20"/>
      <c r="BI11" s="20"/>
      <c r="BJ11" s="20"/>
      <c r="BK11" s="20"/>
      <c r="BL11" s="20"/>
      <c r="BM11" s="20"/>
      <c r="BN11" s="20"/>
      <c r="BO11" s="20"/>
      <c r="BP11" s="20"/>
      <c r="BQ11" s="20"/>
      <c r="BR11" s="20"/>
      <c r="BS11" s="20"/>
      <c r="BT11" s="20"/>
      <c r="BU11" s="20"/>
      <c r="BV11" s="20"/>
      <c r="BW11" s="20"/>
      <c r="BX11" s="20"/>
      <c r="BY11" s="20"/>
      <c r="BZ11" s="20"/>
      <c r="CA11" s="20"/>
      <c r="CB11" s="20"/>
      <c r="CC11" s="20"/>
      <c r="CD11" s="20"/>
      <c r="CE11" s="20"/>
      <c r="CF11" s="20"/>
      <c r="CG11" s="20"/>
      <c r="CH11" s="20"/>
      <c r="CI11" s="20"/>
      <c r="CJ11" s="20"/>
      <c r="CK11" s="20"/>
      <c r="CL11" s="20"/>
      <c r="CM11" s="20"/>
      <c r="CN11" s="20"/>
      <c r="CO11" s="20"/>
      <c r="CP11" s="20"/>
      <c r="CQ11" s="20"/>
      <c r="CR11" s="20"/>
      <c r="CS11" s="20"/>
    </row>
    <row r="12" s="8" customFormat="1" spans="1:97">
      <c r="A12" s="14" t="s">
        <v>37</v>
      </c>
      <c r="B12" s="15"/>
      <c r="C12" s="16" t="s">
        <v>58</v>
      </c>
      <c r="D12" s="17"/>
      <c r="E12" s="17"/>
      <c r="F12" s="17"/>
      <c r="G12" s="17"/>
      <c r="H12" s="17"/>
      <c r="I12" s="21"/>
      <c r="J12" s="21"/>
      <c r="K12" s="20"/>
      <c r="L12" s="20"/>
      <c r="M12" s="20"/>
      <c r="N12" s="20"/>
      <c r="O12" s="20"/>
      <c r="P12" s="20"/>
      <c r="Q12" s="20"/>
      <c r="R12" s="20"/>
      <c r="S12" s="20"/>
      <c r="T12" s="20"/>
      <c r="U12" s="20"/>
      <c r="V12" s="20"/>
      <c r="W12" s="20"/>
      <c r="X12" s="20"/>
      <c r="Y12" s="20"/>
      <c r="Z12" s="20"/>
      <c r="AA12" s="20"/>
      <c r="AB12" s="20"/>
      <c r="AC12" s="20"/>
      <c r="AD12" s="20"/>
      <c r="AE12" s="20"/>
      <c r="AF12" s="20"/>
      <c r="AG12" s="20"/>
      <c r="AH12" s="20"/>
      <c r="AI12" s="20"/>
      <c r="AJ12" s="20"/>
      <c r="AK12" s="20"/>
      <c r="AL12" s="20"/>
      <c r="AM12" s="20"/>
      <c r="AN12" s="20"/>
      <c r="AO12" s="20"/>
      <c r="AP12" s="20"/>
      <c r="AQ12" s="20"/>
      <c r="AR12" s="20"/>
      <c r="AS12" s="20"/>
      <c r="AT12" s="20"/>
      <c r="AU12" s="20"/>
      <c r="AV12" s="20"/>
      <c r="AW12" s="20"/>
      <c r="AX12" s="20"/>
      <c r="AY12" s="20"/>
      <c r="AZ12" s="20"/>
      <c r="BA12" s="20"/>
      <c r="BB12" s="20"/>
      <c r="BC12" s="20"/>
      <c r="BD12" s="20"/>
      <c r="BE12" s="20"/>
      <c r="BF12" s="20"/>
      <c r="BG12" s="20"/>
      <c r="BH12" s="20"/>
      <c r="BI12" s="20"/>
      <c r="BJ12" s="20"/>
      <c r="BK12" s="20"/>
      <c r="BL12" s="20"/>
      <c r="BM12" s="20"/>
      <c r="BN12" s="20"/>
      <c r="BO12" s="20"/>
      <c r="BP12" s="20"/>
      <c r="BQ12" s="20"/>
      <c r="BR12" s="20"/>
      <c r="BS12" s="20"/>
      <c r="BT12" s="20"/>
      <c r="BU12" s="20"/>
      <c r="BV12" s="20"/>
      <c r="BW12" s="20"/>
      <c r="BX12" s="20"/>
      <c r="BY12" s="20"/>
      <c r="BZ12" s="20"/>
      <c r="CA12" s="20"/>
      <c r="CB12" s="20"/>
      <c r="CC12" s="20"/>
      <c r="CD12" s="20"/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</row>
    <row r="13" s="8" customFormat="1" spans="1:97">
      <c r="A13" s="14" t="s">
        <v>38</v>
      </c>
      <c r="B13" s="15"/>
      <c r="C13" s="16" t="s">
        <v>25</v>
      </c>
      <c r="D13" s="18" t="s">
        <v>43</v>
      </c>
      <c r="E13" s="18" t="s">
        <v>25</v>
      </c>
      <c r="F13" s="18" t="s">
        <v>52</v>
      </c>
      <c r="G13" s="18" t="s">
        <v>68</v>
      </c>
      <c r="H13" s="18" t="s">
        <v>66</v>
      </c>
      <c r="I13" s="22" t="s">
        <v>25</v>
      </c>
      <c r="J13" s="22" t="s">
        <v>38</v>
      </c>
      <c r="K13" s="20"/>
      <c r="L13" s="20"/>
      <c r="M13" s="20"/>
      <c r="N13" s="20"/>
      <c r="O13" s="20"/>
      <c r="P13" s="20"/>
      <c r="Q13" s="20"/>
      <c r="R13" s="20"/>
      <c r="S13" s="20"/>
      <c r="T13" s="20"/>
      <c r="U13" s="20"/>
      <c r="V13" s="20"/>
      <c r="W13" s="20"/>
      <c r="X13" s="20"/>
      <c r="Y13" s="20"/>
      <c r="Z13" s="20"/>
      <c r="AA13" s="20"/>
      <c r="AB13" s="20"/>
      <c r="AC13" s="20"/>
      <c r="AD13" s="20"/>
      <c r="AE13" s="20"/>
      <c r="AF13" s="20"/>
      <c r="AG13" s="20"/>
      <c r="AH13" s="20"/>
      <c r="AI13" s="20"/>
      <c r="AJ13" s="20"/>
      <c r="AK13" s="20"/>
      <c r="AL13" s="20"/>
      <c r="AM13" s="20"/>
      <c r="AN13" s="20"/>
      <c r="AO13" s="20"/>
      <c r="AP13" s="20"/>
      <c r="AQ13" s="20"/>
      <c r="AR13" s="20"/>
      <c r="AS13" s="20"/>
      <c r="AT13" s="20"/>
      <c r="AU13" s="20"/>
      <c r="AV13" s="20"/>
      <c r="AW13" s="20"/>
      <c r="AX13" s="20"/>
      <c r="AY13" s="20"/>
      <c r="AZ13" s="20"/>
      <c r="BA13" s="20"/>
      <c r="BB13" s="20"/>
      <c r="BC13" s="20"/>
      <c r="BD13" s="20"/>
      <c r="BE13" s="20"/>
      <c r="BF13" s="20"/>
      <c r="BG13" s="20"/>
      <c r="BH13" s="20"/>
      <c r="BI13" s="20"/>
      <c r="BJ13" s="20"/>
      <c r="BK13" s="20"/>
      <c r="BL13" s="20"/>
      <c r="BM13" s="20"/>
      <c r="BN13" s="20"/>
      <c r="BO13" s="20"/>
      <c r="BP13" s="20"/>
      <c r="BQ13" s="20"/>
      <c r="BR13" s="20"/>
      <c r="BS13" s="20"/>
      <c r="BT13" s="20"/>
      <c r="BU13" s="20"/>
      <c r="BV13" s="20"/>
      <c r="BW13" s="20"/>
      <c r="BX13" s="20"/>
      <c r="BY13" s="20"/>
      <c r="BZ13" s="20"/>
      <c r="CA13" s="20"/>
      <c r="CB13" s="20"/>
      <c r="CC13" s="20"/>
      <c r="CD13" s="20"/>
      <c r="CE13" s="20"/>
      <c r="CF13" s="20"/>
      <c r="CG13" s="20"/>
      <c r="CH13" s="20"/>
      <c r="CI13" s="20"/>
      <c r="CJ13" s="20"/>
      <c r="CK13" s="20"/>
      <c r="CL13" s="20"/>
      <c r="CM13" s="20"/>
      <c r="CN13" s="20"/>
      <c r="CO13" s="20"/>
      <c r="CP13" s="20"/>
      <c r="CQ13" s="20"/>
      <c r="CR13" s="20"/>
      <c r="CS13" s="20"/>
    </row>
    <row r="14" s="8" customFormat="1" spans="1:97">
      <c r="A14" s="14" t="s">
        <v>39</v>
      </c>
      <c r="B14" s="15"/>
      <c r="C14" s="16" t="s">
        <v>56</v>
      </c>
      <c r="D14" s="19" t="s">
        <v>97</v>
      </c>
      <c r="E14" s="19" t="s">
        <v>98</v>
      </c>
      <c r="F14" s="19" t="s">
        <v>99</v>
      </c>
      <c r="G14" s="19" t="s">
        <v>100</v>
      </c>
      <c r="H14" s="19" t="s">
        <v>101</v>
      </c>
      <c r="I14" s="23" t="s">
        <v>102</v>
      </c>
      <c r="J14" s="23" t="s">
        <v>103</v>
      </c>
      <c r="K14" s="20"/>
      <c r="L14" s="20"/>
      <c r="M14" s="20"/>
      <c r="N14" s="20"/>
      <c r="O14" s="20"/>
      <c r="P14" s="20"/>
      <c r="Q14" s="20"/>
      <c r="R14" s="20"/>
      <c r="S14" s="20"/>
      <c r="T14" s="20"/>
      <c r="U14" s="20"/>
      <c r="V14" s="20"/>
      <c r="W14" s="20"/>
      <c r="X14" s="20"/>
      <c r="Y14" s="20"/>
      <c r="Z14" s="20"/>
      <c r="AA14" s="20"/>
      <c r="AB14" s="20"/>
      <c r="AC14" s="20"/>
      <c r="AD14" s="20"/>
      <c r="AE14" s="20"/>
      <c r="AF14" s="20"/>
      <c r="AG14" s="20"/>
      <c r="AH14" s="20"/>
      <c r="AI14" s="20"/>
      <c r="AJ14" s="20"/>
      <c r="AK14" s="20"/>
      <c r="AL14" s="20"/>
      <c r="AM14" s="20"/>
      <c r="AN14" s="20"/>
      <c r="AO14" s="20"/>
      <c r="AP14" s="20"/>
      <c r="AQ14" s="20"/>
      <c r="AR14" s="20"/>
      <c r="AS14" s="20"/>
      <c r="AT14" s="20"/>
      <c r="AU14" s="20"/>
      <c r="AV14" s="20"/>
      <c r="AW14" s="20"/>
      <c r="AX14" s="20"/>
      <c r="AY14" s="20"/>
      <c r="AZ14" s="20"/>
      <c r="BA14" s="20"/>
      <c r="BB14" s="20"/>
      <c r="BC14" s="20"/>
      <c r="BD14" s="20"/>
      <c r="BE14" s="20"/>
      <c r="BF14" s="20"/>
      <c r="BG14" s="20"/>
      <c r="BH14" s="20"/>
      <c r="BI14" s="20"/>
      <c r="BJ14" s="20"/>
      <c r="BK14" s="20"/>
      <c r="BL14" s="20"/>
      <c r="BM14" s="20"/>
      <c r="BN14" s="20"/>
      <c r="BO14" s="20"/>
      <c r="BP14" s="20"/>
      <c r="BQ14" s="20"/>
      <c r="BR14" s="20"/>
      <c r="BS14" s="20"/>
      <c r="BT14" s="20"/>
      <c r="BU14" s="20"/>
      <c r="BV14" s="20"/>
      <c r="BW14" s="20"/>
      <c r="BX14" s="20"/>
      <c r="BY14" s="20"/>
      <c r="BZ14" s="20"/>
      <c r="CA14" s="20"/>
      <c r="CB14" s="20"/>
      <c r="CC14" s="20"/>
      <c r="CD14" s="20"/>
      <c r="CE14" s="20"/>
      <c r="CF14" s="20"/>
      <c r="CG14" s="20"/>
      <c r="CH14" s="20"/>
      <c r="CI14" s="20"/>
      <c r="CJ14" s="20"/>
      <c r="CK14" s="20"/>
      <c r="CL14" s="20"/>
      <c r="CM14" s="20"/>
      <c r="CN14" s="20"/>
      <c r="CO14" s="20"/>
      <c r="CP14" s="20"/>
      <c r="CQ14" s="20"/>
      <c r="CR14" s="20"/>
      <c r="CS14" s="20"/>
    </row>
    <row r="15" s="8" customFormat="1" spans="1:97">
      <c r="A15" s="14" t="s">
        <v>40</v>
      </c>
      <c r="B15" s="15"/>
      <c r="C15" s="16" t="s">
        <v>63</v>
      </c>
      <c r="D15" s="17"/>
      <c r="E15" s="17"/>
      <c r="F15" s="17"/>
      <c r="G15" s="17"/>
      <c r="H15" s="17"/>
      <c r="I15" s="21"/>
      <c r="J15" s="21"/>
      <c r="K15" s="20"/>
      <c r="L15" s="20"/>
      <c r="M15" s="20"/>
      <c r="N15" s="20"/>
      <c r="O15" s="20"/>
      <c r="P15" s="20"/>
      <c r="Q15" s="20"/>
      <c r="R15" s="20"/>
      <c r="S15" s="20"/>
      <c r="T15" s="20"/>
      <c r="U15" s="20"/>
      <c r="V15" s="20"/>
      <c r="W15" s="20"/>
      <c r="X15" s="20"/>
      <c r="Y15" s="20"/>
      <c r="Z15" s="20"/>
      <c r="AA15" s="20"/>
      <c r="AB15" s="20"/>
      <c r="AC15" s="20"/>
      <c r="AD15" s="20"/>
      <c r="AE15" s="20"/>
      <c r="AF15" s="20"/>
      <c r="AG15" s="20"/>
      <c r="AH15" s="20"/>
      <c r="AI15" s="20"/>
      <c r="AJ15" s="20"/>
      <c r="AK15" s="20"/>
      <c r="AL15" s="20"/>
      <c r="AM15" s="20"/>
      <c r="AN15" s="20"/>
      <c r="AO15" s="20"/>
      <c r="AP15" s="20"/>
      <c r="AQ15" s="20"/>
      <c r="AR15" s="20"/>
      <c r="AS15" s="20"/>
      <c r="AT15" s="20"/>
      <c r="AU15" s="20"/>
      <c r="AV15" s="20"/>
      <c r="AW15" s="20"/>
      <c r="AX15" s="20"/>
      <c r="AY15" s="20"/>
      <c r="AZ15" s="20"/>
      <c r="BA15" s="20"/>
      <c r="BB15" s="20"/>
      <c r="BC15" s="20"/>
      <c r="BD15" s="20"/>
      <c r="BE15" s="20"/>
      <c r="BF15" s="20"/>
      <c r="BG15" s="20"/>
      <c r="BH15" s="20"/>
      <c r="BI15" s="20"/>
      <c r="BJ15" s="20"/>
      <c r="BK15" s="20"/>
      <c r="BL15" s="20"/>
      <c r="BM15" s="20"/>
      <c r="BN15" s="20"/>
      <c r="BO15" s="20"/>
      <c r="BP15" s="20"/>
      <c r="BQ15" s="20"/>
      <c r="BR15" s="20"/>
      <c r="BS15" s="20"/>
      <c r="BT15" s="20"/>
      <c r="BU15" s="20"/>
      <c r="BV15" s="20"/>
      <c r="BW15" s="20"/>
      <c r="BX15" s="20"/>
      <c r="BY15" s="20"/>
      <c r="BZ15" s="20"/>
      <c r="CA15" s="20"/>
      <c r="CB15" s="20"/>
      <c r="CC15" s="20"/>
      <c r="CD15" s="20"/>
      <c r="CE15" s="20"/>
      <c r="CF15" s="20"/>
      <c r="CG15" s="20"/>
      <c r="CH15" s="20"/>
      <c r="CI15" s="20"/>
      <c r="CJ15" s="20"/>
      <c r="CK15" s="20"/>
      <c r="CL15" s="20"/>
      <c r="CM15" s="20"/>
      <c r="CN15" s="20"/>
      <c r="CO15" s="20"/>
      <c r="CP15" s="20"/>
      <c r="CQ15" s="20"/>
      <c r="CR15" s="20"/>
      <c r="CS15" s="20"/>
    </row>
    <row r="16" s="8" customFormat="1" spans="1:97">
      <c r="A16" s="14" t="s">
        <v>41</v>
      </c>
      <c r="B16" s="15"/>
      <c r="C16" s="16" t="s">
        <v>29</v>
      </c>
      <c r="D16" s="18" t="s">
        <v>58</v>
      </c>
      <c r="E16" s="18" t="s">
        <v>67</v>
      </c>
      <c r="F16" s="18" t="s">
        <v>64</v>
      </c>
      <c r="G16" s="18" t="s">
        <v>44</v>
      </c>
      <c r="H16" s="18" t="s">
        <v>25</v>
      </c>
      <c r="I16" s="22" t="s">
        <v>29</v>
      </c>
      <c r="J16" s="22" t="s">
        <v>22</v>
      </c>
      <c r="K16" s="20"/>
      <c r="L16" s="20"/>
      <c r="M16" s="20"/>
      <c r="N16" s="20"/>
      <c r="O16" s="20"/>
      <c r="P16" s="20"/>
      <c r="Q16" s="20"/>
      <c r="R16" s="20"/>
      <c r="S16" s="20"/>
      <c r="T16" s="20"/>
      <c r="U16" s="20"/>
      <c r="V16" s="20"/>
      <c r="W16" s="20"/>
      <c r="X16" s="20"/>
      <c r="Y16" s="20"/>
      <c r="Z16" s="20"/>
      <c r="AA16" s="20"/>
      <c r="AB16" s="20"/>
      <c r="AC16" s="20"/>
      <c r="AD16" s="20"/>
      <c r="AE16" s="20"/>
      <c r="AF16" s="20"/>
      <c r="AG16" s="20"/>
      <c r="AH16" s="20"/>
      <c r="AI16" s="20"/>
      <c r="AJ16" s="20"/>
      <c r="AK16" s="20"/>
      <c r="AL16" s="20"/>
      <c r="AM16" s="20"/>
      <c r="AN16" s="20"/>
      <c r="AO16" s="20"/>
      <c r="AP16" s="20"/>
      <c r="AQ16" s="20"/>
      <c r="AR16" s="20"/>
      <c r="AS16" s="20"/>
      <c r="AT16" s="20"/>
      <c r="AU16" s="20"/>
      <c r="AV16" s="20"/>
      <c r="AW16" s="20"/>
      <c r="AX16" s="20"/>
      <c r="AY16" s="20"/>
      <c r="AZ16" s="20"/>
      <c r="BA16" s="20"/>
      <c r="BB16" s="20"/>
      <c r="BC16" s="20"/>
      <c r="BD16" s="20"/>
      <c r="BE16" s="20"/>
      <c r="BF16" s="20"/>
      <c r="BG16" s="20"/>
      <c r="BH16" s="20"/>
      <c r="BI16" s="20"/>
      <c r="BJ16" s="20"/>
      <c r="BK16" s="20"/>
      <c r="BL16" s="20"/>
      <c r="BM16" s="20"/>
      <c r="BN16" s="20"/>
      <c r="BO16" s="20"/>
      <c r="BP16" s="20"/>
      <c r="BQ16" s="20"/>
      <c r="BR16" s="20"/>
      <c r="BS16" s="20"/>
      <c r="BT16" s="20"/>
      <c r="BU16" s="20"/>
      <c r="BV16" s="20"/>
      <c r="BW16" s="20"/>
      <c r="BX16" s="20"/>
      <c r="BY16" s="20"/>
      <c r="BZ16" s="20"/>
      <c r="CA16" s="20"/>
      <c r="CB16" s="20"/>
      <c r="CC16" s="20"/>
      <c r="CD16" s="20"/>
      <c r="CE16" s="20"/>
      <c r="CF16" s="20"/>
      <c r="CG16" s="20"/>
      <c r="CH16" s="20"/>
      <c r="CI16" s="20"/>
      <c r="CJ16" s="20"/>
      <c r="CK16" s="20"/>
      <c r="CL16" s="20"/>
      <c r="CM16" s="20"/>
      <c r="CN16" s="20"/>
      <c r="CO16" s="20"/>
      <c r="CP16" s="20"/>
      <c r="CQ16" s="20"/>
      <c r="CR16" s="20"/>
      <c r="CS16" s="20"/>
    </row>
    <row r="17" s="8" customFormat="1" spans="1:97">
      <c r="A17" s="14" t="s">
        <v>42</v>
      </c>
      <c r="B17" s="15"/>
      <c r="C17" s="16" t="s">
        <v>49</v>
      </c>
      <c r="D17" s="19" t="s">
        <v>104</v>
      </c>
      <c r="E17" s="19" t="s">
        <v>105</v>
      </c>
      <c r="F17" s="19" t="s">
        <v>106</v>
      </c>
      <c r="G17" s="19" t="s">
        <v>107</v>
      </c>
      <c r="H17" s="19" t="s">
        <v>108</v>
      </c>
      <c r="I17" s="23" t="s">
        <v>109</v>
      </c>
      <c r="J17" s="23" t="s">
        <v>110</v>
      </c>
      <c r="K17" s="20"/>
      <c r="L17" s="20"/>
      <c r="M17" s="20"/>
      <c r="N17" s="20"/>
      <c r="O17" s="20"/>
      <c r="P17" s="20"/>
      <c r="Q17" s="20"/>
      <c r="R17" s="20"/>
      <c r="S17" s="20"/>
      <c r="T17" s="20"/>
      <c r="U17" s="20"/>
      <c r="V17" s="20"/>
      <c r="W17" s="20"/>
      <c r="X17" s="20"/>
      <c r="Y17" s="20"/>
      <c r="Z17" s="20"/>
      <c r="AA17" s="20"/>
      <c r="AB17" s="20"/>
      <c r="AC17" s="20"/>
      <c r="AD17" s="20"/>
      <c r="AE17" s="20"/>
      <c r="AF17" s="20"/>
      <c r="AG17" s="20"/>
      <c r="AH17" s="20"/>
      <c r="AI17" s="20"/>
      <c r="AJ17" s="20"/>
      <c r="AK17" s="20"/>
      <c r="AL17" s="20"/>
      <c r="AM17" s="20"/>
      <c r="AN17" s="20"/>
      <c r="AO17" s="20"/>
      <c r="AP17" s="20"/>
      <c r="AQ17" s="20"/>
      <c r="AR17" s="20"/>
      <c r="AS17" s="20"/>
      <c r="AT17" s="20"/>
      <c r="AU17" s="20"/>
      <c r="AV17" s="20"/>
      <c r="AW17" s="20"/>
      <c r="AX17" s="20"/>
      <c r="AY17" s="20"/>
      <c r="AZ17" s="20"/>
      <c r="BA17" s="20"/>
      <c r="BB17" s="20"/>
      <c r="BC17" s="20"/>
      <c r="BD17" s="20"/>
      <c r="BE17" s="20"/>
      <c r="BF17" s="20"/>
      <c r="BG17" s="20"/>
      <c r="BH17" s="20"/>
      <c r="BI17" s="20"/>
      <c r="BJ17" s="20"/>
      <c r="BK17" s="20"/>
      <c r="BL17" s="20"/>
      <c r="BM17" s="20"/>
      <c r="BN17" s="20"/>
      <c r="BO17" s="20"/>
      <c r="BP17" s="20"/>
      <c r="BQ17" s="20"/>
      <c r="BR17" s="20"/>
      <c r="BS17" s="20"/>
      <c r="BT17" s="20"/>
      <c r="BU17" s="20"/>
      <c r="BV17" s="20"/>
      <c r="BW17" s="20"/>
      <c r="BX17" s="20"/>
      <c r="BY17" s="20"/>
      <c r="BZ17" s="20"/>
      <c r="CA17" s="20"/>
      <c r="CB17" s="20"/>
      <c r="CC17" s="20"/>
      <c r="CD17" s="20"/>
      <c r="CE17" s="20"/>
      <c r="CF17" s="20"/>
      <c r="CG17" s="20"/>
      <c r="CH17" s="20"/>
      <c r="CI17" s="20"/>
      <c r="CJ17" s="20"/>
      <c r="CK17" s="20"/>
      <c r="CL17" s="20"/>
      <c r="CM17" s="20"/>
      <c r="CN17" s="20"/>
      <c r="CO17" s="20"/>
      <c r="CP17" s="20"/>
      <c r="CQ17" s="20"/>
      <c r="CR17" s="20"/>
      <c r="CS17" s="20"/>
    </row>
    <row r="18" s="8" customFormat="1" spans="1:97">
      <c r="A18" s="14" t="s">
        <v>43</v>
      </c>
      <c r="B18" s="15"/>
      <c r="C18" s="16" t="s">
        <v>24</v>
      </c>
      <c r="D18" s="18"/>
      <c r="E18" s="18"/>
      <c r="F18" s="18"/>
      <c r="G18" s="18"/>
      <c r="H18" s="18"/>
      <c r="I18" s="22"/>
      <c r="J18" s="22"/>
      <c r="K18" s="20"/>
      <c r="L18" s="20"/>
      <c r="M18" s="20"/>
      <c r="N18" s="20"/>
      <c r="O18" s="20"/>
      <c r="P18" s="20"/>
      <c r="Q18" s="20"/>
      <c r="R18" s="20"/>
      <c r="S18" s="20"/>
      <c r="T18" s="20"/>
      <c r="U18" s="20"/>
      <c r="V18" s="20"/>
      <c r="W18" s="20"/>
      <c r="X18" s="20"/>
      <c r="Y18" s="20"/>
      <c r="Z18" s="20"/>
      <c r="AA18" s="20"/>
      <c r="AB18" s="20"/>
      <c r="AC18" s="20"/>
      <c r="AD18" s="20"/>
      <c r="AE18" s="20"/>
      <c r="AF18" s="20"/>
      <c r="AG18" s="20"/>
      <c r="AH18" s="20"/>
      <c r="AI18" s="20"/>
      <c r="AJ18" s="20"/>
      <c r="AK18" s="20"/>
      <c r="AL18" s="20"/>
      <c r="AM18" s="20"/>
      <c r="AN18" s="20"/>
      <c r="AO18" s="20"/>
      <c r="AP18" s="20"/>
      <c r="AQ18" s="20"/>
      <c r="AR18" s="20"/>
      <c r="AS18" s="20"/>
      <c r="AT18" s="20"/>
      <c r="AU18" s="20"/>
      <c r="AV18" s="20"/>
      <c r="AW18" s="20"/>
      <c r="AX18" s="20"/>
      <c r="AY18" s="20"/>
      <c r="AZ18" s="20"/>
      <c r="BA18" s="20"/>
      <c r="BB18" s="20"/>
      <c r="BC18" s="20"/>
      <c r="BD18" s="20"/>
      <c r="BE18" s="20"/>
      <c r="BF18" s="20"/>
      <c r="BG18" s="20"/>
      <c r="BH18" s="20"/>
      <c r="BI18" s="20"/>
      <c r="BJ18" s="20"/>
      <c r="BK18" s="20"/>
      <c r="BL18" s="20"/>
      <c r="BM18" s="20"/>
      <c r="BN18" s="20"/>
      <c r="BO18" s="20"/>
      <c r="BP18" s="20"/>
      <c r="BQ18" s="20"/>
      <c r="BR18" s="20"/>
      <c r="BS18" s="20"/>
      <c r="BT18" s="20"/>
      <c r="BU18" s="20"/>
      <c r="BV18" s="20"/>
      <c r="BW18" s="20"/>
      <c r="BX18" s="20"/>
      <c r="BY18" s="20"/>
      <c r="BZ18" s="20"/>
      <c r="CA18" s="20"/>
      <c r="CB18" s="20"/>
      <c r="CC18" s="20"/>
      <c r="CD18" s="20"/>
      <c r="CE18" s="20"/>
      <c r="CF18" s="20"/>
      <c r="CG18" s="20"/>
      <c r="CH18" s="20"/>
      <c r="CI18" s="20"/>
      <c r="CJ18" s="20"/>
      <c r="CK18" s="20"/>
      <c r="CL18" s="20"/>
      <c r="CM18" s="20"/>
      <c r="CN18" s="20"/>
      <c r="CO18" s="20"/>
      <c r="CP18" s="20"/>
      <c r="CQ18" s="20"/>
      <c r="CR18" s="20"/>
      <c r="CS18" s="20"/>
    </row>
    <row r="19" s="8" customFormat="1" spans="1:97">
      <c r="A19" s="14" t="s">
        <v>44</v>
      </c>
      <c r="B19" s="15"/>
      <c r="C19" s="16" t="s">
        <v>46</v>
      </c>
      <c r="D19" s="17"/>
      <c r="E19" s="17"/>
      <c r="F19" s="17"/>
      <c r="G19" s="17"/>
      <c r="H19" s="17"/>
      <c r="I19" s="21"/>
      <c r="J19" s="21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20"/>
      <c r="Z19" s="20"/>
      <c r="AA19" s="20"/>
      <c r="AB19" s="20"/>
      <c r="AC19" s="20"/>
      <c r="AD19" s="20"/>
      <c r="AE19" s="20"/>
      <c r="AF19" s="20"/>
      <c r="AG19" s="20"/>
      <c r="AH19" s="20"/>
      <c r="AI19" s="20"/>
      <c r="AJ19" s="20"/>
      <c r="AK19" s="20"/>
      <c r="AL19" s="20"/>
      <c r="AM19" s="20"/>
      <c r="AN19" s="20"/>
      <c r="AO19" s="20"/>
      <c r="AP19" s="20"/>
      <c r="AQ19" s="20"/>
      <c r="AR19" s="20"/>
      <c r="AS19" s="20"/>
      <c r="AT19" s="20"/>
      <c r="AU19" s="20"/>
      <c r="AV19" s="20"/>
      <c r="AW19" s="20"/>
      <c r="AX19" s="20"/>
      <c r="AY19" s="20"/>
      <c r="AZ19" s="20"/>
      <c r="BA19" s="20"/>
      <c r="BB19" s="20"/>
      <c r="BC19" s="20"/>
      <c r="BD19" s="20"/>
      <c r="BE19" s="20"/>
      <c r="BF19" s="20"/>
      <c r="BG19" s="20"/>
      <c r="BH19" s="20"/>
      <c r="BI19" s="20"/>
      <c r="BJ19" s="20"/>
      <c r="BK19" s="20"/>
      <c r="BL19" s="20"/>
      <c r="BM19" s="20"/>
      <c r="BN19" s="20"/>
      <c r="BO19" s="20"/>
      <c r="BP19" s="20"/>
      <c r="BQ19" s="20"/>
      <c r="BR19" s="20"/>
      <c r="BS19" s="20"/>
      <c r="BT19" s="20"/>
      <c r="BU19" s="20"/>
      <c r="BV19" s="20"/>
      <c r="BW19" s="20"/>
      <c r="BX19" s="20"/>
      <c r="BY19" s="20"/>
      <c r="BZ19" s="20"/>
      <c r="CA19" s="20"/>
      <c r="CB19" s="20"/>
      <c r="CC19" s="20"/>
      <c r="CD19" s="20"/>
      <c r="CE19" s="20"/>
      <c r="CF19" s="20"/>
      <c r="CG19" s="20"/>
      <c r="CH19" s="20"/>
      <c r="CI19" s="20"/>
      <c r="CJ19" s="20"/>
      <c r="CK19" s="20"/>
      <c r="CL19" s="20"/>
      <c r="CM19" s="20"/>
      <c r="CN19" s="20"/>
      <c r="CO19" s="20"/>
      <c r="CP19" s="20"/>
      <c r="CQ19" s="20"/>
      <c r="CR19" s="20"/>
      <c r="CS19" s="20"/>
    </row>
    <row r="20" s="8" customFormat="1" spans="1:97">
      <c r="A20" s="14" t="s">
        <v>45</v>
      </c>
      <c r="B20" s="15"/>
      <c r="C20" s="16" t="s">
        <v>52</v>
      </c>
      <c r="D20" s="18" t="s">
        <v>67</v>
      </c>
      <c r="E20" s="18" t="s">
        <v>60</v>
      </c>
      <c r="F20" s="18" t="s">
        <v>25</v>
      </c>
      <c r="G20" s="18" t="s">
        <v>60</v>
      </c>
      <c r="H20" s="18" t="s">
        <v>38</v>
      </c>
      <c r="I20" s="22" t="s">
        <v>43</v>
      </c>
      <c r="J20" s="22" t="s">
        <v>39</v>
      </c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  <c r="AC20" s="20"/>
      <c r="AD20" s="20"/>
      <c r="AE20" s="20"/>
      <c r="AF20" s="20"/>
      <c r="AG20" s="20"/>
      <c r="AH20" s="20"/>
      <c r="AI20" s="20"/>
      <c r="AJ20" s="20"/>
      <c r="AK20" s="20"/>
      <c r="AL20" s="20"/>
      <c r="AM20" s="20"/>
      <c r="AN20" s="20"/>
      <c r="AO20" s="20"/>
      <c r="AP20" s="20"/>
      <c r="AQ20" s="20"/>
      <c r="AR20" s="20"/>
      <c r="AS20" s="20"/>
      <c r="AT20" s="20"/>
      <c r="AU20" s="20"/>
      <c r="AV20" s="20"/>
      <c r="AW20" s="20"/>
      <c r="AX20" s="20"/>
      <c r="AY20" s="20"/>
      <c r="AZ20" s="20"/>
      <c r="BA20" s="20"/>
      <c r="BB20" s="20"/>
      <c r="BC20" s="20"/>
      <c r="BD20" s="20"/>
      <c r="BE20" s="20"/>
      <c r="BF20" s="20"/>
      <c r="BG20" s="20"/>
      <c r="BH20" s="20"/>
      <c r="BI20" s="20"/>
      <c r="BJ20" s="20"/>
      <c r="BK20" s="20"/>
      <c r="BL20" s="20"/>
      <c r="BM20" s="20"/>
      <c r="BN20" s="20"/>
      <c r="BO20" s="20"/>
      <c r="BP20" s="20"/>
      <c r="BQ20" s="20"/>
      <c r="BR20" s="20"/>
      <c r="BS20" s="20"/>
      <c r="BT20" s="20"/>
      <c r="BU20" s="20"/>
      <c r="BV20" s="20"/>
      <c r="BW20" s="20"/>
      <c r="BX20" s="20"/>
      <c r="BY20" s="20"/>
      <c r="BZ20" s="20"/>
      <c r="CA20" s="20"/>
      <c r="CB20" s="20"/>
      <c r="CC20" s="20"/>
      <c r="CD20" s="20"/>
      <c r="CE20" s="20"/>
      <c r="CF20" s="20"/>
      <c r="CG20" s="20"/>
      <c r="CH20" s="20"/>
      <c r="CI20" s="20"/>
      <c r="CJ20" s="20"/>
      <c r="CK20" s="20"/>
      <c r="CL20" s="20"/>
      <c r="CM20" s="20"/>
      <c r="CN20" s="20"/>
      <c r="CO20" s="20"/>
      <c r="CP20" s="20"/>
      <c r="CQ20" s="20"/>
      <c r="CR20" s="20"/>
      <c r="CS20" s="20"/>
    </row>
    <row r="21" s="8" customFormat="1" spans="1:97">
      <c r="A21" s="14" t="s">
        <v>46</v>
      </c>
      <c r="B21" s="15"/>
      <c r="C21" s="16" t="s">
        <v>44</v>
      </c>
      <c r="D21" s="19" t="s">
        <v>111</v>
      </c>
      <c r="E21" s="19" t="s">
        <v>112</v>
      </c>
      <c r="F21" s="19" t="s">
        <v>113</v>
      </c>
      <c r="G21" s="19" t="s">
        <v>114</v>
      </c>
      <c r="H21" s="19" t="s">
        <v>115</v>
      </c>
      <c r="I21" s="23" t="s">
        <v>116</v>
      </c>
      <c r="J21" s="23" t="s">
        <v>117</v>
      </c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  <c r="AC21" s="20"/>
      <c r="AD21" s="20"/>
      <c r="AE21" s="20"/>
      <c r="AF21" s="20"/>
      <c r="AG21" s="20"/>
      <c r="AH21" s="20"/>
      <c r="AI21" s="20"/>
      <c r="AJ21" s="20"/>
      <c r="AK21" s="20"/>
      <c r="AL21" s="20"/>
      <c r="AM21" s="20"/>
      <c r="AN21" s="20"/>
      <c r="AO21" s="20"/>
      <c r="AP21" s="20"/>
      <c r="AQ21" s="20"/>
      <c r="AR21" s="20"/>
      <c r="AS21" s="20"/>
      <c r="AT21" s="20"/>
      <c r="AU21" s="20"/>
      <c r="AV21" s="20"/>
      <c r="AW21" s="20"/>
      <c r="AX21" s="20"/>
      <c r="AY21" s="20"/>
      <c r="AZ21" s="20"/>
      <c r="BA21" s="20"/>
      <c r="BB21" s="20"/>
      <c r="BC21" s="20"/>
      <c r="BD21" s="20"/>
      <c r="BE21" s="20"/>
      <c r="BF21" s="20"/>
      <c r="BG21" s="20"/>
      <c r="BH21" s="20"/>
      <c r="BI21" s="20"/>
      <c r="BJ21" s="20"/>
      <c r="BK21" s="20"/>
      <c r="BL21" s="20"/>
      <c r="BM21" s="20"/>
      <c r="BN21" s="20"/>
      <c r="BO21" s="20"/>
      <c r="BP21" s="20"/>
      <c r="BQ21" s="20"/>
      <c r="BR21" s="20"/>
      <c r="BS21" s="20"/>
      <c r="BT21" s="20"/>
      <c r="BU21" s="20"/>
      <c r="BV21" s="20"/>
      <c r="BW21" s="20"/>
      <c r="BX21" s="20"/>
      <c r="BY21" s="20"/>
      <c r="BZ21" s="20"/>
      <c r="CA21" s="20"/>
      <c r="CB21" s="20"/>
      <c r="CC21" s="20"/>
      <c r="CD21" s="20"/>
      <c r="CE21" s="20"/>
      <c r="CF21" s="20"/>
      <c r="CG21" s="20"/>
      <c r="CH21" s="20"/>
      <c r="CI21" s="20"/>
      <c r="CJ21" s="20"/>
      <c r="CK21" s="20"/>
      <c r="CL21" s="20"/>
      <c r="CM21" s="20"/>
      <c r="CN21" s="20"/>
      <c r="CO21" s="20"/>
      <c r="CP21" s="20"/>
      <c r="CQ21" s="20"/>
      <c r="CR21" s="20"/>
      <c r="CS21" s="20"/>
    </row>
    <row r="22" s="8" customFormat="1" spans="1:97">
      <c r="A22" s="14" t="s">
        <v>47</v>
      </c>
      <c r="B22" s="15"/>
      <c r="C22" s="16" t="s">
        <v>38</v>
      </c>
      <c r="D22" s="18"/>
      <c r="E22" s="18"/>
      <c r="F22" s="18"/>
      <c r="G22" s="18"/>
      <c r="H22" s="18"/>
      <c r="I22" s="22"/>
      <c r="J22" s="22"/>
      <c r="K22" s="20"/>
      <c r="L22" s="20"/>
      <c r="M22" s="20"/>
      <c r="N22" s="20"/>
      <c r="O22" s="20"/>
      <c r="P22" s="20"/>
      <c r="Q22" s="20"/>
      <c r="R22" s="20"/>
      <c r="S22" s="20"/>
      <c r="T22" s="20"/>
      <c r="U22" s="20"/>
      <c r="V22" s="20"/>
      <c r="W22" s="20"/>
      <c r="X22" s="20"/>
      <c r="Y22" s="20"/>
      <c r="Z22" s="20"/>
      <c r="AA22" s="20"/>
      <c r="AB22" s="20"/>
      <c r="AC22" s="20"/>
      <c r="AD22" s="20"/>
      <c r="AE22" s="20"/>
      <c r="AF22" s="20"/>
      <c r="AG22" s="20"/>
      <c r="AH22" s="20"/>
      <c r="AI22" s="20"/>
      <c r="AJ22" s="20"/>
      <c r="AK22" s="20"/>
      <c r="AL22" s="20"/>
      <c r="AM22" s="20"/>
      <c r="AN22" s="20"/>
      <c r="AO22" s="20"/>
      <c r="AP22" s="20"/>
      <c r="AQ22" s="20"/>
      <c r="AR22" s="20"/>
      <c r="AS22" s="20"/>
      <c r="AT22" s="20"/>
      <c r="AU22" s="20"/>
      <c r="AV22" s="20"/>
      <c r="AW22" s="20"/>
      <c r="AX22" s="20"/>
      <c r="AY22" s="20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  <c r="BS22" s="20"/>
      <c r="BT22" s="20"/>
      <c r="BU22" s="20"/>
      <c r="BV22" s="20"/>
      <c r="BW22" s="20"/>
      <c r="BX22" s="20"/>
      <c r="BY22" s="20"/>
      <c r="BZ22" s="20"/>
      <c r="CA22" s="20"/>
      <c r="CB22" s="20"/>
      <c r="CC22" s="20"/>
      <c r="CD22" s="20"/>
      <c r="CE22" s="20"/>
      <c r="CF22" s="20"/>
      <c r="CG22" s="20"/>
      <c r="CH22" s="20"/>
      <c r="CI22" s="20"/>
      <c r="CJ22" s="20"/>
      <c r="CK22" s="20"/>
      <c r="CL22" s="20"/>
      <c r="CM22" s="20"/>
      <c r="CN22" s="20"/>
      <c r="CO22" s="20"/>
      <c r="CP22" s="20"/>
      <c r="CQ22" s="20"/>
      <c r="CR22" s="20"/>
      <c r="CS22" s="20"/>
    </row>
    <row r="23" s="8" customFormat="1" spans="1:97">
      <c r="A23" s="14" t="s">
        <v>48</v>
      </c>
      <c r="B23" s="15"/>
      <c r="C23" s="16" t="s">
        <v>47</v>
      </c>
      <c r="D23" s="17"/>
      <c r="E23" s="17"/>
      <c r="F23" s="17"/>
      <c r="G23" s="17"/>
      <c r="H23" s="17"/>
      <c r="I23" s="21"/>
      <c r="J23" s="21"/>
      <c r="K23" s="20"/>
      <c r="L23" s="20"/>
      <c r="M23" s="20"/>
      <c r="N23" s="20"/>
      <c r="O23" s="20"/>
      <c r="P23" s="20"/>
      <c r="Q23" s="20"/>
      <c r="R23" s="20"/>
      <c r="S23" s="20"/>
      <c r="T23" s="20"/>
      <c r="U23" s="20"/>
      <c r="V23" s="20"/>
      <c r="W23" s="20"/>
      <c r="X23" s="20"/>
      <c r="Y23" s="20"/>
      <c r="Z23" s="20"/>
      <c r="AA23" s="20"/>
      <c r="AB23" s="20"/>
      <c r="AC23" s="20"/>
      <c r="AD23" s="20"/>
      <c r="AE23" s="20"/>
      <c r="AF23" s="20"/>
      <c r="AG23" s="20"/>
      <c r="AH23" s="20"/>
      <c r="AI23" s="20"/>
      <c r="AJ23" s="20"/>
      <c r="AK23" s="20"/>
      <c r="AL23" s="20"/>
      <c r="AM23" s="20"/>
      <c r="AN23" s="20"/>
      <c r="AO23" s="20"/>
      <c r="AP23" s="20"/>
      <c r="AQ23" s="20"/>
      <c r="AR23" s="20"/>
      <c r="AS23" s="20"/>
      <c r="AT23" s="20"/>
      <c r="AU23" s="20"/>
      <c r="AV23" s="20"/>
      <c r="AW23" s="20"/>
      <c r="AX23" s="20"/>
      <c r="AY23" s="20"/>
      <c r="AZ23" s="20"/>
      <c r="BA23" s="20"/>
      <c r="BB23" s="20"/>
      <c r="BC23" s="20"/>
      <c r="BD23" s="20"/>
      <c r="BE23" s="20"/>
      <c r="BF23" s="20"/>
      <c r="BG23" s="20"/>
      <c r="BH23" s="20"/>
      <c r="BI23" s="20"/>
      <c r="BJ23" s="20"/>
      <c r="BK23" s="20"/>
      <c r="BL23" s="20"/>
      <c r="BM23" s="20"/>
      <c r="BN23" s="20"/>
      <c r="BO23" s="20"/>
      <c r="BP23" s="20"/>
      <c r="BQ23" s="20"/>
      <c r="BR23" s="20"/>
      <c r="BS23" s="20"/>
      <c r="BT23" s="20"/>
      <c r="BU23" s="20"/>
      <c r="BV23" s="20"/>
      <c r="BW23" s="20"/>
      <c r="BX23" s="20"/>
      <c r="BY23" s="20"/>
      <c r="BZ23" s="20"/>
      <c r="CA23" s="20"/>
      <c r="CB23" s="20"/>
      <c r="CC23" s="20"/>
      <c r="CD23" s="20"/>
      <c r="CE23" s="20"/>
      <c r="CF23" s="20"/>
      <c r="CG23" s="20"/>
      <c r="CH23" s="20"/>
      <c r="CI23" s="20"/>
      <c r="CJ23" s="20"/>
      <c r="CK23" s="20"/>
      <c r="CL23" s="20"/>
      <c r="CM23" s="20"/>
      <c r="CN23" s="20"/>
      <c r="CO23" s="20"/>
      <c r="CP23" s="20"/>
      <c r="CQ23" s="20"/>
      <c r="CR23" s="20"/>
      <c r="CS23" s="20"/>
    </row>
    <row r="24" s="8" customFormat="1" spans="1:97">
      <c r="A24" s="14" t="s">
        <v>49</v>
      </c>
      <c r="B24" s="15"/>
      <c r="C24" s="16" t="s">
        <v>67</v>
      </c>
      <c r="D24" s="18" t="s">
        <v>59</v>
      </c>
      <c r="E24" s="18" t="s">
        <v>29</v>
      </c>
      <c r="F24" s="18" t="s">
        <v>29</v>
      </c>
      <c r="G24" s="18" t="s">
        <v>29</v>
      </c>
      <c r="H24" s="18" t="s">
        <v>63</v>
      </c>
      <c r="I24" s="22" t="s">
        <v>39</v>
      </c>
      <c r="J24" s="22" t="s">
        <v>67</v>
      </c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</row>
    <row r="25" s="8" customFormat="1" spans="1:97">
      <c r="A25" s="14" t="s">
        <v>50</v>
      </c>
      <c r="B25" s="15"/>
      <c r="C25" s="16" t="s">
        <v>53</v>
      </c>
      <c r="D25" s="19" t="s">
        <v>118</v>
      </c>
      <c r="E25" s="19" t="s">
        <v>119</v>
      </c>
      <c r="F25" s="19" t="s">
        <v>120</v>
      </c>
      <c r="G25" s="19" t="s">
        <v>121</v>
      </c>
      <c r="H25" s="19" t="s">
        <v>122</v>
      </c>
      <c r="I25" s="23" t="s">
        <v>123</v>
      </c>
      <c r="J25" s="23" t="s">
        <v>124</v>
      </c>
      <c r="K25" s="20"/>
      <c r="L25" s="20"/>
      <c r="M25" s="20"/>
      <c r="N25" s="20"/>
      <c r="O25" s="20"/>
      <c r="P25" s="20"/>
      <c r="Q25" s="20"/>
      <c r="R25" s="20"/>
      <c r="S25" s="20"/>
      <c r="T25" s="20"/>
      <c r="U25" s="20"/>
      <c r="V25" s="20"/>
      <c r="W25" s="20"/>
      <c r="X25" s="20"/>
      <c r="Y25" s="20"/>
      <c r="Z25" s="20"/>
      <c r="AA25" s="20"/>
      <c r="AB25" s="20"/>
      <c r="AC25" s="20"/>
      <c r="AD25" s="20"/>
      <c r="AE25" s="20"/>
      <c r="AF25" s="20"/>
      <c r="AG25" s="20"/>
      <c r="AH25" s="20"/>
      <c r="AI25" s="20"/>
      <c r="AJ25" s="20"/>
      <c r="AK25" s="20"/>
      <c r="AL25" s="20"/>
      <c r="AM25" s="20"/>
      <c r="AN25" s="20"/>
      <c r="AO25" s="20"/>
      <c r="AP25" s="20"/>
      <c r="AQ25" s="20"/>
      <c r="AR25" s="20"/>
      <c r="AS25" s="20"/>
      <c r="AT25" s="20"/>
      <c r="AU25" s="20"/>
      <c r="AV25" s="20"/>
      <c r="AW25" s="20"/>
      <c r="AX25" s="20"/>
      <c r="AY25" s="20"/>
      <c r="AZ25" s="20"/>
      <c r="BA25" s="20"/>
      <c r="BB25" s="20"/>
      <c r="BC25" s="20"/>
      <c r="BD25" s="20"/>
      <c r="BE25" s="20"/>
      <c r="BF25" s="20"/>
      <c r="BG25" s="20"/>
      <c r="BH25" s="20"/>
      <c r="BI25" s="20"/>
      <c r="BJ25" s="20"/>
      <c r="BK25" s="20"/>
      <c r="BL25" s="20"/>
      <c r="BM25" s="20"/>
      <c r="BN25" s="20"/>
      <c r="BO25" s="20"/>
      <c r="BP25" s="20"/>
      <c r="BQ25" s="20"/>
      <c r="BR25" s="20"/>
      <c r="BS25" s="20"/>
      <c r="BT25" s="20"/>
      <c r="BU25" s="20"/>
      <c r="BV25" s="20"/>
      <c r="BW25" s="20"/>
      <c r="BX25" s="20"/>
      <c r="BY25" s="20"/>
      <c r="BZ25" s="20"/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</row>
    <row r="26" s="8" customFormat="1" spans="1:97">
      <c r="A26" s="14" t="s">
        <v>51</v>
      </c>
      <c r="B26" s="15"/>
      <c r="C26" s="16" t="s">
        <v>51</v>
      </c>
      <c r="D26" s="17"/>
      <c r="E26" s="17"/>
      <c r="F26" s="17"/>
      <c r="G26" s="17"/>
      <c r="H26" s="17"/>
      <c r="I26" s="21"/>
      <c r="J26" s="21"/>
      <c r="K26" s="20"/>
      <c r="L26" s="20"/>
      <c r="M26" s="20"/>
      <c r="N26" s="20"/>
      <c r="O26" s="20"/>
      <c r="P26" s="20"/>
      <c r="Q26" s="20"/>
      <c r="R26" s="20"/>
      <c r="S26" s="20"/>
      <c r="T26" s="20"/>
      <c r="U26" s="20"/>
      <c r="V26" s="20"/>
      <c r="W26" s="20"/>
      <c r="X26" s="20"/>
      <c r="Y26" s="20"/>
      <c r="Z26" s="20"/>
      <c r="AA26" s="20"/>
      <c r="AB26" s="20"/>
      <c r="AC26" s="20"/>
      <c r="AD26" s="20"/>
      <c r="AE26" s="20"/>
      <c r="AF26" s="20"/>
      <c r="AG26" s="20"/>
      <c r="AH26" s="20"/>
      <c r="AI26" s="20"/>
      <c r="AJ26" s="20"/>
      <c r="AK26" s="20"/>
      <c r="AL26" s="20"/>
      <c r="AM26" s="20"/>
      <c r="AN26" s="20"/>
      <c r="AO26" s="20"/>
      <c r="AP26" s="20"/>
      <c r="AQ26" s="20"/>
      <c r="AR26" s="20"/>
      <c r="AS26" s="20"/>
      <c r="AT26" s="20"/>
      <c r="AU26" s="20"/>
      <c r="AV26" s="20"/>
      <c r="AW26" s="20"/>
      <c r="AX26" s="20"/>
      <c r="AY26" s="20"/>
      <c r="AZ26" s="20"/>
      <c r="BA26" s="20"/>
      <c r="BB26" s="20"/>
      <c r="BC26" s="20"/>
      <c r="BD26" s="20"/>
      <c r="BE26" s="20"/>
      <c r="BF26" s="20"/>
      <c r="BG26" s="20"/>
      <c r="BH26" s="20"/>
      <c r="BI26" s="20"/>
      <c r="BJ26" s="20"/>
      <c r="BK26" s="20"/>
      <c r="BL26" s="20"/>
      <c r="BM26" s="20"/>
      <c r="BN26" s="20"/>
      <c r="BO26" s="20"/>
      <c r="BP26" s="20"/>
      <c r="BQ26" s="20"/>
      <c r="BR26" s="20"/>
      <c r="BS26" s="20"/>
      <c r="BT26" s="20"/>
      <c r="BU26" s="20"/>
      <c r="BV26" s="20"/>
      <c r="BW26" s="20"/>
      <c r="BX26" s="20"/>
      <c r="BY26" s="20"/>
      <c r="BZ26" s="20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</row>
    <row r="27" s="8" customFormat="1" spans="1:97">
      <c r="A27" s="14" t="s">
        <v>52</v>
      </c>
      <c r="B27" s="15"/>
      <c r="C27" s="16" t="s">
        <v>65</v>
      </c>
      <c r="D27" s="18" t="s">
        <v>56</v>
      </c>
      <c r="E27" s="18" t="s">
        <v>58</v>
      </c>
      <c r="F27" s="18" t="s">
        <v>40</v>
      </c>
      <c r="G27" s="18" t="s">
        <v>66</v>
      </c>
      <c r="H27" s="18" t="s">
        <v>43</v>
      </c>
      <c r="I27" s="22" t="s">
        <v>37</v>
      </c>
      <c r="J27" s="22" t="s">
        <v>37</v>
      </c>
      <c r="K27" s="20"/>
      <c r="L27" s="20"/>
      <c r="M27" s="20"/>
      <c r="N27" s="20"/>
      <c r="O27" s="20"/>
      <c r="P27" s="20"/>
      <c r="Q27" s="20"/>
      <c r="R27" s="20"/>
      <c r="S27" s="20"/>
      <c r="T27" s="20"/>
      <c r="U27" s="20"/>
      <c r="V27" s="20"/>
      <c r="W27" s="20"/>
      <c r="X27" s="20"/>
      <c r="Y27" s="20"/>
      <c r="Z27" s="20"/>
      <c r="AA27" s="20"/>
      <c r="AB27" s="20"/>
      <c r="AC27" s="20"/>
      <c r="AD27" s="20"/>
      <c r="AE27" s="20"/>
      <c r="AF27" s="20"/>
      <c r="AG27" s="20"/>
      <c r="AH27" s="20"/>
      <c r="AI27" s="20"/>
      <c r="AJ27" s="20"/>
      <c r="AK27" s="20"/>
      <c r="AL27" s="20"/>
      <c r="AM27" s="20"/>
      <c r="AN27" s="20"/>
      <c r="AO27" s="20"/>
      <c r="AP27" s="20"/>
      <c r="AQ27" s="20"/>
      <c r="AR27" s="20"/>
      <c r="AS27" s="20"/>
      <c r="AT27" s="20"/>
      <c r="AU27" s="20"/>
      <c r="AV27" s="20"/>
      <c r="AW27" s="20"/>
      <c r="AX27" s="20"/>
      <c r="AY27" s="20"/>
      <c r="AZ27" s="20"/>
      <c r="BA27" s="20"/>
      <c r="BB27" s="20"/>
      <c r="BC27" s="20"/>
      <c r="BD27" s="20"/>
      <c r="BE27" s="20"/>
      <c r="BF27" s="20"/>
      <c r="BG27" s="20"/>
      <c r="BH27" s="20"/>
      <c r="BI27" s="20"/>
      <c r="BJ27" s="20"/>
      <c r="BK27" s="20"/>
      <c r="BL27" s="20"/>
      <c r="BM27" s="20"/>
      <c r="BN27" s="20"/>
      <c r="BO27" s="20"/>
      <c r="BP27" s="20"/>
      <c r="BQ27" s="20"/>
      <c r="BR27" s="20"/>
      <c r="BS27" s="20"/>
      <c r="BT27" s="20"/>
      <c r="BU27" s="20"/>
      <c r="BV27" s="20"/>
      <c r="BW27" s="20"/>
      <c r="BX27" s="20"/>
      <c r="BY27" s="20"/>
      <c r="BZ27" s="2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</row>
    <row r="28" s="8" customFormat="1" spans="1:97">
      <c r="A28" s="14" t="s">
        <v>53</v>
      </c>
      <c r="B28" s="15"/>
      <c r="C28" s="16" t="s">
        <v>33</v>
      </c>
      <c r="D28" s="19" t="s">
        <v>125</v>
      </c>
      <c r="E28" s="19" t="s">
        <v>126</v>
      </c>
      <c r="F28" s="19" t="s">
        <v>127</v>
      </c>
      <c r="G28" s="19" t="s">
        <v>121</v>
      </c>
      <c r="H28" s="19" t="s">
        <v>128</v>
      </c>
      <c r="I28" s="23" t="s">
        <v>129</v>
      </c>
      <c r="J28" s="23" t="s">
        <v>130</v>
      </c>
      <c r="K28" s="20"/>
      <c r="L28" s="20"/>
      <c r="M28" s="20"/>
      <c r="N28" s="20"/>
      <c r="O28" s="20"/>
      <c r="P28" s="20"/>
      <c r="Q28" s="20"/>
      <c r="R28" s="20"/>
      <c r="S28" s="20"/>
      <c r="T28" s="20"/>
      <c r="U28" s="20"/>
      <c r="V28" s="20"/>
      <c r="W28" s="20"/>
      <c r="X28" s="20"/>
      <c r="Y28" s="20"/>
      <c r="Z28" s="20"/>
      <c r="AA28" s="20"/>
      <c r="AB28" s="20"/>
      <c r="AC28" s="20"/>
      <c r="AD28" s="20"/>
      <c r="AE28" s="20"/>
      <c r="AF28" s="20"/>
      <c r="AG28" s="20"/>
      <c r="AH28" s="20"/>
      <c r="AI28" s="20"/>
      <c r="AJ28" s="20"/>
      <c r="AK28" s="20"/>
      <c r="AL28" s="20"/>
      <c r="AM28" s="20"/>
      <c r="AN28" s="20"/>
      <c r="AO28" s="20"/>
      <c r="AP28" s="20"/>
      <c r="AQ28" s="20"/>
      <c r="AR28" s="20"/>
      <c r="AS28" s="20"/>
      <c r="AT28" s="20"/>
      <c r="AU28" s="20"/>
      <c r="AV28" s="20"/>
      <c r="AW28" s="20"/>
      <c r="AX28" s="20"/>
      <c r="AY28" s="20"/>
      <c r="AZ28" s="20"/>
      <c r="BA28" s="20"/>
      <c r="BB28" s="20"/>
      <c r="BC28" s="20"/>
      <c r="BD28" s="20"/>
      <c r="BE28" s="20"/>
      <c r="BF28" s="20"/>
      <c r="BG28" s="20"/>
      <c r="BH28" s="20"/>
      <c r="BI28" s="20"/>
      <c r="BJ28" s="20"/>
      <c r="BK28" s="20"/>
      <c r="BL28" s="20"/>
      <c r="BM28" s="20"/>
      <c r="BN28" s="20"/>
      <c r="BO28" s="20"/>
      <c r="BP28" s="20"/>
      <c r="BQ28" s="20"/>
      <c r="BR28" s="20"/>
      <c r="BS28" s="20"/>
      <c r="BT28" s="20"/>
      <c r="BU28" s="20"/>
      <c r="BV28" s="20"/>
      <c r="BW28" s="20"/>
      <c r="BX28" s="20"/>
      <c r="BY28" s="20"/>
      <c r="BZ28" s="20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</row>
    <row r="29" s="8" customFormat="1" spans="1:97">
      <c r="A29" s="14" t="s">
        <v>54</v>
      </c>
      <c r="B29" s="15"/>
      <c r="C29" s="16" t="s">
        <v>61</v>
      </c>
      <c r="D29" s="18"/>
      <c r="E29" s="18"/>
      <c r="F29" s="18"/>
      <c r="G29" s="18"/>
      <c r="H29" s="18"/>
      <c r="I29" s="22"/>
      <c r="J29" s="22"/>
      <c r="K29" s="20"/>
      <c r="L29" s="20"/>
      <c r="M29" s="20"/>
      <c r="N29" s="20"/>
      <c r="O29" s="20"/>
      <c r="P29" s="20"/>
      <c r="Q29" s="20"/>
      <c r="R29" s="20"/>
      <c r="S29" s="20"/>
      <c r="T29" s="20"/>
      <c r="U29" s="20"/>
      <c r="V29" s="20"/>
      <c r="W29" s="20"/>
      <c r="X29" s="20"/>
      <c r="Y29" s="20"/>
      <c r="Z29" s="20"/>
      <c r="AA29" s="20"/>
      <c r="AB29" s="20"/>
      <c r="AC29" s="20"/>
      <c r="AD29" s="20"/>
      <c r="AE29" s="20"/>
      <c r="AF29" s="20"/>
      <c r="AG29" s="20"/>
      <c r="AH29" s="20"/>
      <c r="AI29" s="20"/>
      <c r="AJ29" s="20"/>
      <c r="AK29" s="20"/>
      <c r="AL29" s="20"/>
      <c r="AM29" s="20"/>
      <c r="AN29" s="20"/>
      <c r="AO29" s="20"/>
      <c r="AP29" s="20"/>
      <c r="AQ29" s="20"/>
      <c r="AR29" s="20"/>
      <c r="AS29" s="20"/>
      <c r="AT29" s="20"/>
      <c r="AU29" s="20"/>
      <c r="AV29" s="20"/>
      <c r="AW29" s="20"/>
      <c r="AX29" s="20"/>
      <c r="AY29" s="20"/>
      <c r="AZ29" s="20"/>
      <c r="BA29" s="20"/>
      <c r="BB29" s="20"/>
      <c r="BC29" s="20"/>
      <c r="BD29" s="20"/>
      <c r="BE29" s="20"/>
      <c r="BF29" s="20"/>
      <c r="BG29" s="20"/>
      <c r="BH29" s="20"/>
      <c r="BI29" s="20"/>
      <c r="BJ29" s="20"/>
      <c r="BK29" s="20"/>
      <c r="BL29" s="20"/>
      <c r="BM29" s="20"/>
      <c r="BN29" s="20"/>
      <c r="BO29" s="20"/>
      <c r="BP29" s="20"/>
      <c r="BQ29" s="20"/>
      <c r="BR29" s="20"/>
      <c r="BS29" s="20"/>
      <c r="BT29" s="20"/>
      <c r="BU29" s="20"/>
      <c r="BV29" s="20"/>
      <c r="BW29" s="20"/>
      <c r="BX29" s="20"/>
      <c r="BY29" s="20"/>
      <c r="BZ29" s="2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</row>
    <row r="30" s="8" customFormat="1" spans="1:97">
      <c r="A30" s="14" t="s">
        <v>55</v>
      </c>
      <c r="B30" s="15"/>
      <c r="C30" s="16" t="s">
        <v>41</v>
      </c>
      <c r="D30" s="17"/>
      <c r="E30" s="17"/>
      <c r="F30" s="17"/>
      <c r="G30" s="17"/>
      <c r="H30" s="17"/>
      <c r="I30" s="21"/>
      <c r="J30" s="21"/>
      <c r="K30" s="20"/>
      <c r="L30" s="20"/>
      <c r="M30" s="20"/>
      <c r="N30" s="20"/>
      <c r="O30" s="20"/>
      <c r="P30" s="20"/>
      <c r="Q30" s="20"/>
      <c r="R30" s="20"/>
      <c r="S30" s="20"/>
      <c r="T30" s="20"/>
      <c r="U30" s="20"/>
      <c r="V30" s="20"/>
      <c r="W30" s="20"/>
      <c r="X30" s="20"/>
      <c r="Y30" s="20"/>
      <c r="Z30" s="20"/>
      <c r="AA30" s="20"/>
      <c r="AB30" s="20"/>
      <c r="AC30" s="20"/>
      <c r="AD30" s="20"/>
      <c r="AE30" s="20"/>
      <c r="AF30" s="20"/>
      <c r="AG30" s="20"/>
      <c r="AH30" s="20"/>
      <c r="AI30" s="20"/>
      <c r="AJ30" s="20"/>
      <c r="AK30" s="20"/>
      <c r="AL30" s="20"/>
      <c r="AM30" s="20"/>
      <c r="AN30" s="20"/>
      <c r="AO30" s="20"/>
      <c r="AP30" s="20"/>
      <c r="AQ30" s="20"/>
      <c r="AR30" s="20"/>
      <c r="AS30" s="20"/>
      <c r="AT30" s="20"/>
      <c r="AU30" s="20"/>
      <c r="AV30" s="20"/>
      <c r="AW30" s="20"/>
      <c r="AX30" s="20"/>
      <c r="AY30" s="20"/>
      <c r="AZ30" s="20"/>
      <c r="BA30" s="20"/>
      <c r="BB30" s="20"/>
      <c r="BC30" s="20"/>
      <c r="BD30" s="20"/>
      <c r="BE30" s="20"/>
      <c r="BF30" s="20"/>
      <c r="BG30" s="20"/>
      <c r="BH30" s="20"/>
      <c r="BI30" s="20"/>
      <c r="BJ30" s="20"/>
      <c r="BK30" s="20"/>
      <c r="BL30" s="20"/>
      <c r="BM30" s="20"/>
      <c r="BN30" s="20"/>
      <c r="BO30" s="20"/>
      <c r="BP30" s="20"/>
      <c r="BQ30" s="20"/>
      <c r="BR30" s="20"/>
      <c r="BS30" s="20"/>
      <c r="BT30" s="20"/>
      <c r="BU30" s="20"/>
      <c r="BV30" s="20"/>
      <c r="BW30" s="20"/>
      <c r="BX30" s="20"/>
      <c r="BY30" s="20"/>
      <c r="BZ30" s="20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</row>
    <row r="31" s="8" customFormat="1" spans="1:97">
      <c r="A31" s="14" t="s">
        <v>56</v>
      </c>
      <c r="B31" s="15"/>
      <c r="C31" s="16" t="s">
        <v>68</v>
      </c>
      <c r="D31" s="18" t="s">
        <v>29</v>
      </c>
      <c r="E31" s="18" t="s">
        <v>41</v>
      </c>
      <c r="F31" s="18" t="s">
        <v>39</v>
      </c>
      <c r="G31" s="18" t="s">
        <v>39</v>
      </c>
      <c r="H31" s="18" t="s">
        <v>53</v>
      </c>
      <c r="I31" s="22" t="s">
        <v>22</v>
      </c>
      <c r="J31" s="22" t="s">
        <v>48</v>
      </c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0"/>
      <c r="W31" s="20"/>
      <c r="X31" s="20"/>
      <c r="Y31" s="20"/>
      <c r="Z31" s="20"/>
      <c r="AA31" s="20"/>
      <c r="AB31" s="20"/>
      <c r="AC31" s="20"/>
      <c r="AD31" s="20"/>
      <c r="AE31" s="20"/>
      <c r="AF31" s="20"/>
      <c r="AG31" s="20"/>
      <c r="AH31" s="20"/>
      <c r="AI31" s="20"/>
      <c r="AJ31" s="20"/>
      <c r="AK31" s="20"/>
      <c r="AL31" s="20"/>
      <c r="AM31" s="20"/>
      <c r="AN31" s="20"/>
      <c r="AO31" s="20"/>
      <c r="AP31" s="20"/>
      <c r="AQ31" s="20"/>
      <c r="AR31" s="20"/>
      <c r="AS31" s="20"/>
      <c r="AT31" s="20"/>
      <c r="AU31" s="20"/>
      <c r="AV31" s="20"/>
      <c r="AW31" s="20"/>
      <c r="AX31" s="20"/>
      <c r="AY31" s="20"/>
      <c r="AZ31" s="20"/>
      <c r="BA31" s="20"/>
      <c r="BB31" s="20"/>
      <c r="BC31" s="20"/>
      <c r="BD31" s="20"/>
      <c r="BE31" s="20"/>
      <c r="BF31" s="20"/>
      <c r="BG31" s="20"/>
      <c r="BH31" s="20"/>
      <c r="BI31" s="20"/>
      <c r="BJ31" s="20"/>
      <c r="BK31" s="20"/>
      <c r="BL31" s="20"/>
      <c r="BM31" s="20"/>
      <c r="BN31" s="20"/>
      <c r="BO31" s="20"/>
      <c r="BP31" s="20"/>
      <c r="BQ31" s="20"/>
      <c r="BR31" s="20"/>
      <c r="BS31" s="20"/>
      <c r="BT31" s="20"/>
      <c r="BU31" s="20"/>
      <c r="BV31" s="20"/>
      <c r="BW31" s="20"/>
      <c r="BX31" s="20"/>
      <c r="BY31" s="20"/>
      <c r="BZ31" s="20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</row>
    <row r="32" s="8" customFormat="1" spans="1:97">
      <c r="A32" s="14" t="s">
        <v>57</v>
      </c>
      <c r="B32" s="15"/>
      <c r="C32" s="16" t="s">
        <v>60</v>
      </c>
      <c r="D32" s="19" t="s">
        <v>131</v>
      </c>
      <c r="E32" s="19" t="s">
        <v>132</v>
      </c>
      <c r="F32" s="19" t="s">
        <v>107</v>
      </c>
      <c r="G32" s="19" t="s">
        <v>121</v>
      </c>
      <c r="H32" s="19" t="s">
        <v>133</v>
      </c>
      <c r="I32" s="23" t="s">
        <v>134</v>
      </c>
      <c r="J32" s="23" t="s">
        <v>130</v>
      </c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  <c r="AH32" s="20"/>
      <c r="AI32" s="20"/>
      <c r="AJ32" s="20"/>
      <c r="AK32" s="20"/>
      <c r="AL32" s="20"/>
      <c r="AM32" s="20"/>
      <c r="AN32" s="20"/>
      <c r="AO32" s="20"/>
      <c r="AP32" s="20"/>
      <c r="AQ32" s="20"/>
      <c r="AR32" s="20"/>
      <c r="AS32" s="20"/>
      <c r="AT32" s="20"/>
      <c r="AU32" s="20"/>
      <c r="AV32" s="20"/>
      <c r="AW32" s="20"/>
      <c r="AX32" s="20"/>
      <c r="AY32" s="20"/>
      <c r="AZ32" s="20"/>
      <c r="BA32" s="20"/>
      <c r="BB32" s="20"/>
      <c r="BC32" s="20"/>
      <c r="BD32" s="20"/>
      <c r="BE32" s="20"/>
      <c r="BF32" s="20"/>
      <c r="BG32" s="20"/>
      <c r="BH32" s="20"/>
      <c r="BI32" s="20"/>
      <c r="BJ32" s="20"/>
      <c r="BK32" s="20"/>
      <c r="BL32" s="20"/>
      <c r="BM32" s="20"/>
      <c r="BN32" s="20"/>
      <c r="BO32" s="20"/>
      <c r="BP32" s="20"/>
      <c r="BQ32" s="20"/>
      <c r="BR32" s="20"/>
      <c r="BS32" s="20"/>
      <c r="BT32" s="20"/>
      <c r="BU32" s="20"/>
      <c r="BV32" s="20"/>
      <c r="BW32" s="20"/>
      <c r="BX32" s="20"/>
      <c r="BY32" s="20"/>
      <c r="BZ32" s="2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</row>
    <row r="33" s="8" customFormat="1" spans="1:97">
      <c r="A33" s="14" t="s">
        <v>58</v>
      </c>
      <c r="B33" s="15"/>
      <c r="C33" s="16" t="s">
        <v>43</v>
      </c>
      <c r="D33" s="18"/>
      <c r="E33" s="18"/>
      <c r="F33" s="18"/>
      <c r="G33" s="18"/>
      <c r="H33" s="18"/>
      <c r="I33" s="22"/>
      <c r="J33" s="22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  <c r="AH33" s="20"/>
      <c r="AI33" s="20"/>
      <c r="AJ33" s="20"/>
      <c r="AK33" s="20"/>
      <c r="AL33" s="20"/>
      <c r="AM33" s="20"/>
      <c r="AN33" s="20"/>
      <c r="AO33" s="20"/>
      <c r="AP33" s="20"/>
      <c r="AQ33" s="20"/>
      <c r="AR33" s="20"/>
      <c r="AS33" s="20"/>
      <c r="AT33" s="20"/>
      <c r="AU33" s="20"/>
      <c r="AV33" s="20"/>
      <c r="AW33" s="20"/>
      <c r="AX33" s="20"/>
      <c r="AY33" s="20"/>
      <c r="AZ33" s="20"/>
      <c r="BA33" s="20"/>
      <c r="BB33" s="20"/>
      <c r="BC33" s="20"/>
      <c r="BD33" s="20"/>
      <c r="BE33" s="20"/>
      <c r="BF33" s="20"/>
      <c r="BG33" s="20"/>
      <c r="BH33" s="20"/>
      <c r="BI33" s="20"/>
      <c r="BJ33" s="20"/>
      <c r="BK33" s="20"/>
      <c r="BL33" s="20"/>
      <c r="BM33" s="20"/>
      <c r="BN33" s="20"/>
      <c r="BO33" s="20"/>
      <c r="BP33" s="20"/>
      <c r="BQ33" s="20"/>
      <c r="BR33" s="20"/>
      <c r="BS33" s="20"/>
      <c r="BT33" s="20"/>
      <c r="BU33" s="20"/>
      <c r="BV33" s="20"/>
      <c r="BW33" s="20"/>
      <c r="BX33" s="20"/>
      <c r="BY33" s="20"/>
      <c r="BZ33" s="20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</row>
    <row r="34" s="8" customFormat="1" spans="1:97">
      <c r="A34" s="14" t="s">
        <v>59</v>
      </c>
      <c r="B34" s="15"/>
      <c r="C34" s="16" t="s">
        <v>45</v>
      </c>
      <c r="D34" s="17"/>
      <c r="E34" s="17"/>
      <c r="F34" s="17"/>
      <c r="G34" s="17"/>
      <c r="H34" s="17"/>
      <c r="I34" s="21"/>
      <c r="J34" s="21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  <c r="AH34" s="20"/>
      <c r="AI34" s="20"/>
      <c r="AJ34" s="20"/>
      <c r="AK34" s="20"/>
      <c r="AL34" s="20"/>
      <c r="AM34" s="20"/>
      <c r="AN34" s="20"/>
      <c r="AO34" s="20"/>
      <c r="AP34" s="20"/>
      <c r="AQ34" s="20"/>
      <c r="AR34" s="20"/>
      <c r="AS34" s="20"/>
      <c r="AT34" s="20"/>
      <c r="AU34" s="20"/>
      <c r="AV34" s="20"/>
      <c r="AW34" s="20"/>
      <c r="AX34" s="20"/>
      <c r="AY34" s="20"/>
      <c r="AZ34" s="20"/>
      <c r="BA34" s="20"/>
      <c r="BB34" s="20"/>
      <c r="BC34" s="20"/>
      <c r="BD34" s="20"/>
      <c r="BE34" s="20"/>
      <c r="BF34" s="20"/>
      <c r="BG34" s="20"/>
      <c r="BH34" s="20"/>
      <c r="BI34" s="20"/>
      <c r="BJ34" s="20"/>
      <c r="BK34" s="20"/>
      <c r="BL34" s="20"/>
      <c r="BM34" s="20"/>
      <c r="BN34" s="20"/>
      <c r="BO34" s="20"/>
      <c r="BP34" s="20"/>
      <c r="BQ34" s="20"/>
      <c r="BR34" s="20"/>
      <c r="BS34" s="20"/>
      <c r="BT34" s="20"/>
      <c r="BU34" s="20"/>
      <c r="BV34" s="20"/>
      <c r="BW34" s="20"/>
      <c r="BX34" s="20"/>
      <c r="BY34" s="20"/>
      <c r="BZ34" s="2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</row>
    <row r="35" s="8" customFormat="1" spans="1:97">
      <c r="A35" s="14" t="s">
        <v>60</v>
      </c>
      <c r="B35" s="15"/>
      <c r="C35" s="16" t="s">
        <v>37</v>
      </c>
      <c r="D35" s="18" t="s">
        <v>48</v>
      </c>
      <c r="E35" s="18" t="s">
        <v>42</v>
      </c>
      <c r="F35" s="18" t="s">
        <v>56</v>
      </c>
      <c r="G35" s="18" t="s">
        <v>53</v>
      </c>
      <c r="H35" s="18" t="s">
        <v>57</v>
      </c>
      <c r="I35" s="22" t="s">
        <v>46</v>
      </c>
      <c r="J35" s="22" t="s">
        <v>29</v>
      </c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  <c r="AH35" s="20"/>
      <c r="AI35" s="20"/>
      <c r="AJ35" s="20"/>
      <c r="AK35" s="20"/>
      <c r="AL35" s="20"/>
      <c r="AM35" s="20"/>
      <c r="AN35" s="20"/>
      <c r="AO35" s="20"/>
      <c r="AP35" s="20"/>
      <c r="AQ35" s="20"/>
      <c r="AR35" s="20"/>
      <c r="AS35" s="20"/>
      <c r="AT35" s="20"/>
      <c r="AU35" s="20"/>
      <c r="AV35" s="20"/>
      <c r="AW35" s="20"/>
      <c r="AX35" s="20"/>
      <c r="AY35" s="20"/>
      <c r="AZ35" s="20"/>
      <c r="BA35" s="20"/>
      <c r="BB35" s="20"/>
      <c r="BC35" s="20"/>
      <c r="BD35" s="20"/>
      <c r="BE35" s="20"/>
      <c r="BF35" s="20"/>
      <c r="BG35" s="20"/>
      <c r="BH35" s="20"/>
      <c r="BI35" s="20"/>
      <c r="BJ35" s="20"/>
      <c r="BK35" s="20"/>
      <c r="BL35" s="20"/>
      <c r="BM35" s="20"/>
      <c r="BN35" s="20"/>
      <c r="BO35" s="20"/>
      <c r="BP35" s="20"/>
      <c r="BQ35" s="20"/>
      <c r="BR35" s="20"/>
      <c r="BS35" s="20"/>
      <c r="BT35" s="20"/>
      <c r="BU35" s="20"/>
      <c r="BV35" s="20"/>
      <c r="BW35" s="20"/>
      <c r="BX35" s="20"/>
      <c r="BY35" s="20"/>
      <c r="BZ35" s="20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</row>
    <row r="36" s="8" customFormat="1" spans="1:97">
      <c r="A36" s="14" t="s">
        <v>61</v>
      </c>
      <c r="B36" s="15"/>
      <c r="C36" s="16" t="s">
        <v>66</v>
      </c>
      <c r="D36" s="19" t="s">
        <v>135</v>
      </c>
      <c r="E36" s="19" t="s">
        <v>132</v>
      </c>
      <c r="F36" s="19" t="s">
        <v>136</v>
      </c>
      <c r="G36" s="19" t="s">
        <v>137</v>
      </c>
      <c r="H36" s="19" t="s">
        <v>138</v>
      </c>
      <c r="I36" s="23" t="s">
        <v>139</v>
      </c>
      <c r="J36" s="23" t="s">
        <v>140</v>
      </c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  <c r="AH36" s="20"/>
      <c r="AI36" s="20"/>
      <c r="AJ36" s="20"/>
      <c r="AK36" s="20"/>
      <c r="AL36" s="20"/>
      <c r="AM36" s="20"/>
      <c r="AN36" s="20"/>
      <c r="AO36" s="20"/>
      <c r="AP36" s="20"/>
      <c r="AQ36" s="20"/>
      <c r="AR36" s="20"/>
      <c r="AS36" s="20"/>
      <c r="AT36" s="20"/>
      <c r="AU36" s="20"/>
      <c r="AV36" s="20"/>
      <c r="AW36" s="20"/>
      <c r="AX36" s="20"/>
      <c r="AY36" s="20"/>
      <c r="AZ36" s="20"/>
      <c r="BA36" s="20"/>
      <c r="BB36" s="20"/>
      <c r="BC36" s="20"/>
      <c r="BD36" s="20"/>
      <c r="BE36" s="20"/>
      <c r="BF36" s="20"/>
      <c r="BG36" s="20"/>
      <c r="BH36" s="20"/>
      <c r="BI36" s="20"/>
      <c r="BJ36" s="20"/>
      <c r="BK36" s="20"/>
      <c r="BL36" s="20"/>
      <c r="BM36" s="20"/>
      <c r="BN36" s="20"/>
      <c r="BO36" s="20"/>
      <c r="BP36" s="20"/>
      <c r="BQ36" s="20"/>
      <c r="BR36" s="20"/>
      <c r="BS36" s="20"/>
      <c r="BT36" s="20"/>
      <c r="BU36" s="20"/>
      <c r="BV36" s="20"/>
      <c r="BW36" s="20"/>
      <c r="BX36" s="20"/>
      <c r="BY36" s="20"/>
      <c r="BZ36" s="20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</row>
    <row r="37" s="8" customFormat="1" spans="1:97">
      <c r="A37" s="14" t="s">
        <v>62</v>
      </c>
      <c r="B37" s="15"/>
      <c r="C37" s="16" t="s">
        <v>59</v>
      </c>
      <c r="D37" s="17"/>
      <c r="E37" s="17"/>
      <c r="F37" s="17"/>
      <c r="G37" s="17"/>
      <c r="H37" s="17"/>
      <c r="I37" s="21"/>
      <c r="J37" s="21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  <c r="AH37" s="20"/>
      <c r="AI37" s="20"/>
      <c r="AJ37" s="20"/>
      <c r="AK37" s="20"/>
      <c r="AL37" s="20"/>
      <c r="AM37" s="20"/>
      <c r="AN37" s="20"/>
      <c r="AO37" s="20"/>
      <c r="AP37" s="20"/>
      <c r="AQ37" s="20"/>
      <c r="AR37" s="20"/>
      <c r="AS37" s="20"/>
      <c r="AT37" s="20"/>
      <c r="AU37" s="20"/>
      <c r="AV37" s="20"/>
      <c r="AW37" s="20"/>
      <c r="AX37" s="20"/>
      <c r="AY37" s="20"/>
      <c r="AZ37" s="20"/>
      <c r="BA37" s="20"/>
      <c r="BB37" s="20"/>
      <c r="BC37" s="20"/>
      <c r="BD37" s="20"/>
      <c r="BE37" s="20"/>
      <c r="BF37" s="20"/>
      <c r="BG37" s="20"/>
      <c r="BH37" s="20"/>
      <c r="BI37" s="20"/>
      <c r="BJ37" s="20"/>
      <c r="BK37" s="20"/>
      <c r="BL37" s="20"/>
      <c r="BM37" s="20"/>
      <c r="BN37" s="20"/>
      <c r="BO37" s="20"/>
      <c r="BP37" s="20"/>
      <c r="BQ37" s="20"/>
      <c r="BR37" s="20"/>
      <c r="BS37" s="20"/>
      <c r="BT37" s="20"/>
      <c r="BU37" s="20"/>
      <c r="BV37" s="20"/>
      <c r="BW37" s="20"/>
      <c r="BX37" s="20"/>
      <c r="BY37" s="20"/>
      <c r="BZ37" s="2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</row>
    <row r="38" s="8" customFormat="1" spans="1:97">
      <c r="A38" s="14" t="s">
        <v>63</v>
      </c>
      <c r="B38" s="15"/>
      <c r="C38" s="16" t="s">
        <v>27</v>
      </c>
      <c r="D38" s="18" t="s">
        <v>63</v>
      </c>
      <c r="E38" s="18" t="s">
        <v>53</v>
      </c>
      <c r="F38" s="18" t="s">
        <v>37</v>
      </c>
      <c r="G38" s="18" t="s">
        <v>59</v>
      </c>
      <c r="H38" s="18" t="s">
        <v>59</v>
      </c>
      <c r="I38" s="22" t="s">
        <v>56</v>
      </c>
      <c r="J38" s="22" t="s">
        <v>42</v>
      </c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  <c r="AH38" s="20"/>
      <c r="AI38" s="20"/>
      <c r="AJ38" s="20"/>
      <c r="AK38" s="20"/>
      <c r="AL38" s="20"/>
      <c r="AM38" s="20"/>
      <c r="AN38" s="20"/>
      <c r="AO38" s="20"/>
      <c r="AP38" s="20"/>
      <c r="AQ38" s="20"/>
      <c r="AR38" s="20"/>
      <c r="AS38" s="20"/>
      <c r="AT38" s="20"/>
      <c r="AU38" s="20"/>
      <c r="AV38" s="20"/>
      <c r="AW38" s="20"/>
      <c r="AX38" s="20"/>
      <c r="AY38" s="20"/>
      <c r="AZ38" s="20"/>
      <c r="BA38" s="20"/>
      <c r="BB38" s="20"/>
      <c r="BC38" s="20"/>
      <c r="BD38" s="20"/>
      <c r="BE38" s="20"/>
      <c r="BF38" s="20"/>
      <c r="BG38" s="20"/>
      <c r="BH38" s="20"/>
      <c r="BI38" s="20"/>
      <c r="BJ38" s="20"/>
      <c r="BK38" s="20"/>
      <c r="BL38" s="20"/>
      <c r="BM38" s="20"/>
      <c r="BN38" s="20"/>
      <c r="BO38" s="20"/>
      <c r="BP38" s="20"/>
      <c r="BQ38" s="20"/>
      <c r="BR38" s="20"/>
      <c r="BS38" s="20"/>
      <c r="BT38" s="20"/>
      <c r="BU38" s="20"/>
      <c r="BV38" s="20"/>
      <c r="BW38" s="20"/>
      <c r="BX38" s="20"/>
      <c r="BY38" s="20"/>
      <c r="BZ38" s="20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</row>
    <row r="39" s="8" customFormat="1" spans="1:97">
      <c r="A39" s="14" t="s">
        <v>64</v>
      </c>
      <c r="B39" s="15"/>
      <c r="C39" s="16" t="s">
        <v>64</v>
      </c>
      <c r="D39" s="19" t="s">
        <v>141</v>
      </c>
      <c r="E39" s="19" t="s">
        <v>142</v>
      </c>
      <c r="F39" s="19" t="s">
        <v>143</v>
      </c>
      <c r="G39" s="19" t="s">
        <v>144</v>
      </c>
      <c r="H39" s="19" t="s">
        <v>145</v>
      </c>
      <c r="I39" s="23" t="s">
        <v>146</v>
      </c>
      <c r="J39" s="23" t="s">
        <v>147</v>
      </c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  <c r="AH39" s="20"/>
      <c r="AI39" s="20"/>
      <c r="AJ39" s="20"/>
      <c r="AK39" s="20"/>
      <c r="AL39" s="20"/>
      <c r="AM39" s="20"/>
      <c r="AN39" s="20"/>
      <c r="AO39" s="20"/>
      <c r="AP39" s="20"/>
      <c r="AQ39" s="20"/>
      <c r="AR39" s="20"/>
      <c r="AS39" s="20"/>
      <c r="AT39" s="20"/>
      <c r="AU39" s="20"/>
      <c r="AV39" s="20"/>
      <c r="AW39" s="20"/>
      <c r="AX39" s="20"/>
      <c r="AY39" s="20"/>
      <c r="AZ39" s="20"/>
      <c r="BA39" s="20"/>
      <c r="BB39" s="20"/>
      <c r="BC39" s="20"/>
      <c r="BD39" s="20"/>
      <c r="BE39" s="20"/>
      <c r="BF39" s="20"/>
      <c r="BG39" s="20"/>
      <c r="BH39" s="20"/>
      <c r="BI39" s="20"/>
      <c r="BJ39" s="20"/>
      <c r="BK39" s="20"/>
      <c r="BL39" s="20"/>
      <c r="BM39" s="20"/>
      <c r="BN39" s="20"/>
      <c r="BO39" s="20"/>
      <c r="BP39" s="20"/>
      <c r="BQ39" s="20"/>
      <c r="BR39" s="20"/>
      <c r="BS39" s="20"/>
      <c r="BT39" s="20"/>
      <c r="BU39" s="20"/>
      <c r="BV39" s="20"/>
      <c r="BW39" s="20"/>
      <c r="BX39" s="20"/>
      <c r="BY39" s="20"/>
      <c r="BZ39" s="20"/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</row>
    <row r="40" s="8" customFormat="1" spans="1:97">
      <c r="A40" s="14" t="s">
        <v>65</v>
      </c>
      <c r="B40" s="15"/>
      <c r="C40" s="16" t="s">
        <v>50</v>
      </c>
      <c r="D40" s="18"/>
      <c r="E40" s="18"/>
      <c r="F40" s="18"/>
      <c r="G40" s="18"/>
      <c r="H40" s="18"/>
      <c r="I40" s="22"/>
      <c r="J40" s="22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  <c r="AH40" s="20"/>
      <c r="AI40" s="20"/>
      <c r="AJ40" s="20"/>
      <c r="AK40" s="20"/>
      <c r="AL40" s="20"/>
      <c r="AM40" s="20"/>
      <c r="AN40" s="20"/>
      <c r="AO40" s="20"/>
      <c r="AP40" s="20"/>
      <c r="AQ40" s="20"/>
      <c r="AR40" s="20"/>
      <c r="AS40" s="20"/>
      <c r="AT40" s="20"/>
      <c r="AU40" s="20"/>
      <c r="AV40" s="20"/>
      <c r="AW40" s="20"/>
      <c r="AX40" s="20"/>
      <c r="AY40" s="20"/>
      <c r="AZ40" s="20"/>
      <c r="BA40" s="20"/>
      <c r="BB40" s="20"/>
      <c r="BC40" s="20"/>
      <c r="BD40" s="20"/>
      <c r="BE40" s="20"/>
      <c r="BF40" s="20"/>
      <c r="BG40" s="20"/>
      <c r="BH40" s="20"/>
      <c r="BI40" s="20"/>
      <c r="BJ40" s="20"/>
      <c r="BK40" s="20"/>
      <c r="BL40" s="20"/>
      <c r="BM40" s="20"/>
      <c r="BN40" s="20"/>
      <c r="BO40" s="20"/>
      <c r="BP40" s="20"/>
      <c r="BQ40" s="20"/>
      <c r="BR40" s="20"/>
      <c r="BS40" s="20"/>
      <c r="BT40" s="20"/>
      <c r="BU40" s="20"/>
      <c r="BV40" s="20"/>
      <c r="BW40" s="20"/>
      <c r="BX40" s="20"/>
      <c r="BY40" s="20"/>
      <c r="BZ40" s="20"/>
      <c r="CA40" s="20"/>
      <c r="CB40" s="20"/>
      <c r="CC40" s="20"/>
      <c r="CD40" s="20"/>
      <c r="CE40" s="20"/>
      <c r="CF40" s="20"/>
      <c r="CG40" s="20"/>
      <c r="CH40" s="20"/>
      <c r="CI40" s="20"/>
      <c r="CJ40" s="20"/>
      <c r="CK40" s="20"/>
      <c r="CL40" s="20"/>
      <c r="CM40" s="20"/>
      <c r="CN40" s="20"/>
      <c r="CO40" s="20"/>
      <c r="CP40" s="20"/>
      <c r="CQ40" s="20"/>
      <c r="CR40" s="20"/>
      <c r="CS40" s="20"/>
    </row>
    <row r="41" s="8" customFormat="1" spans="1:97">
      <c r="A41" s="14" t="s">
        <v>66</v>
      </c>
      <c r="B41" s="15"/>
      <c r="C41" s="16" t="s">
        <v>39</v>
      </c>
      <c r="D41" s="17"/>
      <c r="E41" s="17"/>
      <c r="F41" s="17"/>
      <c r="G41" s="17"/>
      <c r="H41" s="17"/>
      <c r="I41" s="21"/>
      <c r="J41" s="21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  <c r="AH41" s="20"/>
      <c r="AI41" s="20"/>
      <c r="AJ41" s="20"/>
      <c r="AK41" s="20"/>
      <c r="AL41" s="20"/>
      <c r="AM41" s="20"/>
      <c r="AN41" s="20"/>
      <c r="AO41" s="20"/>
      <c r="AP41" s="20"/>
      <c r="AQ41" s="20"/>
      <c r="AR41" s="20"/>
      <c r="AS41" s="20"/>
      <c r="AT41" s="20"/>
      <c r="AU41" s="20"/>
      <c r="AV41" s="20"/>
      <c r="AW41" s="20"/>
      <c r="AX41" s="20"/>
      <c r="AY41" s="20"/>
      <c r="AZ41" s="20"/>
      <c r="BA41" s="20"/>
      <c r="BB41" s="20"/>
      <c r="BC41" s="20"/>
      <c r="BD41" s="20"/>
      <c r="BE41" s="20"/>
      <c r="BF41" s="20"/>
      <c r="BG41" s="20"/>
      <c r="BH41" s="20"/>
      <c r="BI41" s="20"/>
      <c r="BJ41" s="20"/>
      <c r="BK41" s="20"/>
      <c r="BL41" s="20"/>
      <c r="BM41" s="20"/>
      <c r="BN41" s="20"/>
      <c r="BO41" s="20"/>
      <c r="BP41" s="20"/>
      <c r="BQ41" s="20"/>
      <c r="BR41" s="20"/>
      <c r="BS41" s="20"/>
      <c r="BT41" s="20"/>
      <c r="BU41" s="20"/>
      <c r="BV41" s="20"/>
      <c r="BW41" s="20"/>
      <c r="BX41" s="20"/>
      <c r="BY41" s="20"/>
      <c r="BZ41" s="20"/>
      <c r="CA41" s="20"/>
      <c r="CB41" s="20"/>
      <c r="CC41" s="20"/>
      <c r="CD41" s="20"/>
      <c r="CE41" s="20"/>
      <c r="CF41" s="20"/>
      <c r="CG41" s="20"/>
      <c r="CH41" s="20"/>
      <c r="CI41" s="20"/>
      <c r="CJ41" s="20"/>
      <c r="CK41" s="20"/>
      <c r="CL41" s="20"/>
      <c r="CM41" s="20"/>
      <c r="CN41" s="20"/>
      <c r="CO41" s="20"/>
      <c r="CP41" s="20"/>
      <c r="CQ41" s="20"/>
      <c r="CR41" s="20"/>
      <c r="CS41" s="20"/>
    </row>
    <row r="42" s="8" customFormat="1" spans="1:97">
      <c r="A42" s="14" t="s">
        <v>67</v>
      </c>
      <c r="B42" s="15"/>
      <c r="C42" s="14"/>
      <c r="D42" s="18" t="s">
        <v>40</v>
      </c>
      <c r="E42" s="18" t="s">
        <v>38</v>
      </c>
      <c r="F42" s="18" t="s">
        <v>42</v>
      </c>
      <c r="G42" s="18" t="s">
        <v>38</v>
      </c>
      <c r="H42" s="18" t="s">
        <v>60</v>
      </c>
      <c r="I42" s="22" t="s">
        <v>68</v>
      </c>
      <c r="J42" s="22" t="s">
        <v>58</v>
      </c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  <c r="AH42" s="20"/>
      <c r="AI42" s="20"/>
      <c r="AJ42" s="20"/>
      <c r="AK42" s="20"/>
      <c r="AL42" s="20"/>
      <c r="AM42" s="20"/>
      <c r="AN42" s="20"/>
      <c r="AO42" s="20"/>
      <c r="AP42" s="20"/>
      <c r="AQ42" s="20"/>
      <c r="AR42" s="20"/>
      <c r="AS42" s="20"/>
      <c r="AT42" s="20"/>
      <c r="AU42" s="20"/>
      <c r="AV42" s="20"/>
      <c r="AW42" s="20"/>
      <c r="AX42" s="20"/>
      <c r="AY42" s="20"/>
      <c r="AZ42" s="20"/>
      <c r="BA42" s="20"/>
      <c r="BB42" s="20"/>
      <c r="BC42" s="20"/>
      <c r="BD42" s="20"/>
      <c r="BE42" s="20"/>
      <c r="BF42" s="20"/>
      <c r="BG42" s="20"/>
      <c r="BH42" s="20"/>
      <c r="BI42" s="20"/>
      <c r="BJ42" s="20"/>
      <c r="BK42" s="20"/>
      <c r="BL42" s="20"/>
      <c r="BM42" s="20"/>
      <c r="BN42" s="20"/>
      <c r="BO42" s="20"/>
      <c r="BP42" s="20"/>
      <c r="BQ42" s="20"/>
      <c r="BR42" s="20"/>
      <c r="BS42" s="20"/>
      <c r="BT42" s="20"/>
      <c r="BU42" s="20"/>
      <c r="BV42" s="20"/>
      <c r="BW42" s="20"/>
      <c r="BX42" s="20"/>
      <c r="BY42" s="20"/>
      <c r="BZ42" s="20"/>
      <c r="CA42" s="20"/>
      <c r="CB42" s="20"/>
      <c r="CC42" s="20"/>
      <c r="CD42" s="20"/>
      <c r="CE42" s="20"/>
      <c r="CF42" s="20"/>
      <c r="CG42" s="20"/>
      <c r="CH42" s="20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</row>
    <row r="43" s="8" customFormat="1" spans="1:97">
      <c r="A43" s="14" t="s">
        <v>68</v>
      </c>
      <c r="B43" s="15"/>
      <c r="C43" s="14"/>
      <c r="D43" s="19" t="s">
        <v>141</v>
      </c>
      <c r="E43" s="19" t="s">
        <v>142</v>
      </c>
      <c r="F43" s="19" t="s">
        <v>148</v>
      </c>
      <c r="G43" s="19" t="s">
        <v>149</v>
      </c>
      <c r="H43" s="19" t="s">
        <v>150</v>
      </c>
      <c r="I43" s="23" t="s">
        <v>146</v>
      </c>
      <c r="J43" s="23" t="s">
        <v>147</v>
      </c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0"/>
      <c r="AW43" s="20"/>
      <c r="AX43" s="20"/>
      <c r="AY43" s="20"/>
      <c r="AZ43" s="20"/>
      <c r="BA43" s="20"/>
      <c r="BB43" s="20"/>
      <c r="BC43" s="20"/>
      <c r="BD43" s="20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  <c r="BZ43" s="20"/>
      <c r="CA43" s="20"/>
      <c r="CB43" s="20"/>
      <c r="CC43" s="20"/>
      <c r="CD43" s="20"/>
      <c r="CE43" s="20"/>
      <c r="CF43" s="20"/>
      <c r="CG43" s="20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</row>
    <row r="44" s="8" customFormat="1" spans="1:97">
      <c r="A44" s="14" t="s">
        <v>69</v>
      </c>
      <c r="B44" s="15"/>
      <c r="C44" s="14"/>
      <c r="D44" s="18"/>
      <c r="E44" s="18"/>
      <c r="F44" s="18"/>
      <c r="G44" s="18"/>
      <c r="H44" s="18"/>
      <c r="I44" s="22"/>
      <c r="J44" s="22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  <c r="AH44" s="20"/>
      <c r="AI44" s="20"/>
      <c r="AJ44" s="20"/>
      <c r="AK44" s="20"/>
      <c r="AL44" s="20"/>
      <c r="AM44" s="20"/>
      <c r="AN44" s="20"/>
      <c r="AO44" s="20"/>
      <c r="AP44" s="20"/>
      <c r="AQ44" s="20"/>
      <c r="AR44" s="20"/>
      <c r="AS44" s="20"/>
      <c r="AT44" s="20"/>
      <c r="AU44" s="20"/>
      <c r="AV44" s="20"/>
      <c r="AW44" s="20"/>
      <c r="AX44" s="20"/>
      <c r="AY44" s="20"/>
      <c r="AZ44" s="20"/>
      <c r="BA44" s="20"/>
      <c r="BB44" s="20"/>
      <c r="BC44" s="20"/>
      <c r="BD44" s="20"/>
      <c r="BE44" s="20"/>
      <c r="BF44" s="20"/>
      <c r="BG44" s="20"/>
      <c r="BH44" s="20"/>
      <c r="BI44" s="20"/>
      <c r="BJ44" s="20"/>
      <c r="BK44" s="20"/>
      <c r="BL44" s="20"/>
      <c r="BM44" s="20"/>
      <c r="BN44" s="20"/>
      <c r="BO44" s="20"/>
      <c r="BP44" s="20"/>
      <c r="BQ44" s="20"/>
      <c r="BR44" s="20"/>
      <c r="BS44" s="20"/>
      <c r="BT44" s="20"/>
      <c r="BU44" s="20"/>
      <c r="BV44" s="20"/>
      <c r="BW44" s="20"/>
      <c r="BX44" s="20"/>
      <c r="BY44" s="20"/>
      <c r="BZ44" s="20"/>
      <c r="CA44" s="20"/>
      <c r="CB44" s="20"/>
      <c r="CC44" s="20"/>
      <c r="CD44" s="20"/>
      <c r="CE44" s="20"/>
      <c r="CF44" s="20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</row>
    <row r="45" s="8" customFormat="1" spans="1:97">
      <c r="A45" s="20"/>
      <c r="B45" s="15"/>
      <c r="C45" s="14"/>
      <c r="D45" s="17"/>
      <c r="E45" s="17"/>
      <c r="F45" s="17"/>
      <c r="G45" s="17"/>
      <c r="H45" s="17"/>
      <c r="I45" s="21"/>
      <c r="J45" s="21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  <c r="AH45" s="20"/>
      <c r="AI45" s="20"/>
      <c r="AJ45" s="20"/>
      <c r="AK45" s="20"/>
      <c r="AL45" s="20"/>
      <c r="AM45" s="20"/>
      <c r="AN45" s="20"/>
      <c r="AO45" s="20"/>
      <c r="AP45" s="20"/>
      <c r="AQ45" s="20"/>
      <c r="AR45" s="20"/>
      <c r="AS45" s="20"/>
      <c r="AT45" s="20"/>
      <c r="AU45" s="20"/>
      <c r="AV45" s="20"/>
      <c r="AW45" s="20"/>
      <c r="AX45" s="20"/>
      <c r="AY45" s="20"/>
      <c r="AZ45" s="20"/>
      <c r="BA45" s="20"/>
      <c r="BB45" s="20"/>
      <c r="BC45" s="20"/>
      <c r="BD45" s="20"/>
      <c r="BE45" s="20"/>
      <c r="BF45" s="20"/>
      <c r="BG45" s="20"/>
      <c r="BH45" s="20"/>
      <c r="BI45" s="20"/>
      <c r="BJ45" s="20"/>
      <c r="BK45" s="20"/>
      <c r="BL45" s="20"/>
      <c r="BM45" s="20"/>
      <c r="BN45" s="20"/>
      <c r="BO45" s="20"/>
      <c r="BP45" s="20"/>
      <c r="BQ45" s="20"/>
      <c r="BR45" s="20"/>
      <c r="BS45" s="20"/>
      <c r="BT45" s="20"/>
      <c r="BU45" s="20"/>
      <c r="BV45" s="20"/>
      <c r="BW45" s="20"/>
      <c r="BX45" s="20"/>
      <c r="BY45" s="20"/>
      <c r="BZ45" s="20"/>
      <c r="CA45" s="20"/>
      <c r="CB45" s="20"/>
      <c r="CC45" s="20"/>
      <c r="CD45" s="20"/>
      <c r="CE45" s="20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</row>
    <row r="46" s="8" customFormat="1" spans="1:97">
      <c r="A46" s="20"/>
      <c r="B46" s="15"/>
      <c r="C46" s="14"/>
      <c r="D46" s="18" t="s">
        <v>68</v>
      </c>
      <c r="E46" s="18" t="s">
        <v>63</v>
      </c>
      <c r="F46" s="18" t="s">
        <v>58</v>
      </c>
      <c r="G46" s="18" t="s">
        <v>42</v>
      </c>
      <c r="H46" s="18" t="s">
        <v>48</v>
      </c>
      <c r="I46" s="22" t="s">
        <v>65</v>
      </c>
      <c r="J46" s="22" t="s">
        <v>43</v>
      </c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  <c r="AH46" s="20"/>
      <c r="AI46" s="20"/>
      <c r="AJ46" s="20"/>
      <c r="AK46" s="20"/>
      <c r="AL46" s="20"/>
      <c r="AM46" s="20"/>
      <c r="AN46" s="20"/>
      <c r="AO46" s="20"/>
      <c r="AP46" s="20"/>
      <c r="AQ46" s="20"/>
      <c r="AR46" s="20"/>
      <c r="AS46" s="20"/>
      <c r="AT46" s="20"/>
      <c r="AU46" s="20"/>
      <c r="AV46" s="20"/>
      <c r="AW46" s="20"/>
      <c r="AX46" s="20"/>
      <c r="AY46" s="20"/>
      <c r="AZ46" s="20"/>
      <c r="BA46" s="20"/>
      <c r="BB46" s="20"/>
      <c r="BC46" s="20"/>
      <c r="BD46" s="20"/>
      <c r="BE46" s="20"/>
      <c r="BF46" s="20"/>
      <c r="BG46" s="20"/>
      <c r="BH46" s="20"/>
      <c r="BI46" s="20"/>
      <c r="BJ46" s="20"/>
      <c r="BK46" s="20"/>
      <c r="BL46" s="20"/>
      <c r="BM46" s="20"/>
      <c r="BN46" s="20"/>
      <c r="BO46" s="20"/>
      <c r="BP46" s="20"/>
      <c r="BQ46" s="20"/>
      <c r="BR46" s="20"/>
      <c r="BS46" s="20"/>
      <c r="BT46" s="20"/>
      <c r="BU46" s="20"/>
      <c r="BV46" s="20"/>
      <c r="BW46" s="20"/>
      <c r="BX46" s="20"/>
      <c r="BY46" s="20"/>
      <c r="BZ46" s="20"/>
      <c r="CA46" s="20"/>
      <c r="CB46" s="20"/>
      <c r="CC46" s="20"/>
      <c r="CD46" s="20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</row>
    <row r="47" s="8" customFormat="1" spans="1:97">
      <c r="A47" s="20"/>
      <c r="B47" s="15"/>
      <c r="C47" s="14"/>
      <c r="D47" s="19" t="s">
        <v>151</v>
      </c>
      <c r="E47" s="19" t="s">
        <v>152</v>
      </c>
      <c r="F47" s="19" t="s">
        <v>153</v>
      </c>
      <c r="G47" s="19" t="s">
        <v>154</v>
      </c>
      <c r="H47" s="19" t="s">
        <v>155</v>
      </c>
      <c r="I47" s="23" t="s">
        <v>156</v>
      </c>
      <c r="J47" s="23" t="s">
        <v>157</v>
      </c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  <c r="AH47" s="20"/>
      <c r="AI47" s="20"/>
      <c r="AJ47" s="20"/>
      <c r="AK47" s="20"/>
      <c r="AL47" s="20"/>
      <c r="AM47" s="20"/>
      <c r="AN47" s="20"/>
      <c r="AO47" s="20"/>
      <c r="AP47" s="20"/>
      <c r="AQ47" s="20"/>
      <c r="AR47" s="20"/>
      <c r="AS47" s="20"/>
      <c r="AT47" s="20"/>
      <c r="AU47" s="20"/>
      <c r="AV47" s="20"/>
      <c r="AW47" s="20"/>
      <c r="AX47" s="20"/>
      <c r="AY47" s="20"/>
      <c r="AZ47" s="20"/>
      <c r="BA47" s="20"/>
      <c r="BB47" s="20"/>
      <c r="BC47" s="20"/>
      <c r="BD47" s="20"/>
      <c r="BE47" s="20"/>
      <c r="BF47" s="20"/>
      <c r="BG47" s="20"/>
      <c r="BH47" s="20"/>
      <c r="BI47" s="20"/>
      <c r="BJ47" s="20"/>
      <c r="BK47" s="20"/>
      <c r="BL47" s="20"/>
      <c r="BM47" s="20"/>
      <c r="BN47" s="20"/>
      <c r="BO47" s="20"/>
      <c r="BP47" s="20"/>
      <c r="BQ47" s="20"/>
      <c r="BR47" s="20"/>
      <c r="BS47" s="20"/>
      <c r="BT47" s="20"/>
      <c r="BU47" s="20"/>
      <c r="BV47" s="20"/>
      <c r="BW47" s="20"/>
      <c r="BX47" s="20"/>
      <c r="BY47" s="20"/>
      <c r="BZ47" s="20"/>
      <c r="CA47" s="20"/>
      <c r="CB47" s="20"/>
      <c r="CC47" s="20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</row>
    <row r="48" s="8" customFormat="1" spans="1:97">
      <c r="A48" s="20"/>
      <c r="B48" s="15"/>
      <c r="C48" s="14"/>
      <c r="D48" s="17"/>
      <c r="E48" s="17"/>
      <c r="F48" s="17"/>
      <c r="G48" s="17"/>
      <c r="H48" s="17"/>
      <c r="I48" s="21"/>
      <c r="J48" s="21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  <c r="AH48" s="20"/>
      <c r="AI48" s="20"/>
      <c r="AJ48" s="20"/>
      <c r="AK48" s="20"/>
      <c r="AL48" s="20"/>
      <c r="AM48" s="20"/>
      <c r="AN48" s="20"/>
      <c r="AO48" s="20"/>
      <c r="AP48" s="20"/>
      <c r="AQ48" s="20"/>
      <c r="AR48" s="20"/>
      <c r="AS48" s="20"/>
      <c r="AT48" s="20"/>
      <c r="AU48" s="20"/>
      <c r="AV48" s="20"/>
      <c r="AW48" s="20"/>
      <c r="AX48" s="20"/>
      <c r="AY48" s="20"/>
      <c r="AZ48" s="20"/>
      <c r="BA48" s="20"/>
      <c r="BB48" s="20"/>
      <c r="BC48" s="20"/>
      <c r="BD48" s="20"/>
      <c r="BE48" s="20"/>
      <c r="BF48" s="20"/>
      <c r="BG48" s="20"/>
      <c r="BH48" s="20"/>
      <c r="BI48" s="20"/>
      <c r="BJ48" s="20"/>
      <c r="BK48" s="20"/>
      <c r="BL48" s="20"/>
      <c r="BM48" s="20"/>
      <c r="BN48" s="20"/>
      <c r="BO48" s="20"/>
      <c r="BP48" s="20"/>
      <c r="BQ48" s="20"/>
      <c r="BR48" s="20"/>
      <c r="BS48" s="20"/>
      <c r="BT48" s="20"/>
      <c r="BU48" s="20"/>
      <c r="BV48" s="20"/>
      <c r="BW48" s="20"/>
      <c r="BX48" s="20"/>
      <c r="BY48" s="20"/>
      <c r="BZ48" s="20"/>
      <c r="CA48" s="20"/>
      <c r="CB48" s="20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</row>
    <row r="49" s="8" customFormat="1" spans="1:97">
      <c r="A49" s="20"/>
      <c r="B49" s="15"/>
      <c r="C49" s="14"/>
      <c r="D49" s="18" t="s">
        <v>37</v>
      </c>
      <c r="E49" s="18" t="s">
        <v>55</v>
      </c>
      <c r="F49" s="18" t="s">
        <v>59</v>
      </c>
      <c r="G49" s="18" t="s">
        <v>46</v>
      </c>
      <c r="H49" s="18" t="s">
        <v>55</v>
      </c>
      <c r="I49" s="22" t="s">
        <v>58</v>
      </c>
      <c r="J49" s="22" t="s">
        <v>24</v>
      </c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0"/>
      <c r="AJ49" s="20"/>
      <c r="AK49" s="20"/>
      <c r="AL49" s="20"/>
      <c r="AM49" s="20"/>
      <c r="AN49" s="20"/>
      <c r="AO49" s="20"/>
      <c r="AP49" s="20"/>
      <c r="AQ49" s="20"/>
      <c r="AR49" s="20"/>
      <c r="AS49" s="20"/>
      <c r="AT49" s="20"/>
      <c r="AU49" s="20"/>
      <c r="AV49" s="20"/>
      <c r="AW49" s="20"/>
      <c r="AX49" s="20"/>
      <c r="AY49" s="20"/>
      <c r="AZ49" s="20"/>
      <c r="BA49" s="20"/>
      <c r="BB49" s="20"/>
      <c r="BC49" s="20"/>
      <c r="BD49" s="20"/>
      <c r="BE49" s="20"/>
      <c r="BF49" s="20"/>
      <c r="BG49" s="20"/>
      <c r="BH49" s="20"/>
      <c r="BI49" s="20"/>
      <c r="BJ49" s="20"/>
      <c r="BK49" s="20"/>
      <c r="BL49" s="20"/>
      <c r="BM49" s="20"/>
      <c r="BN49" s="20"/>
      <c r="BO49" s="20"/>
      <c r="BP49" s="20"/>
      <c r="BQ49" s="20"/>
      <c r="BR49" s="20"/>
      <c r="BS49" s="20"/>
      <c r="BT49" s="20"/>
      <c r="BU49" s="20"/>
      <c r="BV49" s="20"/>
      <c r="BW49" s="20"/>
      <c r="BX49" s="20"/>
      <c r="BY49" s="20"/>
      <c r="BZ49" s="20"/>
      <c r="CA49" s="20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</row>
    <row r="50" s="8" customFormat="1" spans="1:97">
      <c r="A50" s="20"/>
      <c r="B50" s="15"/>
      <c r="C50" s="14"/>
      <c r="D50" s="19" t="s">
        <v>158</v>
      </c>
      <c r="E50" s="19" t="s">
        <v>159</v>
      </c>
      <c r="F50" s="19" t="s">
        <v>160</v>
      </c>
      <c r="G50" s="19" t="s">
        <v>161</v>
      </c>
      <c r="H50" s="19" t="s">
        <v>162</v>
      </c>
      <c r="I50" s="23" t="s">
        <v>163</v>
      </c>
      <c r="J50" s="23" t="s">
        <v>164</v>
      </c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  <c r="AZ50" s="20"/>
      <c r="BA50" s="20"/>
      <c r="BB50" s="20"/>
      <c r="BC50" s="20"/>
      <c r="BD50" s="20"/>
      <c r="BE50" s="20"/>
      <c r="BF50" s="20"/>
      <c r="BG50" s="20"/>
      <c r="BH50" s="20"/>
      <c r="BI50" s="20"/>
      <c r="BJ50" s="20"/>
      <c r="BK50" s="20"/>
      <c r="BL50" s="20"/>
      <c r="BM50" s="20"/>
      <c r="BN50" s="20"/>
      <c r="BO50" s="20"/>
      <c r="BP50" s="20"/>
      <c r="BQ50" s="20"/>
      <c r="BR50" s="20"/>
      <c r="BS50" s="20"/>
      <c r="BT50" s="20"/>
      <c r="BU50" s="20"/>
      <c r="BV50" s="20"/>
      <c r="BW50" s="20"/>
      <c r="BX50" s="20"/>
      <c r="BY50" s="20"/>
      <c r="BZ50" s="20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</row>
    <row r="51" s="8" customFormat="1" spans="1:97">
      <c r="A51" s="20"/>
      <c r="B51" s="15"/>
      <c r="C51" s="14"/>
      <c r="D51" s="18"/>
      <c r="E51" s="18"/>
      <c r="F51" s="18"/>
      <c r="G51" s="18"/>
      <c r="H51" s="18"/>
      <c r="I51" s="22"/>
      <c r="J51" s="22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0"/>
      <c r="X51" s="20"/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0"/>
      <c r="AJ51" s="20"/>
      <c r="AK51" s="20"/>
      <c r="AL51" s="20"/>
      <c r="AM51" s="20"/>
      <c r="AN51" s="20"/>
      <c r="AO51" s="20"/>
      <c r="AP51" s="20"/>
      <c r="AQ51" s="20"/>
      <c r="AR51" s="20"/>
      <c r="AS51" s="20"/>
      <c r="AT51" s="20"/>
      <c r="AU51" s="20"/>
      <c r="AV51" s="20"/>
      <c r="AW51" s="20"/>
      <c r="AX51" s="20"/>
      <c r="AY51" s="20"/>
      <c r="AZ51" s="20"/>
      <c r="BA51" s="20"/>
      <c r="BB51" s="20"/>
      <c r="BC51" s="20"/>
      <c r="BD51" s="20"/>
      <c r="BE51" s="20"/>
      <c r="BF51" s="20"/>
      <c r="BG51" s="20"/>
      <c r="BH51" s="20"/>
      <c r="BI51" s="20"/>
      <c r="BJ51" s="20"/>
      <c r="BK51" s="20"/>
      <c r="BL51" s="20"/>
      <c r="BM51" s="20"/>
      <c r="BN51" s="20"/>
      <c r="BO51" s="20"/>
      <c r="BP51" s="20"/>
      <c r="BQ51" s="20"/>
      <c r="BR51" s="20"/>
      <c r="BS51" s="20"/>
      <c r="BT51" s="20"/>
      <c r="BU51" s="20"/>
      <c r="BV51" s="20"/>
      <c r="BW51" s="20"/>
      <c r="BX51" s="20"/>
      <c r="BY51" s="20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20"/>
    </row>
    <row r="52" s="8" customFormat="1" spans="1:97">
      <c r="A52" s="20"/>
      <c r="B52" s="15"/>
      <c r="C52" s="14"/>
      <c r="D52" s="17"/>
      <c r="E52" s="17"/>
      <c r="F52" s="17"/>
      <c r="G52" s="17"/>
      <c r="H52" s="17"/>
      <c r="I52" s="21"/>
      <c r="J52" s="21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0"/>
      <c r="X52" s="20"/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0"/>
      <c r="AJ52" s="20"/>
      <c r="AK52" s="20"/>
      <c r="AL52" s="20"/>
      <c r="AM52" s="20"/>
      <c r="AN52" s="20"/>
      <c r="AO52" s="20"/>
      <c r="AP52" s="20"/>
      <c r="AQ52" s="20"/>
      <c r="AR52" s="20"/>
      <c r="AS52" s="20"/>
      <c r="AT52" s="20"/>
      <c r="AU52" s="20"/>
      <c r="AV52" s="20"/>
      <c r="AW52" s="20"/>
      <c r="AX52" s="20"/>
      <c r="AY52" s="20"/>
      <c r="AZ52" s="20"/>
      <c r="BA52" s="20"/>
      <c r="BB52" s="20"/>
      <c r="BC52" s="20"/>
      <c r="BD52" s="20"/>
      <c r="BE52" s="20"/>
      <c r="BF52" s="20"/>
      <c r="BG52" s="20"/>
      <c r="BH52" s="20"/>
      <c r="BI52" s="20"/>
      <c r="BJ52" s="20"/>
      <c r="BK52" s="20"/>
      <c r="BL52" s="20"/>
      <c r="BM52" s="20"/>
      <c r="BN52" s="20"/>
      <c r="BO52" s="20"/>
      <c r="BP52" s="20"/>
      <c r="BQ52" s="20"/>
      <c r="BR52" s="20"/>
      <c r="BS52" s="20"/>
      <c r="BT52" s="20"/>
      <c r="BU52" s="20"/>
      <c r="BV52" s="20"/>
      <c r="BW52" s="20"/>
      <c r="BX52" s="20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20"/>
      <c r="CS52" s="20"/>
    </row>
    <row r="53" s="8" customFormat="1" spans="1:97">
      <c r="A53" s="20"/>
      <c r="B53" s="15"/>
      <c r="C53" s="14"/>
      <c r="D53" s="18" t="s">
        <v>42</v>
      </c>
      <c r="E53" s="18" t="s">
        <v>22</v>
      </c>
      <c r="F53" s="18" t="s">
        <v>63</v>
      </c>
      <c r="G53" s="18" t="s">
        <v>65</v>
      </c>
      <c r="H53" s="18" t="s">
        <v>58</v>
      </c>
      <c r="I53" s="22" t="s">
        <v>24</v>
      </c>
      <c r="J53" s="22" t="s">
        <v>60</v>
      </c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0"/>
      <c r="AJ53" s="20"/>
      <c r="AK53" s="20"/>
      <c r="AL53" s="20"/>
      <c r="AM53" s="20"/>
      <c r="AN53" s="20"/>
      <c r="AO53" s="20"/>
      <c r="AP53" s="20"/>
      <c r="AQ53" s="20"/>
      <c r="AR53" s="20"/>
      <c r="AS53" s="20"/>
      <c r="AT53" s="20"/>
      <c r="AU53" s="20"/>
      <c r="AV53" s="20"/>
      <c r="AW53" s="20"/>
      <c r="AX53" s="20"/>
      <c r="AY53" s="20"/>
      <c r="AZ53" s="20"/>
      <c r="BA53" s="20"/>
      <c r="BB53" s="20"/>
      <c r="BC53" s="20"/>
      <c r="BD53" s="20"/>
      <c r="BE53" s="20"/>
      <c r="BF53" s="20"/>
      <c r="BG53" s="20"/>
      <c r="BH53" s="20"/>
      <c r="BI53" s="20"/>
      <c r="BJ53" s="20"/>
      <c r="BK53" s="20"/>
      <c r="BL53" s="20"/>
      <c r="BM53" s="20"/>
      <c r="BN53" s="20"/>
      <c r="BO53" s="20"/>
      <c r="BP53" s="20"/>
      <c r="BQ53" s="20"/>
      <c r="BR53" s="20"/>
      <c r="BS53" s="20"/>
      <c r="BT53" s="20"/>
      <c r="BU53" s="20"/>
      <c r="BV53" s="20"/>
      <c r="BW53" s="20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20"/>
      <c r="CR53" s="20"/>
      <c r="CS53" s="20"/>
    </row>
    <row r="54" s="8" customFormat="1" spans="1:97">
      <c r="A54" s="20"/>
      <c r="B54" s="15"/>
      <c r="C54" s="14"/>
      <c r="D54" s="19" t="s">
        <v>165</v>
      </c>
      <c r="E54" s="19" t="s">
        <v>144</v>
      </c>
      <c r="F54" s="19" t="s">
        <v>161</v>
      </c>
      <c r="G54" s="19" t="s">
        <v>166</v>
      </c>
      <c r="H54" s="19" t="s">
        <v>167</v>
      </c>
      <c r="I54" s="23" t="s">
        <v>168</v>
      </c>
      <c r="J54" s="23" t="s">
        <v>169</v>
      </c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0"/>
      <c r="AJ54" s="20"/>
      <c r="AK54" s="20"/>
      <c r="AL54" s="20"/>
      <c r="AM54" s="20"/>
      <c r="AN54" s="20"/>
      <c r="AO54" s="20"/>
      <c r="AP54" s="20"/>
      <c r="AQ54" s="20"/>
      <c r="AR54" s="20"/>
      <c r="AS54" s="20"/>
      <c r="AT54" s="20"/>
      <c r="AU54" s="20"/>
      <c r="AV54" s="20"/>
      <c r="AW54" s="20"/>
      <c r="AX54" s="20"/>
      <c r="AY54" s="20"/>
      <c r="AZ54" s="20"/>
      <c r="BA54" s="20"/>
      <c r="BB54" s="20"/>
      <c r="BC54" s="20"/>
      <c r="BD54" s="20"/>
      <c r="BE54" s="20"/>
      <c r="BF54" s="20"/>
      <c r="BG54" s="20"/>
      <c r="BH54" s="20"/>
      <c r="BI54" s="20"/>
      <c r="BJ54" s="20"/>
      <c r="BK54" s="20"/>
      <c r="BL54" s="20"/>
      <c r="BM54" s="20"/>
      <c r="BN54" s="20"/>
      <c r="BO54" s="20"/>
      <c r="BP54" s="20"/>
      <c r="BQ54" s="20"/>
      <c r="BR54" s="20"/>
      <c r="BS54" s="20"/>
      <c r="BT54" s="20"/>
      <c r="BU54" s="20"/>
      <c r="BV54" s="20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20"/>
      <c r="CQ54" s="20"/>
      <c r="CR54" s="20"/>
      <c r="CS54" s="20"/>
    </row>
    <row r="55" s="8" customFormat="1" spans="1:97">
      <c r="A55" s="20"/>
      <c r="B55" s="15"/>
      <c r="C55" s="14"/>
      <c r="D55" s="18"/>
      <c r="E55" s="18"/>
      <c r="F55" s="18"/>
      <c r="G55" s="18"/>
      <c r="H55" s="18"/>
      <c r="I55" s="22"/>
      <c r="J55" s="22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0"/>
      <c r="AJ55" s="20"/>
      <c r="AK55" s="20"/>
      <c r="AL55" s="20"/>
      <c r="AM55" s="20"/>
      <c r="AN55" s="20"/>
      <c r="AO55" s="20"/>
      <c r="AP55" s="20"/>
      <c r="AQ55" s="20"/>
      <c r="AR55" s="20"/>
      <c r="AS55" s="20"/>
      <c r="AT55" s="20"/>
      <c r="AU55" s="20"/>
      <c r="AV55" s="20"/>
      <c r="AW55" s="20"/>
      <c r="AX55" s="20"/>
      <c r="AY55" s="20"/>
      <c r="AZ55" s="20"/>
      <c r="BA55" s="20"/>
      <c r="BB55" s="20"/>
      <c r="BC55" s="20"/>
      <c r="BD55" s="20"/>
      <c r="BE55" s="20"/>
      <c r="BF55" s="20"/>
      <c r="BG55" s="20"/>
      <c r="BH55" s="20"/>
      <c r="BI55" s="20"/>
      <c r="BJ55" s="20"/>
      <c r="BK55" s="20"/>
      <c r="BL55" s="20"/>
      <c r="BM55" s="20"/>
      <c r="BN55" s="20"/>
      <c r="BO55" s="20"/>
      <c r="BP55" s="20"/>
      <c r="BQ55" s="20"/>
      <c r="BR55" s="20"/>
      <c r="BS55" s="20"/>
      <c r="BT55" s="20"/>
      <c r="BU55" s="20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20"/>
      <c r="CP55" s="20"/>
      <c r="CQ55" s="20"/>
      <c r="CR55" s="20"/>
      <c r="CS55" s="20"/>
    </row>
    <row r="56" s="8" customFormat="1" spans="1:97">
      <c r="A56" s="20"/>
      <c r="B56" s="15"/>
      <c r="C56" s="14"/>
      <c r="D56" s="17"/>
      <c r="E56" s="17"/>
      <c r="F56" s="17"/>
      <c r="G56" s="17"/>
      <c r="H56" s="17"/>
      <c r="I56" s="21"/>
      <c r="J56" s="21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0"/>
      <c r="AJ56" s="20"/>
      <c r="AK56" s="20"/>
      <c r="AL56" s="20"/>
      <c r="AM56" s="20"/>
      <c r="AN56" s="20"/>
      <c r="AO56" s="20"/>
      <c r="AP56" s="20"/>
      <c r="AQ56" s="20"/>
      <c r="AR56" s="20"/>
      <c r="AS56" s="20"/>
      <c r="AT56" s="20"/>
      <c r="AU56" s="20"/>
      <c r="AV56" s="20"/>
      <c r="AW56" s="20"/>
      <c r="AX56" s="20"/>
      <c r="AY56" s="20"/>
      <c r="AZ56" s="20"/>
      <c r="BA56" s="20"/>
      <c r="BB56" s="20"/>
      <c r="BC56" s="20"/>
      <c r="BD56" s="20"/>
      <c r="BE56" s="20"/>
      <c r="BF56" s="20"/>
      <c r="BG56" s="20"/>
      <c r="BH56" s="20"/>
      <c r="BI56" s="20"/>
      <c r="BJ56" s="20"/>
      <c r="BK56" s="20"/>
      <c r="BL56" s="20"/>
      <c r="BM56" s="20"/>
      <c r="BN56" s="20"/>
      <c r="BO56" s="20"/>
      <c r="BP56" s="20"/>
      <c r="BQ56" s="20"/>
      <c r="BR56" s="20"/>
      <c r="BS56" s="20"/>
      <c r="BT56" s="20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20"/>
      <c r="CO56" s="20"/>
      <c r="CP56" s="20"/>
      <c r="CQ56" s="20"/>
      <c r="CR56" s="20"/>
      <c r="CS56" s="20"/>
    </row>
    <row r="57" s="8" customFormat="1" spans="1:97">
      <c r="A57" s="20"/>
      <c r="B57" s="15"/>
      <c r="C57" s="14"/>
      <c r="D57" s="18" t="s">
        <v>46</v>
      </c>
      <c r="E57" s="18" t="s">
        <v>37</v>
      </c>
      <c r="F57" s="18" t="s">
        <v>53</v>
      </c>
      <c r="G57" s="18" t="s">
        <v>22</v>
      </c>
      <c r="H57" s="18" t="s">
        <v>52</v>
      </c>
      <c r="I57" s="22" t="s">
        <v>59</v>
      </c>
      <c r="J57" s="22" t="s">
        <v>44</v>
      </c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0"/>
      <c r="AJ57" s="20"/>
      <c r="AK57" s="20"/>
      <c r="AL57" s="20"/>
      <c r="AM57" s="20"/>
      <c r="AN57" s="20"/>
      <c r="AO57" s="20"/>
      <c r="AP57" s="20"/>
      <c r="AQ57" s="20"/>
      <c r="AR57" s="20"/>
      <c r="AS57" s="20"/>
      <c r="AT57" s="20"/>
      <c r="AU57" s="20"/>
      <c r="AV57" s="20"/>
      <c r="AW57" s="20"/>
      <c r="AX57" s="20"/>
      <c r="AY57" s="20"/>
      <c r="AZ57" s="20"/>
      <c r="BA57" s="20"/>
      <c r="BB57" s="20"/>
      <c r="BC57" s="20"/>
      <c r="BD57" s="20"/>
      <c r="BE57" s="20"/>
      <c r="BF57" s="20"/>
      <c r="BG57" s="20"/>
      <c r="BH57" s="20"/>
      <c r="BI57" s="20"/>
      <c r="BJ57" s="20"/>
      <c r="BK57" s="20"/>
      <c r="BL57" s="20"/>
      <c r="BM57" s="20"/>
      <c r="BN57" s="20"/>
      <c r="BO57" s="20"/>
      <c r="BP57" s="20"/>
      <c r="BQ57" s="20"/>
      <c r="BR57" s="20"/>
      <c r="BS57" s="20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20"/>
      <c r="CN57" s="20"/>
      <c r="CO57" s="20"/>
      <c r="CP57" s="20"/>
      <c r="CQ57" s="20"/>
      <c r="CR57" s="20"/>
      <c r="CS57" s="20"/>
    </row>
    <row r="58" s="8" customFormat="1" spans="1:97">
      <c r="A58" s="20"/>
      <c r="B58" s="15"/>
      <c r="C58" s="14"/>
      <c r="D58" s="19" t="s">
        <v>170</v>
      </c>
      <c r="E58" s="19" t="s">
        <v>171</v>
      </c>
      <c r="F58" s="19" t="s">
        <v>172</v>
      </c>
      <c r="G58" s="19" t="s">
        <v>173</v>
      </c>
      <c r="H58" s="19" t="s">
        <v>174</v>
      </c>
      <c r="I58" s="23" t="s">
        <v>175</v>
      </c>
      <c r="J58" s="23" t="s">
        <v>176</v>
      </c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0"/>
      <c r="AJ58" s="20"/>
      <c r="AK58" s="20"/>
      <c r="AL58" s="20"/>
      <c r="AM58" s="20"/>
      <c r="AN58" s="20"/>
      <c r="AO58" s="20"/>
      <c r="AP58" s="20"/>
      <c r="AQ58" s="20"/>
      <c r="AR58" s="20"/>
      <c r="AS58" s="20"/>
      <c r="AT58" s="20"/>
      <c r="AU58" s="20"/>
      <c r="AV58" s="20"/>
      <c r="AW58" s="20"/>
      <c r="AX58" s="20"/>
      <c r="AY58" s="20"/>
      <c r="AZ58" s="20"/>
      <c r="BA58" s="20"/>
      <c r="BB58" s="20"/>
      <c r="BC58" s="20"/>
      <c r="BD58" s="20"/>
      <c r="BE58" s="20"/>
      <c r="BF58" s="20"/>
      <c r="BG58" s="20"/>
      <c r="BH58" s="20"/>
      <c r="BI58" s="20"/>
      <c r="BJ58" s="20"/>
      <c r="BK58" s="20"/>
      <c r="BL58" s="20"/>
      <c r="BM58" s="20"/>
      <c r="BN58" s="20"/>
      <c r="BO58" s="20"/>
      <c r="BP58" s="20"/>
      <c r="BQ58" s="20"/>
      <c r="BR58" s="20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20"/>
      <c r="CM58" s="20"/>
      <c r="CN58" s="20"/>
      <c r="CO58" s="20"/>
      <c r="CP58" s="20"/>
      <c r="CQ58" s="20"/>
      <c r="CR58" s="20"/>
      <c r="CS58" s="20"/>
    </row>
    <row r="59" s="8" customFormat="1" spans="1:97">
      <c r="A59" s="20"/>
      <c r="B59" s="15"/>
      <c r="C59" s="14"/>
      <c r="D59" s="17"/>
      <c r="E59" s="17"/>
      <c r="F59" s="17"/>
      <c r="G59" s="17"/>
      <c r="H59" s="17"/>
      <c r="I59" s="21"/>
      <c r="J59" s="21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0"/>
      <c r="AJ59" s="20"/>
      <c r="AK59" s="20"/>
      <c r="AL59" s="20"/>
      <c r="AM59" s="20"/>
      <c r="AN59" s="20"/>
      <c r="AO59" s="20"/>
      <c r="AP59" s="20"/>
      <c r="AQ59" s="20"/>
      <c r="AR59" s="20"/>
      <c r="AS59" s="20"/>
      <c r="AT59" s="20"/>
      <c r="AU59" s="20"/>
      <c r="AV59" s="20"/>
      <c r="AW59" s="20"/>
      <c r="AX59" s="20"/>
      <c r="AY59" s="20"/>
      <c r="AZ59" s="20"/>
      <c r="BA59" s="20"/>
      <c r="BB59" s="20"/>
      <c r="BC59" s="20"/>
      <c r="BD59" s="20"/>
      <c r="BE59" s="20"/>
      <c r="BF59" s="20"/>
      <c r="BG59" s="20"/>
      <c r="BH59" s="20"/>
      <c r="BI59" s="20"/>
      <c r="BJ59" s="20"/>
      <c r="BK59" s="20"/>
      <c r="BL59" s="20"/>
      <c r="BM59" s="20"/>
      <c r="BN59" s="20"/>
      <c r="BO59" s="20"/>
      <c r="BP59" s="20"/>
      <c r="BQ59" s="20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20"/>
      <c r="CL59" s="20"/>
      <c r="CM59" s="20"/>
      <c r="CN59" s="20"/>
      <c r="CO59" s="20"/>
      <c r="CP59" s="20"/>
      <c r="CQ59" s="20"/>
      <c r="CR59" s="20"/>
      <c r="CS59" s="20"/>
    </row>
    <row r="60" s="8" customFormat="1" spans="1:97">
      <c r="A60" s="20"/>
      <c r="B60" s="15"/>
      <c r="C60" s="14"/>
      <c r="D60" s="18" t="s">
        <v>57</v>
      </c>
      <c r="E60" s="18" t="s">
        <v>24</v>
      </c>
      <c r="F60" s="18" t="s">
        <v>57</v>
      </c>
      <c r="G60" s="18" t="s">
        <v>52</v>
      </c>
      <c r="H60" s="18" t="s">
        <v>65</v>
      </c>
      <c r="I60" s="22" t="s">
        <v>47</v>
      </c>
      <c r="J60" s="22" t="s">
        <v>57</v>
      </c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0"/>
      <c r="AJ60" s="20"/>
      <c r="AK60" s="20"/>
      <c r="AL60" s="20"/>
      <c r="AM60" s="20"/>
      <c r="AN60" s="20"/>
      <c r="AO60" s="20"/>
      <c r="AP60" s="20"/>
      <c r="AQ60" s="20"/>
      <c r="AR60" s="20"/>
      <c r="AS60" s="20"/>
      <c r="AT60" s="20"/>
      <c r="AU60" s="20"/>
      <c r="AV60" s="20"/>
      <c r="AW60" s="20"/>
      <c r="AX60" s="20"/>
      <c r="AY60" s="20"/>
      <c r="AZ60" s="20"/>
      <c r="BA60" s="20"/>
      <c r="BB60" s="20"/>
      <c r="BC60" s="20"/>
      <c r="BD60" s="20"/>
      <c r="BE60" s="20"/>
      <c r="BF60" s="20"/>
      <c r="BG60" s="20"/>
      <c r="BH60" s="20"/>
      <c r="BI60" s="20"/>
      <c r="BJ60" s="20"/>
      <c r="BK60" s="20"/>
      <c r="BL60" s="20"/>
      <c r="BM60" s="20"/>
      <c r="BN60" s="20"/>
      <c r="BO60" s="20"/>
      <c r="BP60" s="20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20"/>
      <c r="CK60" s="20"/>
      <c r="CL60" s="20"/>
      <c r="CM60" s="20"/>
      <c r="CN60" s="20"/>
      <c r="CO60" s="20"/>
      <c r="CP60" s="20"/>
      <c r="CQ60" s="20"/>
      <c r="CR60" s="20"/>
      <c r="CS60" s="20"/>
    </row>
    <row r="61" s="8" customFormat="1" spans="1:97">
      <c r="A61" s="20"/>
      <c r="B61" s="15"/>
      <c r="C61" s="14"/>
      <c r="D61" s="19" t="s">
        <v>177</v>
      </c>
      <c r="E61" s="19" t="s">
        <v>178</v>
      </c>
      <c r="F61" s="19" t="s">
        <v>179</v>
      </c>
      <c r="G61" s="19" t="s">
        <v>180</v>
      </c>
      <c r="H61" s="19" t="s">
        <v>181</v>
      </c>
      <c r="I61" s="23" t="s">
        <v>182</v>
      </c>
      <c r="J61" s="23" t="s">
        <v>183</v>
      </c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0"/>
      <c r="AJ61" s="20"/>
      <c r="AK61" s="20"/>
      <c r="AL61" s="20"/>
      <c r="AM61" s="20"/>
      <c r="AN61" s="20"/>
      <c r="AO61" s="20"/>
      <c r="AP61" s="20"/>
      <c r="AQ61" s="20"/>
      <c r="AR61" s="20"/>
      <c r="AS61" s="20"/>
      <c r="AT61" s="20"/>
      <c r="AU61" s="20"/>
      <c r="AV61" s="20"/>
      <c r="AW61" s="20"/>
      <c r="AX61" s="20"/>
      <c r="AY61" s="20"/>
      <c r="AZ61" s="20"/>
      <c r="BA61" s="20"/>
      <c r="BB61" s="20"/>
      <c r="BC61" s="20"/>
      <c r="BD61" s="20"/>
      <c r="BE61" s="20"/>
      <c r="BF61" s="20"/>
      <c r="BG61" s="20"/>
      <c r="BH61" s="20"/>
      <c r="BI61" s="20"/>
      <c r="BJ61" s="20"/>
      <c r="BK61" s="20"/>
      <c r="BL61" s="20"/>
      <c r="BM61" s="20"/>
      <c r="BN61" s="20"/>
      <c r="BO61" s="20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20"/>
      <c r="CJ61" s="20"/>
      <c r="CK61" s="20"/>
      <c r="CL61" s="20"/>
      <c r="CM61" s="20"/>
      <c r="CN61" s="20"/>
      <c r="CO61" s="20"/>
      <c r="CP61" s="20"/>
      <c r="CQ61" s="20"/>
      <c r="CR61" s="20"/>
      <c r="CS61" s="20"/>
    </row>
    <row r="62" s="8" customFormat="1" spans="1:97">
      <c r="A62" s="20"/>
      <c r="B62" s="15"/>
      <c r="C62" s="14"/>
      <c r="D62" s="18"/>
      <c r="E62" s="18"/>
      <c r="F62" s="18"/>
      <c r="G62" s="18"/>
      <c r="H62" s="18"/>
      <c r="I62" s="22"/>
      <c r="J62" s="22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0"/>
      <c r="AJ62" s="20"/>
      <c r="AK62" s="20"/>
      <c r="AL62" s="20"/>
      <c r="AM62" s="20"/>
      <c r="AN62" s="20"/>
      <c r="AO62" s="20"/>
      <c r="AP62" s="20"/>
      <c r="AQ62" s="20"/>
      <c r="AR62" s="20"/>
      <c r="AS62" s="20"/>
      <c r="AT62" s="20"/>
      <c r="AU62" s="20"/>
      <c r="AV62" s="20"/>
      <c r="AW62" s="20"/>
      <c r="AX62" s="20"/>
      <c r="AY62" s="20"/>
      <c r="AZ62" s="20"/>
      <c r="BA62" s="20"/>
      <c r="BB62" s="20"/>
      <c r="BC62" s="20"/>
      <c r="BD62" s="20"/>
      <c r="BE62" s="20"/>
      <c r="BF62" s="20"/>
      <c r="BG62" s="20"/>
      <c r="BH62" s="20"/>
      <c r="BI62" s="20"/>
      <c r="BJ62" s="20"/>
      <c r="BK62" s="20"/>
      <c r="BL62" s="20"/>
      <c r="BM62" s="20"/>
      <c r="BN62" s="20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20"/>
      <c r="CI62" s="20"/>
      <c r="CJ62" s="20"/>
      <c r="CK62" s="20"/>
      <c r="CL62" s="20"/>
      <c r="CM62" s="20"/>
      <c r="CN62" s="20"/>
      <c r="CO62" s="20"/>
      <c r="CP62" s="20"/>
      <c r="CQ62" s="20"/>
      <c r="CR62" s="20"/>
      <c r="CS62" s="20"/>
    </row>
    <row r="63" s="8" customFormat="1" spans="1:97">
      <c r="A63" s="20"/>
      <c r="B63" s="15"/>
      <c r="C63" s="14"/>
      <c r="D63" s="17"/>
      <c r="E63" s="17"/>
      <c r="F63" s="17"/>
      <c r="G63" s="17"/>
      <c r="H63" s="17"/>
      <c r="I63" s="21"/>
      <c r="J63" s="21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0"/>
      <c r="AJ63" s="20"/>
      <c r="AK63" s="20"/>
      <c r="AL63" s="20"/>
      <c r="AM63" s="20"/>
      <c r="AN63" s="20"/>
      <c r="AO63" s="20"/>
      <c r="AP63" s="20"/>
      <c r="AQ63" s="20"/>
      <c r="AR63" s="20"/>
      <c r="AS63" s="20"/>
      <c r="AT63" s="20"/>
      <c r="AU63" s="20"/>
      <c r="AV63" s="20"/>
      <c r="AW63" s="20"/>
      <c r="AX63" s="20"/>
      <c r="AY63" s="20"/>
      <c r="AZ63" s="20"/>
      <c r="BA63" s="20"/>
      <c r="BB63" s="20"/>
      <c r="BC63" s="20"/>
      <c r="BD63" s="20"/>
      <c r="BE63" s="20"/>
      <c r="BF63" s="20"/>
      <c r="BG63" s="20"/>
      <c r="BH63" s="20"/>
      <c r="BI63" s="20"/>
      <c r="BJ63" s="20"/>
      <c r="BK63" s="20"/>
      <c r="BL63" s="20"/>
      <c r="BM63" s="20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20"/>
      <c r="CH63" s="20"/>
      <c r="CI63" s="20"/>
      <c r="CJ63" s="20"/>
      <c r="CK63" s="20"/>
      <c r="CL63" s="20"/>
      <c r="CM63" s="20"/>
      <c r="CN63" s="20"/>
      <c r="CO63" s="20"/>
      <c r="CP63" s="20"/>
      <c r="CQ63" s="20"/>
      <c r="CR63" s="20"/>
      <c r="CS63" s="20"/>
    </row>
    <row r="64" s="8" customFormat="1" spans="1:97">
      <c r="A64" s="20"/>
      <c r="B64" s="15"/>
      <c r="C64" s="14"/>
      <c r="D64" s="18" t="s">
        <v>38</v>
      </c>
      <c r="E64" s="18" t="s">
        <v>68</v>
      </c>
      <c r="F64" s="18" t="s">
        <v>44</v>
      </c>
      <c r="G64" s="18" t="s">
        <v>45</v>
      </c>
      <c r="H64" s="18" t="s">
        <v>22</v>
      </c>
      <c r="I64" s="22" t="s">
        <v>61</v>
      </c>
      <c r="J64" s="22" t="s">
        <v>52</v>
      </c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0"/>
      <c r="AJ64" s="20"/>
      <c r="AK64" s="20"/>
      <c r="AL64" s="20"/>
      <c r="AM64" s="20"/>
      <c r="AN64" s="20"/>
      <c r="AO64" s="20"/>
      <c r="AP64" s="20"/>
      <c r="AQ64" s="20"/>
      <c r="AR64" s="20"/>
      <c r="AS64" s="20"/>
      <c r="AT64" s="20"/>
      <c r="AU64" s="20"/>
      <c r="AV64" s="20"/>
      <c r="AW64" s="20"/>
      <c r="AX64" s="20"/>
      <c r="AY64" s="20"/>
      <c r="AZ64" s="20"/>
      <c r="BA64" s="20"/>
      <c r="BB64" s="20"/>
      <c r="BC64" s="20"/>
      <c r="BD64" s="20"/>
      <c r="BE64" s="20"/>
      <c r="BF64" s="20"/>
      <c r="BG64" s="20"/>
      <c r="BH64" s="20"/>
      <c r="BI64" s="20"/>
      <c r="BJ64" s="20"/>
      <c r="BK64" s="20"/>
      <c r="BL64" s="20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20"/>
      <c r="CG64" s="20"/>
      <c r="CH64" s="20"/>
      <c r="CI64" s="20"/>
      <c r="CJ64" s="20"/>
      <c r="CK64" s="20"/>
      <c r="CL64" s="20"/>
      <c r="CM64" s="20"/>
      <c r="CN64" s="20"/>
      <c r="CO64" s="20"/>
      <c r="CP64" s="20"/>
      <c r="CQ64" s="20"/>
      <c r="CR64" s="20"/>
      <c r="CS64" s="20"/>
    </row>
    <row r="65" s="8" customFormat="1" spans="1:97">
      <c r="A65" s="20"/>
      <c r="B65" s="15"/>
      <c r="C65" s="14"/>
      <c r="D65" s="19" t="s">
        <v>184</v>
      </c>
      <c r="E65" s="19" t="s">
        <v>185</v>
      </c>
      <c r="F65" s="19" t="s">
        <v>186</v>
      </c>
      <c r="G65" s="19" t="s">
        <v>187</v>
      </c>
      <c r="H65" s="19" t="s">
        <v>188</v>
      </c>
      <c r="I65" s="23" t="s">
        <v>189</v>
      </c>
      <c r="J65" s="23" t="s">
        <v>190</v>
      </c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0"/>
      <c r="AJ65" s="20"/>
      <c r="AK65" s="20"/>
      <c r="AL65" s="20"/>
      <c r="AM65" s="20"/>
      <c r="AN65" s="20"/>
      <c r="AO65" s="20"/>
      <c r="AP65" s="20"/>
      <c r="AQ65" s="20"/>
      <c r="AR65" s="20"/>
      <c r="AS65" s="20"/>
      <c r="AT65" s="20"/>
      <c r="AU65" s="20"/>
      <c r="AV65" s="20"/>
      <c r="AW65" s="20"/>
      <c r="AX65" s="20"/>
      <c r="AY65" s="20"/>
      <c r="AZ65" s="20"/>
      <c r="BA65" s="20"/>
      <c r="BB65" s="20"/>
      <c r="BC65" s="20"/>
      <c r="BD65" s="20"/>
      <c r="BE65" s="20"/>
      <c r="BF65" s="20"/>
      <c r="BG65" s="20"/>
      <c r="BH65" s="20"/>
      <c r="BI65" s="20"/>
      <c r="BJ65" s="20"/>
      <c r="BK65" s="20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20"/>
      <c r="CF65" s="20"/>
      <c r="CG65" s="20"/>
      <c r="CH65" s="20"/>
      <c r="CI65" s="20"/>
      <c r="CJ65" s="20"/>
      <c r="CK65" s="20"/>
      <c r="CL65" s="20"/>
      <c r="CM65" s="20"/>
      <c r="CN65" s="20"/>
      <c r="CO65" s="20"/>
      <c r="CP65" s="20"/>
      <c r="CQ65" s="20"/>
      <c r="CR65" s="20"/>
      <c r="CS65" s="20"/>
    </row>
    <row r="66" s="8" customFormat="1" spans="1:97">
      <c r="A66" s="20"/>
      <c r="B66" s="15"/>
      <c r="C66" s="14"/>
      <c r="D66" s="18"/>
      <c r="E66" s="18"/>
      <c r="F66" s="18"/>
      <c r="G66" s="18"/>
      <c r="H66" s="18"/>
      <c r="I66" s="22"/>
      <c r="J66" s="22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0"/>
      <c r="AJ66" s="20"/>
      <c r="AK66" s="20"/>
      <c r="AL66" s="20"/>
      <c r="AM66" s="20"/>
      <c r="AN66" s="20"/>
      <c r="AO66" s="20"/>
      <c r="AP66" s="20"/>
      <c r="AQ66" s="20"/>
      <c r="AR66" s="20"/>
      <c r="AS66" s="20"/>
      <c r="AT66" s="20"/>
      <c r="AU66" s="20"/>
      <c r="AV66" s="20"/>
      <c r="AW66" s="20"/>
      <c r="AX66" s="20"/>
      <c r="AY66" s="20"/>
      <c r="AZ66" s="20"/>
      <c r="BA66" s="20"/>
      <c r="BB66" s="20"/>
      <c r="BC66" s="20"/>
      <c r="BD66" s="20"/>
      <c r="BE66" s="20"/>
      <c r="BF66" s="20"/>
      <c r="BG66" s="20"/>
      <c r="BH66" s="20"/>
      <c r="BI66" s="20"/>
      <c r="BJ66" s="20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20"/>
      <c r="CE66" s="20"/>
      <c r="CF66" s="20"/>
      <c r="CG66" s="20"/>
      <c r="CH66" s="20"/>
      <c r="CI66" s="20"/>
      <c r="CJ66" s="20"/>
      <c r="CK66" s="20"/>
      <c r="CL66" s="20"/>
      <c r="CM66" s="20"/>
      <c r="CN66" s="20"/>
      <c r="CO66" s="20"/>
      <c r="CP66" s="20"/>
      <c r="CQ66" s="20"/>
      <c r="CR66" s="20"/>
      <c r="CS66" s="20"/>
    </row>
    <row r="67" s="8" customFormat="1" spans="1:97">
      <c r="A67" s="20"/>
      <c r="B67" s="15"/>
      <c r="C67" s="14"/>
      <c r="D67" s="17"/>
      <c r="E67" s="17"/>
      <c r="F67" s="17"/>
      <c r="G67" s="17"/>
      <c r="H67" s="17"/>
      <c r="I67" s="21"/>
      <c r="J67" s="21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0"/>
      <c r="AJ67" s="20"/>
      <c r="AK67" s="20"/>
      <c r="AL67" s="20"/>
      <c r="AM67" s="20"/>
      <c r="AN67" s="20"/>
      <c r="AO67" s="20"/>
      <c r="AP67" s="20"/>
      <c r="AQ67" s="20"/>
      <c r="AR67" s="20"/>
      <c r="AS67" s="20"/>
      <c r="AT67" s="20"/>
      <c r="AU67" s="20"/>
      <c r="AV67" s="20"/>
      <c r="AW67" s="20"/>
      <c r="AX67" s="20"/>
      <c r="AY67" s="20"/>
      <c r="AZ67" s="20"/>
      <c r="BA67" s="20"/>
      <c r="BB67" s="20"/>
      <c r="BC67" s="20"/>
      <c r="BD67" s="20"/>
      <c r="BE67" s="20"/>
      <c r="BF67" s="20"/>
      <c r="BG67" s="20"/>
      <c r="BH67" s="20"/>
      <c r="BI67" s="20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20"/>
      <c r="CD67" s="20"/>
      <c r="CE67" s="20"/>
      <c r="CF67" s="20"/>
      <c r="CG67" s="20"/>
      <c r="CH67" s="20"/>
      <c r="CI67" s="20"/>
      <c r="CJ67" s="20"/>
      <c r="CK67" s="20"/>
      <c r="CL67" s="20"/>
      <c r="CM67" s="20"/>
      <c r="CN67" s="20"/>
      <c r="CO67" s="20"/>
      <c r="CP67" s="20"/>
      <c r="CQ67" s="20"/>
      <c r="CR67" s="20"/>
      <c r="CS67" s="20"/>
    </row>
    <row r="68" s="8" customFormat="1" spans="1:97">
      <c r="A68" s="20"/>
      <c r="B68" s="15"/>
      <c r="C68" s="14"/>
      <c r="D68" s="18" t="s">
        <v>60</v>
      </c>
      <c r="E68" s="18" t="s">
        <v>59</v>
      </c>
      <c r="F68" s="18" t="s">
        <v>49</v>
      </c>
      <c r="G68" s="18" t="s">
        <v>24</v>
      </c>
      <c r="H68" s="18" t="s">
        <v>46</v>
      </c>
      <c r="I68" s="22" t="s">
        <v>53</v>
      </c>
      <c r="J68" s="22" t="s">
        <v>53</v>
      </c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0"/>
      <c r="AJ68" s="20"/>
      <c r="AK68" s="20"/>
      <c r="AL68" s="20"/>
      <c r="AM68" s="20"/>
      <c r="AN68" s="20"/>
      <c r="AO68" s="20"/>
      <c r="AP68" s="20"/>
      <c r="AQ68" s="20"/>
      <c r="AR68" s="20"/>
      <c r="AS68" s="20"/>
      <c r="AT68" s="20"/>
      <c r="AU68" s="20"/>
      <c r="AV68" s="20"/>
      <c r="AW68" s="20"/>
      <c r="AX68" s="20"/>
      <c r="AY68" s="20"/>
      <c r="AZ68" s="20"/>
      <c r="BA68" s="20"/>
      <c r="BB68" s="20"/>
      <c r="BC68" s="20"/>
      <c r="BD68" s="20"/>
      <c r="BE68" s="20"/>
      <c r="BF68" s="20"/>
      <c r="BG68" s="20"/>
      <c r="BH68" s="20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20"/>
      <c r="CC68" s="20"/>
      <c r="CD68" s="20"/>
      <c r="CE68" s="20"/>
      <c r="CF68" s="20"/>
      <c r="CG68" s="20"/>
      <c r="CH68" s="20"/>
      <c r="CI68" s="20"/>
      <c r="CJ68" s="20"/>
      <c r="CK68" s="20"/>
      <c r="CL68" s="20"/>
      <c r="CM68" s="20"/>
      <c r="CN68" s="20"/>
      <c r="CO68" s="20"/>
      <c r="CP68" s="20"/>
      <c r="CQ68" s="20"/>
      <c r="CR68" s="20"/>
      <c r="CS68" s="20"/>
    </row>
    <row r="69" s="8" customFormat="1" spans="1:97">
      <c r="A69" s="20"/>
      <c r="B69" s="15"/>
      <c r="C69" s="14"/>
      <c r="D69" s="19" t="s">
        <v>191</v>
      </c>
      <c r="E69" s="19" t="s">
        <v>192</v>
      </c>
      <c r="F69" s="19" t="s">
        <v>193</v>
      </c>
      <c r="G69" s="19" t="s">
        <v>194</v>
      </c>
      <c r="H69" s="19" t="s">
        <v>195</v>
      </c>
      <c r="I69" s="23" t="s">
        <v>196</v>
      </c>
      <c r="J69" s="23" t="s">
        <v>197</v>
      </c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0"/>
      <c r="AJ69" s="20"/>
      <c r="AK69" s="20"/>
      <c r="AL69" s="20"/>
      <c r="AM69" s="20"/>
      <c r="AN69" s="20"/>
      <c r="AO69" s="20"/>
      <c r="AP69" s="20"/>
      <c r="AQ69" s="20"/>
      <c r="AR69" s="20"/>
      <c r="AS69" s="20"/>
      <c r="AT69" s="20"/>
      <c r="AU69" s="20"/>
      <c r="AV69" s="20"/>
      <c r="AW69" s="20"/>
      <c r="AX69" s="20"/>
      <c r="AY69" s="20"/>
      <c r="AZ69" s="20"/>
      <c r="BA69" s="20"/>
      <c r="BB69" s="20"/>
      <c r="BC69" s="20"/>
      <c r="BD69" s="20"/>
      <c r="BE69" s="20"/>
      <c r="BF69" s="20"/>
      <c r="BG69" s="20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20"/>
      <c r="CB69" s="20"/>
      <c r="CC69" s="20"/>
      <c r="CD69" s="20"/>
      <c r="CE69" s="20"/>
      <c r="CF69" s="20"/>
      <c r="CG69" s="20"/>
      <c r="CH69" s="20"/>
      <c r="CI69" s="20"/>
      <c r="CJ69" s="20"/>
      <c r="CK69" s="20"/>
      <c r="CL69" s="20"/>
      <c r="CM69" s="20"/>
      <c r="CN69" s="20"/>
      <c r="CO69" s="20"/>
      <c r="CP69" s="20"/>
      <c r="CQ69" s="20"/>
      <c r="CR69" s="20"/>
      <c r="CS69" s="20"/>
    </row>
    <row r="70" s="8" customFormat="1" spans="1:97">
      <c r="A70" s="20"/>
      <c r="B70" s="15"/>
      <c r="C70" s="14"/>
      <c r="D70" s="17"/>
      <c r="E70" s="17"/>
      <c r="F70" s="17"/>
      <c r="G70" s="17"/>
      <c r="H70" s="17"/>
      <c r="I70" s="21"/>
      <c r="J70" s="21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0"/>
      <c r="AJ70" s="20"/>
      <c r="AK70" s="20"/>
      <c r="AL70" s="20"/>
      <c r="AM70" s="20"/>
      <c r="AN70" s="20"/>
      <c r="AO70" s="20"/>
      <c r="AP70" s="20"/>
      <c r="AQ70" s="20"/>
      <c r="AR70" s="20"/>
      <c r="AS70" s="20"/>
      <c r="AT70" s="20"/>
      <c r="AU70" s="20"/>
      <c r="AV70" s="20"/>
      <c r="AW70" s="20"/>
      <c r="AX70" s="20"/>
      <c r="AY70" s="20"/>
      <c r="AZ70" s="20"/>
      <c r="BA70" s="20"/>
      <c r="BB70" s="20"/>
      <c r="BC70" s="20"/>
      <c r="BD70" s="20"/>
      <c r="BE70" s="20"/>
      <c r="BF70" s="20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20"/>
      <c r="CA70" s="20"/>
      <c r="CB70" s="20"/>
      <c r="CC70" s="20"/>
      <c r="CD70" s="20"/>
      <c r="CE70" s="20"/>
      <c r="CF70" s="20"/>
      <c r="CG70" s="20"/>
      <c r="CH70" s="20"/>
      <c r="CI70" s="20"/>
      <c r="CJ70" s="20"/>
      <c r="CK70" s="20"/>
      <c r="CL70" s="20"/>
      <c r="CM70" s="20"/>
      <c r="CN70" s="20"/>
      <c r="CO70" s="20"/>
      <c r="CP70" s="20"/>
      <c r="CQ70" s="20"/>
      <c r="CR70" s="20"/>
      <c r="CS70" s="20"/>
    </row>
    <row r="71" s="8" customFormat="1" spans="1:97">
      <c r="A71" s="20"/>
      <c r="B71" s="15"/>
      <c r="C71" s="14"/>
      <c r="D71" s="18" t="s">
        <v>61</v>
      </c>
      <c r="E71" s="18" t="s">
        <v>57</v>
      </c>
      <c r="F71" s="18" t="s">
        <v>38</v>
      </c>
      <c r="G71" s="18" t="s">
        <v>58</v>
      </c>
      <c r="H71" s="18" t="s">
        <v>41</v>
      </c>
      <c r="I71" s="22" t="s">
        <v>42</v>
      </c>
      <c r="J71" s="22" t="s">
        <v>35</v>
      </c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0"/>
      <c r="AJ71" s="20"/>
      <c r="AK71" s="20"/>
      <c r="AL71" s="20"/>
      <c r="AM71" s="20"/>
      <c r="AN71" s="20"/>
      <c r="AO71" s="20"/>
      <c r="AP71" s="20"/>
      <c r="AQ71" s="20"/>
      <c r="AR71" s="20"/>
      <c r="AS71" s="20"/>
      <c r="AT71" s="20"/>
      <c r="AU71" s="20"/>
      <c r="AV71" s="20"/>
      <c r="AW71" s="20"/>
      <c r="AX71" s="20"/>
      <c r="AY71" s="20"/>
      <c r="AZ71" s="20"/>
      <c r="BA71" s="20"/>
      <c r="BB71" s="20"/>
      <c r="BC71" s="20"/>
      <c r="BD71" s="20"/>
      <c r="BE71" s="20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20"/>
      <c r="BZ71" s="20"/>
      <c r="CA71" s="20"/>
      <c r="CB71" s="20"/>
      <c r="CC71" s="20"/>
      <c r="CD71" s="20"/>
      <c r="CE71" s="20"/>
      <c r="CF71" s="20"/>
      <c r="CG71" s="20"/>
      <c r="CH71" s="20"/>
      <c r="CI71" s="20"/>
      <c r="CJ71" s="20"/>
      <c r="CK71" s="20"/>
      <c r="CL71" s="20"/>
      <c r="CM71" s="20"/>
      <c r="CN71" s="20"/>
      <c r="CO71" s="20"/>
      <c r="CP71" s="20"/>
      <c r="CQ71" s="20"/>
      <c r="CR71" s="20"/>
      <c r="CS71" s="20"/>
    </row>
    <row r="72" s="8" customFormat="1" spans="1:97">
      <c r="A72" s="20"/>
      <c r="B72" s="15"/>
      <c r="C72" s="14"/>
      <c r="D72" s="19" t="s">
        <v>191</v>
      </c>
      <c r="E72" s="19" t="s">
        <v>198</v>
      </c>
      <c r="F72" s="19" t="s">
        <v>199</v>
      </c>
      <c r="G72" s="19" t="s">
        <v>200</v>
      </c>
      <c r="H72" s="19" t="s">
        <v>195</v>
      </c>
      <c r="I72" s="23" t="s">
        <v>196</v>
      </c>
      <c r="J72" s="23" t="s">
        <v>201</v>
      </c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0"/>
      <c r="AJ72" s="20"/>
      <c r="AK72" s="20"/>
      <c r="AL72" s="20"/>
      <c r="AM72" s="20"/>
      <c r="AN72" s="20"/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  <c r="CN72" s="20"/>
      <c r="CO72" s="20"/>
      <c r="CP72" s="20"/>
      <c r="CQ72" s="20"/>
      <c r="CR72" s="20"/>
      <c r="CS72" s="20"/>
    </row>
    <row r="73" s="8" customFormat="1" spans="1:97">
      <c r="A73" s="20"/>
      <c r="B73" s="15"/>
      <c r="C73" s="14"/>
      <c r="D73" s="18"/>
      <c r="E73" s="18"/>
      <c r="F73" s="18"/>
      <c r="G73" s="18"/>
      <c r="H73" s="18"/>
      <c r="I73" s="22"/>
      <c r="J73" s="22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0"/>
      <c r="AJ73" s="20"/>
      <c r="AK73" s="20"/>
      <c r="AL73" s="20"/>
      <c r="AM73" s="20"/>
      <c r="AN73" s="20"/>
      <c r="AO73" s="20"/>
      <c r="AP73" s="20"/>
      <c r="AQ73" s="20"/>
      <c r="AR73" s="20"/>
      <c r="AS73" s="20"/>
      <c r="AT73" s="20"/>
      <c r="AU73" s="20"/>
      <c r="AV73" s="20"/>
      <c r="AW73" s="20"/>
      <c r="AX73" s="20"/>
      <c r="AY73" s="20"/>
      <c r="AZ73" s="20"/>
      <c r="BA73" s="20"/>
      <c r="BB73" s="20"/>
      <c r="BC73" s="20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20"/>
      <c r="BX73" s="20"/>
      <c r="BY73" s="20"/>
      <c r="BZ73" s="20"/>
      <c r="CA73" s="20"/>
      <c r="CB73" s="20"/>
      <c r="CC73" s="20"/>
      <c r="CD73" s="20"/>
      <c r="CE73" s="20"/>
      <c r="CF73" s="20"/>
      <c r="CG73" s="20"/>
      <c r="CH73" s="20"/>
      <c r="CI73" s="20"/>
      <c r="CJ73" s="20"/>
      <c r="CK73" s="20"/>
      <c r="CL73" s="20"/>
      <c r="CM73" s="20"/>
      <c r="CN73" s="20"/>
      <c r="CO73" s="20"/>
      <c r="CP73" s="20"/>
      <c r="CQ73" s="20"/>
      <c r="CR73" s="20"/>
      <c r="CS73" s="20"/>
    </row>
    <row r="74" s="8" customFormat="1" spans="1:97">
      <c r="A74" s="20"/>
      <c r="B74" s="15"/>
      <c r="C74" s="14"/>
      <c r="D74" s="17"/>
      <c r="E74" s="17"/>
      <c r="F74" s="17"/>
      <c r="G74" s="17"/>
      <c r="H74" s="17"/>
      <c r="I74" s="21"/>
      <c r="J74" s="21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0"/>
      <c r="AJ74" s="20"/>
      <c r="AK74" s="20"/>
      <c r="AL74" s="20"/>
      <c r="AM74" s="20"/>
      <c r="AN74" s="20"/>
      <c r="AO74" s="20"/>
      <c r="AP74" s="20"/>
      <c r="AQ74" s="20"/>
      <c r="AR74" s="20"/>
      <c r="AS74" s="20"/>
      <c r="AT74" s="20"/>
      <c r="AU74" s="20"/>
      <c r="AV74" s="20"/>
      <c r="AW74" s="20"/>
      <c r="AX74" s="20"/>
      <c r="AY74" s="20"/>
      <c r="AZ74" s="20"/>
      <c r="BA74" s="20"/>
      <c r="BB74" s="20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20"/>
      <c r="BW74" s="20"/>
      <c r="BX74" s="20"/>
      <c r="BY74" s="20"/>
      <c r="BZ74" s="20"/>
      <c r="CA74" s="20"/>
      <c r="CB74" s="20"/>
      <c r="CC74" s="20"/>
      <c r="CD74" s="20"/>
      <c r="CE74" s="20"/>
      <c r="CF74" s="20"/>
      <c r="CG74" s="20"/>
      <c r="CH74" s="20"/>
      <c r="CI74" s="20"/>
      <c r="CJ74" s="20"/>
      <c r="CK74" s="20"/>
      <c r="CL74" s="20"/>
      <c r="CM74" s="20"/>
      <c r="CN74" s="20"/>
      <c r="CO74" s="20"/>
      <c r="CP74" s="20"/>
      <c r="CQ74" s="20"/>
      <c r="CR74" s="20"/>
      <c r="CS74" s="20"/>
    </row>
    <row r="75" s="8" customFormat="1" spans="1:97">
      <c r="A75" s="20"/>
      <c r="B75" s="15"/>
      <c r="C75" s="14"/>
      <c r="D75" s="18" t="s">
        <v>65</v>
      </c>
      <c r="E75" s="18" t="s">
        <v>33</v>
      </c>
      <c r="F75" s="18" t="s">
        <v>65</v>
      </c>
      <c r="G75" s="18" t="s">
        <v>61</v>
      </c>
      <c r="H75" s="18" t="s">
        <v>24</v>
      </c>
      <c r="I75" s="22" t="s">
        <v>63</v>
      </c>
      <c r="J75" s="22" t="s">
        <v>41</v>
      </c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0"/>
      <c r="AJ75" s="20"/>
      <c r="AK75" s="20"/>
      <c r="AL75" s="20"/>
      <c r="AM75" s="20"/>
      <c r="AN75" s="20"/>
      <c r="AO75" s="20"/>
      <c r="AP75" s="20"/>
      <c r="AQ75" s="20"/>
      <c r="AR75" s="20"/>
      <c r="AS75" s="20"/>
      <c r="AT75" s="20"/>
      <c r="AU75" s="20"/>
      <c r="AV75" s="20"/>
      <c r="AW75" s="20"/>
      <c r="AX75" s="20"/>
      <c r="AY75" s="20"/>
      <c r="AZ75" s="20"/>
      <c r="BA75" s="20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20"/>
      <c r="BV75" s="20"/>
      <c r="BW75" s="20"/>
      <c r="BX75" s="20"/>
      <c r="BY75" s="20"/>
      <c r="BZ75" s="20"/>
      <c r="CA75" s="20"/>
      <c r="CB75" s="20"/>
      <c r="CC75" s="20"/>
      <c r="CD75" s="20"/>
      <c r="CE75" s="20"/>
      <c r="CF75" s="20"/>
      <c r="CG75" s="20"/>
      <c r="CH75" s="20"/>
      <c r="CI75" s="20"/>
      <c r="CJ75" s="20"/>
      <c r="CK75" s="20"/>
      <c r="CL75" s="20"/>
      <c r="CM75" s="20"/>
      <c r="CN75" s="20"/>
      <c r="CO75" s="20"/>
      <c r="CP75" s="20"/>
      <c r="CQ75" s="20"/>
      <c r="CR75" s="20"/>
      <c r="CS75" s="20"/>
    </row>
    <row r="76" s="8" customFormat="1" spans="1:97">
      <c r="A76" s="20"/>
      <c r="B76" s="15"/>
      <c r="C76" s="14"/>
      <c r="D76" s="19" t="s">
        <v>202</v>
      </c>
      <c r="E76" s="19" t="s">
        <v>203</v>
      </c>
      <c r="F76" s="19" t="s">
        <v>204</v>
      </c>
      <c r="G76" s="19" t="s">
        <v>205</v>
      </c>
      <c r="H76" s="19" t="s">
        <v>206</v>
      </c>
      <c r="I76" s="23" t="s">
        <v>207</v>
      </c>
      <c r="J76" s="23" t="s">
        <v>208</v>
      </c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0"/>
      <c r="AJ76" s="20"/>
      <c r="AK76" s="20"/>
      <c r="AL76" s="20"/>
      <c r="AM76" s="20"/>
      <c r="AN76" s="20"/>
      <c r="AO76" s="20"/>
      <c r="AP76" s="20"/>
      <c r="AQ76" s="20"/>
      <c r="AR76" s="20"/>
      <c r="AS76" s="20"/>
      <c r="AT76" s="20"/>
      <c r="AU76" s="20"/>
      <c r="AV76" s="20"/>
      <c r="AW76" s="20"/>
      <c r="AX76" s="20"/>
      <c r="AY76" s="20"/>
      <c r="AZ76" s="20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20"/>
      <c r="BU76" s="20"/>
      <c r="BV76" s="20"/>
      <c r="BW76" s="20"/>
      <c r="BX76" s="20"/>
      <c r="BY76" s="20"/>
      <c r="BZ76" s="20"/>
      <c r="CA76" s="20"/>
      <c r="CB76" s="20"/>
      <c r="CC76" s="20"/>
      <c r="CD76" s="20"/>
      <c r="CE76" s="20"/>
      <c r="CF76" s="20"/>
      <c r="CG76" s="20"/>
      <c r="CH76" s="20"/>
      <c r="CI76" s="20"/>
      <c r="CJ76" s="20"/>
      <c r="CK76" s="20"/>
      <c r="CL76" s="20"/>
      <c r="CM76" s="20"/>
      <c r="CN76" s="20"/>
      <c r="CO76" s="20"/>
      <c r="CP76" s="20"/>
      <c r="CQ76" s="20"/>
      <c r="CR76" s="20"/>
      <c r="CS76" s="20"/>
    </row>
    <row r="77" s="8" customFormat="1" spans="1:97">
      <c r="A77" s="20"/>
      <c r="B77" s="15"/>
      <c r="C77" s="14"/>
      <c r="D77" s="18"/>
      <c r="E77" s="18"/>
      <c r="F77" s="18"/>
      <c r="G77" s="18"/>
      <c r="H77" s="18"/>
      <c r="I77" s="22"/>
      <c r="J77" s="22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0"/>
      <c r="AJ77" s="20"/>
      <c r="AK77" s="20"/>
      <c r="AL77" s="20"/>
      <c r="AM77" s="20"/>
      <c r="AN77" s="20"/>
      <c r="AO77" s="20"/>
      <c r="AP77" s="20"/>
      <c r="AQ77" s="20"/>
      <c r="AR77" s="20"/>
      <c r="AS77" s="20"/>
      <c r="AT77" s="20"/>
      <c r="AU77" s="20"/>
      <c r="AV77" s="20"/>
      <c r="AW77" s="20"/>
      <c r="AX77" s="20"/>
      <c r="AY77" s="20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20"/>
      <c r="BT77" s="20"/>
      <c r="BU77" s="20"/>
      <c r="BV77" s="20"/>
      <c r="BW77" s="20"/>
      <c r="BX77" s="20"/>
      <c r="BY77" s="20"/>
      <c r="BZ77" s="20"/>
      <c r="CA77" s="20"/>
      <c r="CB77" s="20"/>
      <c r="CC77" s="20"/>
      <c r="CD77" s="20"/>
      <c r="CE77" s="20"/>
      <c r="CF77" s="20"/>
      <c r="CG77" s="20"/>
      <c r="CH77" s="20"/>
      <c r="CI77" s="20"/>
      <c r="CJ77" s="20"/>
      <c r="CK77" s="20"/>
      <c r="CL77" s="20"/>
      <c r="CM77" s="20"/>
      <c r="CN77" s="20"/>
      <c r="CO77" s="20"/>
      <c r="CP77" s="20"/>
      <c r="CQ77" s="20"/>
      <c r="CR77" s="20"/>
      <c r="CS77" s="20"/>
    </row>
    <row r="78" s="8" customFormat="1" spans="1:97">
      <c r="A78" s="20"/>
      <c r="B78" s="15"/>
      <c r="C78" s="14"/>
      <c r="D78" s="17"/>
      <c r="E78" s="17"/>
      <c r="F78" s="17"/>
      <c r="G78" s="17"/>
      <c r="H78" s="17"/>
      <c r="I78" s="21"/>
      <c r="J78" s="21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0"/>
      <c r="AJ78" s="20"/>
      <c r="AK78" s="20"/>
      <c r="AL78" s="20"/>
      <c r="AM78" s="20"/>
      <c r="AN78" s="20"/>
      <c r="AO78" s="20"/>
      <c r="AP78" s="20"/>
      <c r="AQ78" s="20"/>
      <c r="AR78" s="20"/>
      <c r="AS78" s="20"/>
      <c r="AT78" s="20"/>
      <c r="AU78" s="20"/>
      <c r="AV78" s="20"/>
      <c r="AW78" s="20"/>
      <c r="AX78" s="20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20"/>
      <c r="BS78" s="20"/>
      <c r="BT78" s="20"/>
      <c r="BU78" s="20"/>
      <c r="BV78" s="20"/>
      <c r="BW78" s="20"/>
      <c r="BX78" s="20"/>
      <c r="BY78" s="20"/>
      <c r="BZ78" s="20"/>
      <c r="CA78" s="20"/>
      <c r="CB78" s="20"/>
      <c r="CC78" s="20"/>
      <c r="CD78" s="20"/>
      <c r="CE78" s="20"/>
      <c r="CF78" s="20"/>
      <c r="CG78" s="20"/>
      <c r="CH78" s="20"/>
      <c r="CI78" s="20"/>
      <c r="CJ78" s="20"/>
      <c r="CK78" s="20"/>
      <c r="CL78" s="20"/>
      <c r="CM78" s="20"/>
      <c r="CN78" s="20"/>
      <c r="CO78" s="20"/>
      <c r="CP78" s="20"/>
      <c r="CQ78" s="20"/>
      <c r="CR78" s="20"/>
      <c r="CS78" s="20"/>
    </row>
    <row r="79" s="8" customFormat="1" spans="1:97">
      <c r="A79" s="20"/>
      <c r="B79" s="15"/>
      <c r="C79" s="14"/>
      <c r="D79" s="18" t="s">
        <v>33</v>
      </c>
      <c r="E79" s="18" t="s">
        <v>40</v>
      </c>
      <c r="F79" s="18" t="s">
        <v>24</v>
      </c>
      <c r="G79" s="18" t="s">
        <v>67</v>
      </c>
      <c r="H79" s="18" t="s">
        <v>40</v>
      </c>
      <c r="I79" s="22" t="s">
        <v>57</v>
      </c>
      <c r="J79" s="22" t="s">
        <v>65</v>
      </c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0"/>
      <c r="AJ79" s="20"/>
      <c r="AK79" s="20"/>
      <c r="AL79" s="20"/>
      <c r="AM79" s="20"/>
      <c r="AN79" s="20"/>
      <c r="AO79" s="20"/>
      <c r="AP79" s="20"/>
      <c r="AQ79" s="20"/>
      <c r="AR79" s="20"/>
      <c r="AS79" s="20"/>
      <c r="AT79" s="20"/>
      <c r="AU79" s="20"/>
      <c r="AV79" s="20"/>
      <c r="AW79" s="20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20"/>
      <c r="BR79" s="20"/>
      <c r="BS79" s="20"/>
      <c r="BT79" s="20"/>
      <c r="BU79" s="20"/>
      <c r="BV79" s="20"/>
      <c r="BW79" s="20"/>
      <c r="BX79" s="20"/>
      <c r="BY79" s="20"/>
      <c r="BZ79" s="20"/>
      <c r="CA79" s="20"/>
      <c r="CB79" s="20"/>
      <c r="CC79" s="20"/>
      <c r="CD79" s="20"/>
      <c r="CE79" s="20"/>
      <c r="CF79" s="20"/>
      <c r="CG79" s="20"/>
      <c r="CH79" s="20"/>
      <c r="CI79" s="20"/>
      <c r="CJ79" s="20"/>
      <c r="CK79" s="20"/>
      <c r="CL79" s="20"/>
      <c r="CM79" s="20"/>
      <c r="CN79" s="20"/>
      <c r="CO79" s="20"/>
      <c r="CP79" s="20"/>
      <c r="CQ79" s="20"/>
      <c r="CR79" s="20"/>
      <c r="CS79" s="20"/>
    </row>
    <row r="80" s="8" customFormat="1" spans="1:97">
      <c r="A80" s="20"/>
      <c r="B80" s="15"/>
      <c r="C80" s="14"/>
      <c r="D80" s="19" t="s">
        <v>209</v>
      </c>
      <c r="E80" s="19" t="s">
        <v>210</v>
      </c>
      <c r="F80" s="19" t="s">
        <v>211</v>
      </c>
      <c r="G80" s="19" t="s">
        <v>205</v>
      </c>
      <c r="H80" s="19" t="s">
        <v>212</v>
      </c>
      <c r="I80" s="23" t="s">
        <v>213</v>
      </c>
      <c r="J80" s="23" t="s">
        <v>214</v>
      </c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0"/>
      <c r="AJ80" s="20"/>
      <c r="AK80" s="20"/>
      <c r="AL80" s="20"/>
      <c r="AM80" s="20"/>
      <c r="AN80" s="20"/>
      <c r="AO80" s="20"/>
      <c r="AP80" s="20"/>
      <c r="AQ80" s="20"/>
      <c r="AR80" s="20"/>
      <c r="AS80" s="20"/>
      <c r="AT80" s="20"/>
      <c r="AU80" s="20"/>
      <c r="AV80" s="20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20"/>
      <c r="BQ80" s="20"/>
      <c r="BR80" s="20"/>
      <c r="BS80" s="20"/>
      <c r="BT80" s="20"/>
      <c r="BU80" s="20"/>
      <c r="BV80" s="20"/>
      <c r="BW80" s="20"/>
      <c r="BX80" s="20"/>
      <c r="BY80" s="20"/>
      <c r="BZ80" s="20"/>
      <c r="CA80" s="20"/>
      <c r="CB80" s="20"/>
      <c r="CC80" s="20"/>
      <c r="CD80" s="20"/>
      <c r="CE80" s="20"/>
      <c r="CF80" s="20"/>
      <c r="CG80" s="20"/>
      <c r="CH80" s="20"/>
      <c r="CI80" s="20"/>
      <c r="CJ80" s="20"/>
      <c r="CK80" s="20"/>
      <c r="CL80" s="20"/>
      <c r="CM80" s="20"/>
      <c r="CN80" s="20"/>
      <c r="CO80" s="20"/>
      <c r="CP80" s="20"/>
      <c r="CQ80" s="20"/>
      <c r="CR80" s="20"/>
      <c r="CS80" s="20"/>
    </row>
    <row r="81" s="8" customFormat="1" spans="1:97">
      <c r="A81" s="20"/>
      <c r="B81" s="15"/>
      <c r="C81" s="14"/>
      <c r="D81" s="17"/>
      <c r="E81" s="17"/>
      <c r="F81" s="17"/>
      <c r="G81" s="17"/>
      <c r="H81" s="17"/>
      <c r="I81" s="21"/>
      <c r="J81" s="21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0"/>
      <c r="AJ81" s="20"/>
      <c r="AK81" s="20"/>
      <c r="AL81" s="20"/>
      <c r="AM81" s="20"/>
      <c r="AN81" s="20"/>
      <c r="AO81" s="20"/>
      <c r="AP81" s="20"/>
      <c r="AQ81" s="20"/>
      <c r="AR81" s="20"/>
      <c r="AS81" s="20"/>
      <c r="AT81" s="20"/>
      <c r="AU81" s="20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20"/>
      <c r="BP81" s="20"/>
      <c r="BQ81" s="20"/>
      <c r="BR81" s="20"/>
      <c r="BS81" s="20"/>
      <c r="BT81" s="20"/>
      <c r="BU81" s="20"/>
      <c r="BV81" s="20"/>
      <c r="BW81" s="20"/>
      <c r="BX81" s="20"/>
      <c r="BY81" s="20"/>
      <c r="BZ81" s="20"/>
      <c r="CA81" s="20"/>
      <c r="CB81" s="20"/>
      <c r="CC81" s="20"/>
      <c r="CD81" s="20"/>
      <c r="CE81" s="20"/>
      <c r="CF81" s="20"/>
      <c r="CG81" s="20"/>
      <c r="CH81" s="20"/>
      <c r="CI81" s="20"/>
      <c r="CJ81" s="20"/>
      <c r="CK81" s="20"/>
      <c r="CL81" s="20"/>
      <c r="CM81" s="20"/>
      <c r="CN81" s="20"/>
      <c r="CO81" s="20"/>
      <c r="CP81" s="20"/>
      <c r="CQ81" s="20"/>
      <c r="CR81" s="20"/>
      <c r="CS81" s="20"/>
    </row>
    <row r="82" s="8" customFormat="1" spans="1:97">
      <c r="A82" s="20"/>
      <c r="B82" s="15"/>
      <c r="C82" s="14"/>
      <c r="D82" s="18" t="s">
        <v>64</v>
      </c>
      <c r="E82" s="18" t="s">
        <v>46</v>
      </c>
      <c r="F82" s="18" t="s">
        <v>45</v>
      </c>
      <c r="G82" s="18" t="s">
        <v>40</v>
      </c>
      <c r="H82" s="18" t="s">
        <v>49</v>
      </c>
      <c r="I82" s="22" t="s">
        <v>60</v>
      </c>
      <c r="J82" s="22" t="s">
        <v>46</v>
      </c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0"/>
      <c r="AJ82" s="20"/>
      <c r="AK82" s="20"/>
      <c r="AL82" s="20"/>
      <c r="AM82" s="20"/>
      <c r="AN82" s="20"/>
      <c r="AO82" s="20"/>
      <c r="AP82" s="20"/>
      <c r="AQ82" s="20"/>
      <c r="AR82" s="20"/>
      <c r="AS82" s="20"/>
      <c r="AT82" s="20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20"/>
      <c r="BO82" s="20"/>
      <c r="BP82" s="20"/>
      <c r="BQ82" s="20"/>
      <c r="BR82" s="20"/>
      <c r="BS82" s="20"/>
      <c r="BT82" s="20"/>
      <c r="BU82" s="20"/>
      <c r="BV82" s="20"/>
      <c r="BW82" s="20"/>
      <c r="BX82" s="20"/>
      <c r="BY82" s="20"/>
      <c r="BZ82" s="20"/>
      <c r="CA82" s="20"/>
      <c r="CB82" s="20"/>
      <c r="CC82" s="20"/>
      <c r="CD82" s="20"/>
      <c r="CE82" s="20"/>
      <c r="CF82" s="20"/>
      <c r="CG82" s="20"/>
      <c r="CH82" s="20"/>
      <c r="CI82" s="20"/>
      <c r="CJ82" s="20"/>
      <c r="CK82" s="20"/>
      <c r="CL82" s="20"/>
      <c r="CM82" s="20"/>
      <c r="CN82" s="20"/>
      <c r="CO82" s="20"/>
      <c r="CP82" s="20"/>
      <c r="CQ82" s="20"/>
      <c r="CR82" s="20"/>
      <c r="CS82" s="20"/>
    </row>
    <row r="83" s="8" customFormat="1" spans="1:97">
      <c r="A83" s="20"/>
      <c r="B83" s="15"/>
      <c r="C83" s="14"/>
      <c r="D83" s="19" t="s">
        <v>215</v>
      </c>
      <c r="E83" s="19" t="s">
        <v>216</v>
      </c>
      <c r="F83" s="19" t="s">
        <v>217</v>
      </c>
      <c r="G83" s="19" t="s">
        <v>218</v>
      </c>
      <c r="H83" s="19" t="s">
        <v>219</v>
      </c>
      <c r="I83" s="23" t="s">
        <v>220</v>
      </c>
      <c r="J83" s="23" t="s">
        <v>221</v>
      </c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0"/>
      <c r="AJ83" s="20"/>
      <c r="AK83" s="20"/>
      <c r="AL83" s="20"/>
      <c r="AM83" s="20"/>
      <c r="AN83" s="20"/>
      <c r="AO83" s="20"/>
      <c r="AP83" s="20"/>
      <c r="AQ83" s="20"/>
      <c r="AR83" s="20"/>
      <c r="AS83" s="20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20"/>
      <c r="BN83" s="20"/>
      <c r="BO83" s="20"/>
      <c r="BP83" s="20"/>
      <c r="BQ83" s="20"/>
      <c r="BR83" s="20"/>
      <c r="BS83" s="20"/>
      <c r="BT83" s="20"/>
      <c r="BU83" s="20"/>
      <c r="BV83" s="20"/>
      <c r="BW83" s="20"/>
      <c r="BX83" s="20"/>
      <c r="BY83" s="20"/>
      <c r="BZ83" s="20"/>
      <c r="CA83" s="20"/>
      <c r="CB83" s="20"/>
      <c r="CC83" s="20"/>
      <c r="CD83" s="20"/>
      <c r="CE83" s="20"/>
      <c r="CF83" s="20"/>
      <c r="CG83" s="20"/>
      <c r="CH83" s="20"/>
      <c r="CI83" s="20"/>
      <c r="CJ83" s="20"/>
      <c r="CK83" s="20"/>
      <c r="CL83" s="20"/>
      <c r="CM83" s="20"/>
      <c r="CN83" s="20"/>
      <c r="CO83" s="20"/>
      <c r="CP83" s="20"/>
      <c r="CQ83" s="20"/>
      <c r="CR83" s="20"/>
      <c r="CS83" s="20"/>
    </row>
    <row r="84" s="8" customFormat="1" spans="1:97">
      <c r="A84" s="20"/>
      <c r="B84" s="15"/>
      <c r="C84" s="14"/>
      <c r="D84" s="18"/>
      <c r="E84" s="18"/>
      <c r="F84" s="18"/>
      <c r="G84" s="18"/>
      <c r="H84" s="18"/>
      <c r="I84" s="22"/>
      <c r="J84" s="22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0"/>
      <c r="AJ84" s="20"/>
      <c r="AK84" s="20"/>
      <c r="AL84" s="20"/>
      <c r="AM84" s="20"/>
      <c r="AN84" s="20"/>
      <c r="AO84" s="20"/>
      <c r="AP84" s="20"/>
      <c r="AQ84" s="20"/>
      <c r="AR84" s="20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20"/>
      <c r="BM84" s="20"/>
      <c r="BN84" s="20"/>
      <c r="BO84" s="20"/>
      <c r="BP84" s="20"/>
      <c r="BQ84" s="20"/>
      <c r="BR84" s="20"/>
      <c r="BS84" s="20"/>
      <c r="BT84" s="20"/>
      <c r="BU84" s="20"/>
      <c r="BV84" s="20"/>
      <c r="BW84" s="20"/>
      <c r="BX84" s="20"/>
      <c r="BY84" s="20"/>
      <c r="BZ84" s="20"/>
      <c r="CA84" s="20"/>
      <c r="CB84" s="20"/>
      <c r="CC84" s="20"/>
      <c r="CD84" s="20"/>
      <c r="CE84" s="20"/>
      <c r="CF84" s="20"/>
      <c r="CG84" s="20"/>
      <c r="CH84" s="20"/>
      <c r="CI84" s="20"/>
      <c r="CJ84" s="20"/>
      <c r="CK84" s="20"/>
      <c r="CL84" s="20"/>
      <c r="CM84" s="20"/>
      <c r="CN84" s="20"/>
      <c r="CO84" s="20"/>
      <c r="CP84" s="20"/>
      <c r="CQ84" s="20"/>
      <c r="CR84" s="20"/>
      <c r="CS84" s="20"/>
    </row>
    <row r="85" s="8" customFormat="1" spans="1:97">
      <c r="A85" s="20"/>
      <c r="B85" s="15"/>
      <c r="C85" s="14"/>
      <c r="D85" s="17"/>
      <c r="E85" s="17"/>
      <c r="F85" s="17"/>
      <c r="G85" s="17"/>
      <c r="H85" s="17"/>
      <c r="I85" s="21"/>
      <c r="J85" s="21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0"/>
      <c r="AJ85" s="20"/>
      <c r="AK85" s="20"/>
      <c r="AL85" s="20"/>
      <c r="AM85" s="20"/>
      <c r="AN85" s="20"/>
      <c r="AO85" s="20"/>
      <c r="AP85" s="20"/>
      <c r="AQ85" s="20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20"/>
      <c r="BL85" s="20"/>
      <c r="BM85" s="20"/>
      <c r="BN85" s="20"/>
      <c r="BO85" s="20"/>
      <c r="BP85" s="20"/>
      <c r="BQ85" s="20"/>
      <c r="BR85" s="20"/>
      <c r="BS85" s="20"/>
      <c r="BT85" s="20"/>
      <c r="BU85" s="20"/>
      <c r="BV85" s="20"/>
      <c r="BW85" s="20"/>
      <c r="BX85" s="20"/>
      <c r="BY85" s="20"/>
      <c r="BZ85" s="20"/>
      <c r="CA85" s="20"/>
      <c r="CB85" s="20"/>
      <c r="CC85" s="20"/>
      <c r="CD85" s="20"/>
      <c r="CE85" s="20"/>
      <c r="CF85" s="20"/>
      <c r="CG85" s="20"/>
      <c r="CH85" s="20"/>
      <c r="CI85" s="20"/>
      <c r="CJ85" s="20"/>
      <c r="CK85" s="20"/>
      <c r="CL85" s="20"/>
      <c r="CM85" s="20"/>
      <c r="CN85" s="20"/>
      <c r="CO85" s="20"/>
      <c r="CP85" s="20"/>
      <c r="CQ85" s="20"/>
      <c r="CR85" s="20"/>
      <c r="CS85" s="20"/>
    </row>
    <row r="86" s="8" customFormat="1" spans="1:97">
      <c r="A86" s="20"/>
      <c r="B86" s="15"/>
      <c r="C86" s="14"/>
      <c r="D86" s="18" t="s">
        <v>22</v>
      </c>
      <c r="E86" s="18" t="s">
        <v>61</v>
      </c>
      <c r="F86" s="18" t="s">
        <v>60</v>
      </c>
      <c r="G86" s="18" t="s">
        <v>57</v>
      </c>
      <c r="H86" s="18" t="s">
        <v>54</v>
      </c>
      <c r="I86" s="22" t="s">
        <v>54</v>
      </c>
      <c r="J86" s="22" t="s">
        <v>62</v>
      </c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</row>
    <row r="87" s="8" customFormat="1" spans="1:97">
      <c r="A87" s="20"/>
      <c r="B87" s="15"/>
      <c r="C87" s="14"/>
      <c r="D87" s="19" t="s">
        <v>222</v>
      </c>
      <c r="E87" s="19" t="s">
        <v>223</v>
      </c>
      <c r="F87" s="19" t="s">
        <v>224</v>
      </c>
      <c r="G87" s="19" t="s">
        <v>211</v>
      </c>
      <c r="H87" s="19" t="s">
        <v>219</v>
      </c>
      <c r="I87" s="23" t="s">
        <v>225</v>
      </c>
      <c r="J87" s="23" t="s">
        <v>226</v>
      </c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0"/>
      <c r="AJ87" s="20"/>
      <c r="AK87" s="20"/>
      <c r="AL87" s="20"/>
      <c r="AM87" s="20"/>
      <c r="AN87" s="20"/>
      <c r="AO87" s="20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20"/>
      <c r="BJ87" s="20"/>
      <c r="BK87" s="20"/>
      <c r="BL87" s="20"/>
      <c r="BM87" s="20"/>
      <c r="BN87" s="20"/>
      <c r="BO87" s="20"/>
      <c r="BP87" s="20"/>
      <c r="BQ87" s="20"/>
      <c r="BR87" s="20"/>
      <c r="BS87" s="20"/>
      <c r="BT87" s="20"/>
      <c r="BU87" s="20"/>
      <c r="BV87" s="20"/>
      <c r="BW87" s="20"/>
      <c r="BX87" s="20"/>
      <c r="BY87" s="20"/>
      <c r="BZ87" s="20"/>
      <c r="CA87" s="20"/>
      <c r="CB87" s="20"/>
      <c r="CC87" s="20"/>
      <c r="CD87" s="20"/>
      <c r="CE87" s="20"/>
      <c r="CF87" s="20"/>
      <c r="CG87" s="20"/>
      <c r="CH87" s="20"/>
      <c r="CI87" s="20"/>
      <c r="CJ87" s="20"/>
      <c r="CK87" s="20"/>
      <c r="CL87" s="20"/>
      <c r="CM87" s="20"/>
      <c r="CN87" s="20"/>
      <c r="CO87" s="20"/>
      <c r="CP87" s="20"/>
      <c r="CQ87" s="20"/>
      <c r="CR87" s="20"/>
      <c r="CS87" s="20"/>
    </row>
    <row r="88" s="8" customFormat="1" spans="1:97">
      <c r="A88" s="20"/>
      <c r="B88" s="15"/>
      <c r="C88" s="14"/>
      <c r="D88" s="18"/>
      <c r="E88" s="18"/>
      <c r="F88" s="18"/>
      <c r="G88" s="18"/>
      <c r="H88" s="18"/>
      <c r="I88" s="22"/>
      <c r="J88" s="22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0"/>
      <c r="AJ88" s="20"/>
      <c r="AK88" s="20"/>
      <c r="AL88" s="20"/>
      <c r="AM88" s="20"/>
      <c r="AN88" s="20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20"/>
      <c r="BI88" s="20"/>
      <c r="BJ88" s="20"/>
      <c r="BK88" s="20"/>
      <c r="BL88" s="20"/>
      <c r="BM88" s="20"/>
      <c r="BN88" s="20"/>
      <c r="BO88" s="20"/>
      <c r="BP88" s="20"/>
      <c r="BQ88" s="20"/>
      <c r="BR88" s="20"/>
      <c r="BS88" s="20"/>
      <c r="BT88" s="20"/>
      <c r="BU88" s="20"/>
      <c r="BV88" s="20"/>
      <c r="BW88" s="20"/>
      <c r="BX88" s="20"/>
      <c r="BY88" s="20"/>
      <c r="BZ88" s="20"/>
      <c r="CA88" s="20"/>
      <c r="CB88" s="20"/>
      <c r="CC88" s="20"/>
      <c r="CD88" s="20"/>
      <c r="CE88" s="20"/>
      <c r="CF88" s="20"/>
      <c r="CG88" s="20"/>
      <c r="CH88" s="20"/>
      <c r="CI88" s="20"/>
      <c r="CJ88" s="20"/>
      <c r="CK88" s="20"/>
      <c r="CL88" s="20"/>
      <c r="CM88" s="20"/>
      <c r="CN88" s="20"/>
      <c r="CO88" s="20"/>
      <c r="CP88" s="20"/>
      <c r="CQ88" s="20"/>
      <c r="CR88" s="20"/>
      <c r="CS88" s="20"/>
    </row>
    <row r="89" s="8" customFormat="1" spans="1:97">
      <c r="A89" s="20"/>
      <c r="B89" s="15"/>
      <c r="C89" s="14"/>
      <c r="D89" s="17"/>
      <c r="E89" s="17"/>
      <c r="F89" s="17"/>
      <c r="G89" s="17"/>
      <c r="H89" s="17"/>
      <c r="I89" s="21"/>
      <c r="J89" s="21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0"/>
      <c r="AJ89" s="20"/>
      <c r="AK89" s="20"/>
      <c r="AL89" s="20"/>
      <c r="AM89" s="20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20"/>
      <c r="BH89" s="20"/>
      <c r="BI89" s="20"/>
      <c r="BJ89" s="20"/>
      <c r="BK89" s="20"/>
      <c r="BL89" s="20"/>
      <c r="BM89" s="20"/>
      <c r="BN89" s="20"/>
      <c r="BO89" s="20"/>
      <c r="BP89" s="20"/>
      <c r="BQ89" s="20"/>
      <c r="BR89" s="20"/>
      <c r="BS89" s="20"/>
      <c r="BT89" s="20"/>
      <c r="BU89" s="20"/>
      <c r="BV89" s="20"/>
      <c r="BW89" s="20"/>
      <c r="BX89" s="20"/>
      <c r="BY89" s="20"/>
      <c r="BZ89" s="20"/>
      <c r="CA89" s="20"/>
      <c r="CB89" s="20"/>
      <c r="CC89" s="20"/>
      <c r="CD89" s="20"/>
      <c r="CE89" s="20"/>
      <c r="CF89" s="20"/>
      <c r="CG89" s="20"/>
      <c r="CH89" s="20"/>
      <c r="CI89" s="20"/>
      <c r="CJ89" s="20"/>
      <c r="CK89" s="20"/>
      <c r="CL89" s="20"/>
      <c r="CM89" s="20"/>
      <c r="CN89" s="20"/>
      <c r="CO89" s="20"/>
      <c r="CP89" s="20"/>
      <c r="CQ89" s="20"/>
      <c r="CR89" s="20"/>
      <c r="CS89" s="20"/>
    </row>
    <row r="90" s="8" customFormat="1" spans="1:97">
      <c r="A90" s="20"/>
      <c r="B90" s="15"/>
      <c r="C90" s="14"/>
      <c r="D90" s="18" t="s">
        <v>24</v>
      </c>
      <c r="E90" s="18" t="s">
        <v>44</v>
      </c>
      <c r="F90" s="18" t="s">
        <v>22</v>
      </c>
      <c r="G90" s="18" t="s">
        <v>48</v>
      </c>
      <c r="H90" s="18" t="s">
        <v>27</v>
      </c>
      <c r="I90" s="22" t="s">
        <v>48</v>
      </c>
      <c r="J90" s="22" t="s">
        <v>47</v>
      </c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0"/>
      <c r="AJ90" s="20"/>
      <c r="AK90" s="20"/>
      <c r="AL90" s="20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20"/>
      <c r="BG90" s="20"/>
      <c r="BH90" s="20"/>
      <c r="BI90" s="20"/>
      <c r="BJ90" s="20"/>
      <c r="BK90" s="20"/>
      <c r="BL90" s="20"/>
      <c r="BM90" s="20"/>
      <c r="BN90" s="20"/>
      <c r="BO90" s="20"/>
      <c r="BP90" s="20"/>
      <c r="BQ90" s="20"/>
      <c r="BR90" s="20"/>
      <c r="BS90" s="20"/>
      <c r="BT90" s="20"/>
      <c r="BU90" s="20"/>
      <c r="BV90" s="20"/>
      <c r="BW90" s="20"/>
      <c r="BX90" s="20"/>
      <c r="BY90" s="20"/>
      <c r="BZ90" s="20"/>
      <c r="CA90" s="20"/>
      <c r="CB90" s="20"/>
      <c r="CC90" s="20"/>
      <c r="CD90" s="20"/>
      <c r="CE90" s="20"/>
      <c r="CF90" s="20"/>
      <c r="CG90" s="20"/>
      <c r="CH90" s="20"/>
      <c r="CI90" s="20"/>
      <c r="CJ90" s="20"/>
      <c r="CK90" s="20"/>
      <c r="CL90" s="20"/>
      <c r="CM90" s="20"/>
      <c r="CN90" s="20"/>
      <c r="CO90" s="20"/>
      <c r="CP90" s="20"/>
      <c r="CQ90" s="20"/>
      <c r="CR90" s="20"/>
      <c r="CS90" s="20"/>
    </row>
    <row r="91" s="8" customFormat="1" spans="1:97">
      <c r="A91" s="20"/>
      <c r="B91" s="15"/>
      <c r="C91" s="14"/>
      <c r="D91" s="19" t="s">
        <v>227</v>
      </c>
      <c r="E91" s="19" t="s">
        <v>228</v>
      </c>
      <c r="F91" s="19" t="s">
        <v>229</v>
      </c>
      <c r="G91" s="19" t="s">
        <v>230</v>
      </c>
      <c r="H91" s="19" t="s">
        <v>231</v>
      </c>
      <c r="I91" s="23" t="s">
        <v>232</v>
      </c>
      <c r="J91" s="23" t="s">
        <v>233</v>
      </c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0"/>
      <c r="AJ91" s="20"/>
      <c r="AK91" s="20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20"/>
      <c r="BF91" s="20"/>
      <c r="BG91" s="20"/>
      <c r="BH91" s="20"/>
      <c r="BI91" s="20"/>
      <c r="BJ91" s="20"/>
      <c r="BK91" s="20"/>
      <c r="BL91" s="20"/>
      <c r="BM91" s="20"/>
      <c r="BN91" s="20"/>
      <c r="BO91" s="20"/>
      <c r="BP91" s="20"/>
      <c r="BQ91" s="20"/>
      <c r="BR91" s="20"/>
      <c r="BS91" s="20"/>
      <c r="BT91" s="20"/>
      <c r="BU91" s="20"/>
      <c r="BV91" s="20"/>
      <c r="BW91" s="20"/>
      <c r="BX91" s="20"/>
      <c r="BY91" s="20"/>
      <c r="BZ91" s="20"/>
      <c r="CA91" s="20"/>
      <c r="CB91" s="20"/>
      <c r="CC91" s="20"/>
      <c r="CD91" s="20"/>
      <c r="CE91" s="20"/>
      <c r="CF91" s="20"/>
      <c r="CG91" s="20"/>
      <c r="CH91" s="20"/>
      <c r="CI91" s="20"/>
      <c r="CJ91" s="20"/>
      <c r="CK91" s="20"/>
      <c r="CL91" s="20"/>
      <c r="CM91" s="20"/>
      <c r="CN91" s="20"/>
      <c r="CO91" s="20"/>
      <c r="CP91" s="20"/>
      <c r="CQ91" s="20"/>
      <c r="CR91" s="20"/>
      <c r="CS91" s="20"/>
    </row>
    <row r="92" s="8" customFormat="1" spans="1:97">
      <c r="A92" s="20"/>
      <c r="B92" s="15"/>
      <c r="C92" s="14"/>
      <c r="D92" s="17"/>
      <c r="E92" s="17"/>
      <c r="F92" s="17"/>
      <c r="G92" s="17"/>
      <c r="H92" s="17"/>
      <c r="I92" s="21"/>
      <c r="J92" s="21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0"/>
      <c r="AJ92" s="20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20"/>
      <c r="BE92" s="20"/>
      <c r="BF92" s="20"/>
      <c r="BG92" s="20"/>
      <c r="BH92" s="20"/>
      <c r="BI92" s="20"/>
      <c r="BJ92" s="20"/>
      <c r="BK92" s="20"/>
      <c r="BL92" s="20"/>
      <c r="BM92" s="20"/>
      <c r="BN92" s="20"/>
      <c r="BO92" s="20"/>
      <c r="BP92" s="20"/>
      <c r="BQ92" s="20"/>
      <c r="BR92" s="20"/>
      <c r="BS92" s="20"/>
      <c r="BT92" s="20"/>
      <c r="BU92" s="20"/>
      <c r="BV92" s="20"/>
      <c r="BW92" s="20"/>
      <c r="BX92" s="20"/>
      <c r="BY92" s="20"/>
      <c r="BZ92" s="20"/>
      <c r="CA92" s="20"/>
      <c r="CB92" s="20"/>
      <c r="CC92" s="20"/>
      <c r="CD92" s="20"/>
      <c r="CE92" s="20"/>
      <c r="CF92" s="20"/>
      <c r="CG92" s="20"/>
      <c r="CH92" s="20"/>
      <c r="CI92" s="20"/>
      <c r="CJ92" s="20"/>
      <c r="CK92" s="20"/>
      <c r="CL92" s="20"/>
      <c r="CM92" s="20"/>
      <c r="CN92" s="20"/>
      <c r="CO92" s="20"/>
      <c r="CP92" s="20"/>
      <c r="CQ92" s="20"/>
      <c r="CR92" s="20"/>
      <c r="CS92" s="20"/>
    </row>
    <row r="93" s="8" customFormat="1" spans="1:97">
      <c r="A93" s="20"/>
      <c r="B93" s="15"/>
      <c r="C93" s="14"/>
      <c r="D93" s="18" t="s">
        <v>53</v>
      </c>
      <c r="E93" s="18" t="s">
        <v>65</v>
      </c>
      <c r="F93" s="18" t="s">
        <v>46</v>
      </c>
      <c r="G93" s="18" t="s">
        <v>56</v>
      </c>
      <c r="H93" s="18" t="s">
        <v>61</v>
      </c>
      <c r="I93" s="22" t="s">
        <v>41</v>
      </c>
      <c r="J93" s="22" t="s">
        <v>45</v>
      </c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0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20"/>
      <c r="BD93" s="20"/>
      <c r="BE93" s="20"/>
      <c r="BF93" s="20"/>
      <c r="BG93" s="20"/>
      <c r="BH93" s="20"/>
      <c r="BI93" s="20"/>
      <c r="BJ93" s="20"/>
      <c r="BK93" s="20"/>
      <c r="BL93" s="20"/>
      <c r="BM93" s="20"/>
      <c r="BN93" s="20"/>
      <c r="BO93" s="20"/>
      <c r="BP93" s="20"/>
      <c r="BQ93" s="20"/>
      <c r="BR93" s="20"/>
      <c r="BS93" s="20"/>
      <c r="BT93" s="20"/>
      <c r="BU93" s="20"/>
      <c r="BV93" s="20"/>
      <c r="BW93" s="20"/>
      <c r="BX93" s="20"/>
      <c r="BY93" s="20"/>
      <c r="BZ93" s="20"/>
      <c r="CA93" s="20"/>
      <c r="CB93" s="20"/>
      <c r="CC93" s="20"/>
      <c r="CD93" s="20"/>
      <c r="CE93" s="20"/>
      <c r="CF93" s="20"/>
      <c r="CG93" s="20"/>
      <c r="CH93" s="20"/>
      <c r="CI93" s="20"/>
      <c r="CJ93" s="20"/>
      <c r="CK93" s="20"/>
      <c r="CL93" s="20"/>
      <c r="CM93" s="20"/>
      <c r="CN93" s="20"/>
      <c r="CO93" s="20"/>
      <c r="CP93" s="20"/>
      <c r="CQ93" s="20"/>
      <c r="CR93" s="20"/>
      <c r="CS93" s="20"/>
    </row>
    <row r="94" s="8" customFormat="1" spans="1:97">
      <c r="A94" s="20"/>
      <c r="B94" s="15"/>
      <c r="C94" s="14"/>
      <c r="D94" s="19" t="s">
        <v>234</v>
      </c>
      <c r="E94" s="19" t="s">
        <v>235</v>
      </c>
      <c r="F94" s="19" t="s">
        <v>236</v>
      </c>
      <c r="G94" s="19" t="s">
        <v>217</v>
      </c>
      <c r="H94" s="19" t="s">
        <v>231</v>
      </c>
      <c r="I94" s="23" t="s">
        <v>237</v>
      </c>
      <c r="J94" s="23" t="s">
        <v>238</v>
      </c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20"/>
      <c r="BC94" s="20"/>
      <c r="BD94" s="20"/>
      <c r="BE94" s="20"/>
      <c r="BF94" s="20"/>
      <c r="BG94" s="20"/>
      <c r="BH94" s="20"/>
      <c r="BI94" s="20"/>
      <c r="BJ94" s="20"/>
      <c r="BK94" s="20"/>
      <c r="BL94" s="20"/>
      <c r="BM94" s="20"/>
      <c r="BN94" s="20"/>
      <c r="BO94" s="20"/>
      <c r="BP94" s="20"/>
      <c r="BQ94" s="20"/>
      <c r="BR94" s="20"/>
      <c r="BS94" s="20"/>
      <c r="BT94" s="20"/>
      <c r="BU94" s="20"/>
      <c r="BV94" s="20"/>
      <c r="BW94" s="20"/>
      <c r="BX94" s="20"/>
      <c r="BY94" s="20"/>
      <c r="BZ94" s="20"/>
      <c r="CA94" s="20"/>
      <c r="CB94" s="20"/>
      <c r="CC94" s="20"/>
      <c r="CD94" s="20"/>
      <c r="CE94" s="20"/>
      <c r="CF94" s="20"/>
      <c r="CG94" s="20"/>
      <c r="CH94" s="20"/>
      <c r="CI94" s="20"/>
      <c r="CJ94" s="20"/>
      <c r="CK94" s="20"/>
      <c r="CL94" s="20"/>
      <c r="CM94" s="20"/>
      <c r="CN94" s="20"/>
      <c r="CO94" s="20"/>
      <c r="CP94" s="20"/>
      <c r="CQ94" s="20"/>
      <c r="CR94" s="20"/>
      <c r="CS94" s="20"/>
    </row>
    <row r="95" s="8" customFormat="1" spans="1:97">
      <c r="A95" s="20"/>
      <c r="B95" s="15"/>
      <c r="C95" s="14"/>
      <c r="D95" s="18"/>
      <c r="E95" s="18"/>
      <c r="F95" s="18"/>
      <c r="G95" s="18"/>
      <c r="H95" s="18"/>
      <c r="I95" s="22"/>
      <c r="J95" s="22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20"/>
      <c r="BB95" s="20"/>
      <c r="BC95" s="20"/>
      <c r="BD95" s="20"/>
      <c r="BE95" s="20"/>
      <c r="BF95" s="20"/>
      <c r="BG95" s="20"/>
      <c r="BH95" s="20"/>
      <c r="BI95" s="20"/>
      <c r="BJ95" s="20"/>
      <c r="BK95" s="20"/>
      <c r="BL95" s="20"/>
      <c r="BM95" s="20"/>
      <c r="BN95" s="20"/>
      <c r="BO95" s="20"/>
      <c r="BP95" s="20"/>
      <c r="BQ95" s="20"/>
      <c r="BR95" s="20"/>
      <c r="BS95" s="20"/>
      <c r="BT95" s="20"/>
      <c r="BU95" s="20"/>
      <c r="BV95" s="20"/>
      <c r="BW95" s="20"/>
      <c r="BX95" s="20"/>
      <c r="BY95" s="20"/>
      <c r="BZ95" s="20"/>
      <c r="CA95" s="20"/>
      <c r="CB95" s="20"/>
      <c r="CC95" s="20"/>
      <c r="CD95" s="20"/>
      <c r="CE95" s="20"/>
      <c r="CF95" s="20"/>
      <c r="CG95" s="20"/>
      <c r="CH95" s="20"/>
      <c r="CI95" s="20"/>
      <c r="CJ95" s="20"/>
      <c r="CK95" s="20"/>
      <c r="CL95" s="20"/>
      <c r="CM95" s="20"/>
      <c r="CN95" s="20"/>
      <c r="CO95" s="20"/>
      <c r="CP95" s="20"/>
      <c r="CQ95" s="20"/>
      <c r="CR95" s="20"/>
      <c r="CS95" s="20"/>
    </row>
    <row r="96" s="8" customFormat="1" spans="1:97">
      <c r="A96" s="20"/>
      <c r="B96" s="15"/>
      <c r="C96" s="14"/>
      <c r="D96" s="17"/>
      <c r="E96" s="17"/>
      <c r="F96" s="17"/>
      <c r="G96" s="17"/>
      <c r="H96" s="17"/>
      <c r="I96" s="21"/>
      <c r="J96" s="21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20"/>
      <c r="BA96" s="20"/>
      <c r="BB96" s="20"/>
      <c r="BC96" s="20"/>
      <c r="BD96" s="20"/>
      <c r="BE96" s="20"/>
      <c r="BF96" s="20"/>
      <c r="BG96" s="20"/>
      <c r="BH96" s="20"/>
      <c r="BI96" s="20"/>
      <c r="BJ96" s="20"/>
      <c r="BK96" s="20"/>
      <c r="BL96" s="20"/>
      <c r="BM96" s="20"/>
      <c r="BN96" s="20"/>
      <c r="BO96" s="20"/>
      <c r="BP96" s="20"/>
      <c r="BQ96" s="20"/>
      <c r="BR96" s="20"/>
      <c r="BS96" s="20"/>
      <c r="BT96" s="20"/>
      <c r="BU96" s="20"/>
      <c r="BV96" s="20"/>
      <c r="BW96" s="20"/>
      <c r="BX96" s="20"/>
      <c r="BY96" s="20"/>
      <c r="BZ96" s="20"/>
      <c r="CA96" s="20"/>
      <c r="CB96" s="20"/>
      <c r="CC96" s="20"/>
      <c r="CD96" s="20"/>
      <c r="CE96" s="20"/>
      <c r="CF96" s="20"/>
      <c r="CG96" s="20"/>
      <c r="CH96" s="20"/>
      <c r="CI96" s="20"/>
      <c r="CJ96" s="20"/>
      <c r="CK96" s="20"/>
      <c r="CL96" s="20"/>
      <c r="CM96" s="20"/>
      <c r="CN96" s="20"/>
      <c r="CO96" s="20"/>
      <c r="CP96" s="20"/>
      <c r="CQ96" s="20"/>
      <c r="CR96" s="20"/>
      <c r="CS96" s="20"/>
    </row>
    <row r="97" s="8" customFormat="1" spans="1:97">
      <c r="A97" s="20"/>
      <c r="B97" s="15"/>
      <c r="C97" s="14"/>
      <c r="D97" s="18" t="s">
        <v>54</v>
      </c>
      <c r="E97" s="18" t="s">
        <v>35</v>
      </c>
      <c r="F97" s="18" t="s">
        <v>61</v>
      </c>
      <c r="G97" s="18" t="s">
        <v>37</v>
      </c>
      <c r="H97" s="18" t="s">
        <v>42</v>
      </c>
      <c r="I97" s="22" t="s">
        <v>49</v>
      </c>
      <c r="J97" s="22" t="s">
        <v>31</v>
      </c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20"/>
      <c r="AZ97" s="20"/>
      <c r="BA97" s="20"/>
      <c r="BB97" s="20"/>
      <c r="BC97" s="20"/>
      <c r="BD97" s="20"/>
      <c r="BE97" s="20"/>
      <c r="BF97" s="20"/>
      <c r="BG97" s="20"/>
      <c r="BH97" s="20"/>
      <c r="BI97" s="20"/>
      <c r="BJ97" s="20"/>
      <c r="BK97" s="20"/>
      <c r="BL97" s="20"/>
      <c r="BM97" s="20"/>
      <c r="BN97" s="20"/>
      <c r="BO97" s="20"/>
      <c r="BP97" s="20"/>
      <c r="BQ97" s="20"/>
      <c r="BR97" s="20"/>
      <c r="BS97" s="20"/>
      <c r="BT97" s="20"/>
      <c r="BU97" s="20"/>
      <c r="BV97" s="20"/>
      <c r="BW97" s="20"/>
      <c r="BX97" s="20"/>
      <c r="BY97" s="20"/>
      <c r="BZ97" s="20"/>
      <c r="CA97" s="20"/>
      <c r="CB97" s="20"/>
      <c r="CC97" s="20"/>
      <c r="CD97" s="20"/>
      <c r="CE97" s="20"/>
      <c r="CF97" s="20"/>
      <c r="CG97" s="20"/>
      <c r="CH97" s="20"/>
      <c r="CI97" s="20"/>
      <c r="CJ97" s="20"/>
      <c r="CK97" s="20"/>
      <c r="CL97" s="20"/>
      <c r="CM97" s="20"/>
      <c r="CN97" s="20"/>
      <c r="CO97" s="20"/>
      <c r="CP97" s="20"/>
      <c r="CQ97" s="20"/>
      <c r="CR97" s="20"/>
      <c r="CS97" s="20"/>
    </row>
    <row r="98" s="8" customFormat="1" spans="1:97">
      <c r="A98" s="20"/>
      <c r="B98" s="15"/>
      <c r="C98" s="14"/>
      <c r="D98" s="19" t="s">
        <v>239</v>
      </c>
      <c r="E98" s="19" t="s">
        <v>240</v>
      </c>
      <c r="F98" s="19" t="s">
        <v>241</v>
      </c>
      <c r="G98" s="19" t="s">
        <v>242</v>
      </c>
      <c r="H98" s="19" t="s">
        <v>243</v>
      </c>
      <c r="I98" s="23" t="s">
        <v>244</v>
      </c>
      <c r="J98" s="23" t="s">
        <v>245</v>
      </c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20"/>
      <c r="AY98" s="20"/>
      <c r="AZ98" s="20"/>
      <c r="BA98" s="20"/>
      <c r="BB98" s="20"/>
      <c r="BC98" s="20"/>
      <c r="BD98" s="20"/>
      <c r="BE98" s="20"/>
      <c r="BF98" s="20"/>
      <c r="BG98" s="20"/>
      <c r="BH98" s="20"/>
      <c r="BI98" s="20"/>
      <c r="BJ98" s="20"/>
      <c r="BK98" s="20"/>
      <c r="BL98" s="20"/>
      <c r="BM98" s="20"/>
      <c r="BN98" s="20"/>
      <c r="BO98" s="20"/>
      <c r="BP98" s="20"/>
      <c r="BQ98" s="20"/>
      <c r="BR98" s="20"/>
      <c r="BS98" s="20"/>
      <c r="BT98" s="20"/>
      <c r="BU98" s="20"/>
      <c r="BV98" s="20"/>
      <c r="BW98" s="20"/>
      <c r="BX98" s="20"/>
      <c r="BY98" s="20"/>
      <c r="BZ98" s="20"/>
      <c r="CA98" s="20"/>
      <c r="CB98" s="20"/>
      <c r="CC98" s="20"/>
      <c r="CD98" s="20"/>
      <c r="CE98" s="20"/>
      <c r="CF98" s="20"/>
      <c r="CG98" s="20"/>
      <c r="CH98" s="20"/>
      <c r="CI98" s="20"/>
      <c r="CJ98" s="20"/>
      <c r="CK98" s="20"/>
      <c r="CL98" s="20"/>
      <c r="CM98" s="20"/>
      <c r="CN98" s="20"/>
      <c r="CO98" s="20"/>
      <c r="CP98" s="20"/>
      <c r="CQ98" s="20"/>
      <c r="CR98" s="20"/>
      <c r="CS98" s="20"/>
    </row>
    <row r="99" s="8" customFormat="1" spans="1:97">
      <c r="A99" s="20"/>
      <c r="B99" s="15"/>
      <c r="C99" s="14"/>
      <c r="D99" s="18"/>
      <c r="E99" s="18"/>
      <c r="F99" s="18"/>
      <c r="G99" s="18"/>
      <c r="H99" s="18"/>
      <c r="I99" s="22"/>
      <c r="J99" s="22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20"/>
      <c r="AX99" s="20"/>
      <c r="AY99" s="20"/>
      <c r="AZ99" s="20"/>
      <c r="BA99" s="20"/>
      <c r="BB99" s="20"/>
      <c r="BC99" s="20"/>
      <c r="BD99" s="20"/>
      <c r="BE99" s="20"/>
      <c r="BF99" s="20"/>
      <c r="BG99" s="20"/>
      <c r="BH99" s="20"/>
      <c r="BI99" s="20"/>
      <c r="BJ99" s="20"/>
      <c r="BK99" s="20"/>
      <c r="BL99" s="20"/>
      <c r="BM99" s="20"/>
      <c r="BN99" s="20"/>
      <c r="BO99" s="20"/>
      <c r="BP99" s="20"/>
      <c r="BQ99" s="20"/>
      <c r="BR99" s="20"/>
      <c r="BS99" s="20"/>
      <c r="BT99" s="20"/>
      <c r="BU99" s="20"/>
      <c r="BV99" s="20"/>
      <c r="BW99" s="20"/>
      <c r="BX99" s="20"/>
      <c r="BY99" s="20"/>
      <c r="BZ99" s="20"/>
      <c r="CA99" s="20"/>
      <c r="CB99" s="20"/>
      <c r="CC99" s="20"/>
      <c r="CD99" s="20"/>
      <c r="CE99" s="20"/>
      <c r="CF99" s="20"/>
      <c r="CG99" s="20"/>
      <c r="CH99" s="20"/>
      <c r="CI99" s="20"/>
      <c r="CJ99" s="20"/>
      <c r="CK99" s="20"/>
      <c r="CL99" s="20"/>
      <c r="CM99" s="20"/>
      <c r="CN99" s="20"/>
      <c r="CO99" s="20"/>
      <c r="CP99" s="20"/>
      <c r="CQ99" s="20"/>
      <c r="CR99" s="20"/>
      <c r="CS99" s="20"/>
    </row>
    <row r="100" s="8" customFormat="1" spans="1:97">
      <c r="A100" s="20"/>
      <c r="B100" s="15"/>
      <c r="C100" s="14"/>
      <c r="D100" s="17"/>
      <c r="E100" s="17"/>
      <c r="F100" s="17"/>
      <c r="G100" s="17"/>
      <c r="H100" s="17"/>
      <c r="I100" s="21"/>
      <c r="J100" s="21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20"/>
      <c r="AW100" s="20"/>
      <c r="AX100" s="20"/>
      <c r="AY100" s="20"/>
      <c r="AZ100" s="20"/>
      <c r="BA100" s="20"/>
      <c r="BB100" s="20"/>
      <c r="BC100" s="20"/>
      <c r="BD100" s="20"/>
      <c r="BE100" s="20"/>
      <c r="BF100" s="20"/>
      <c r="BG100" s="20"/>
      <c r="BH100" s="20"/>
      <c r="BI100" s="20"/>
      <c r="BJ100" s="20"/>
      <c r="BK100" s="20"/>
      <c r="BL100" s="20"/>
      <c r="BM100" s="20"/>
      <c r="BN100" s="20"/>
      <c r="BO100" s="20"/>
      <c r="BP100" s="20"/>
      <c r="BQ100" s="20"/>
      <c r="BR100" s="20"/>
      <c r="BS100" s="20"/>
      <c r="BT100" s="20"/>
      <c r="BU100" s="20"/>
      <c r="BV100" s="20"/>
      <c r="BW100" s="20"/>
      <c r="BX100" s="20"/>
      <c r="BY100" s="20"/>
      <c r="BZ100" s="20"/>
      <c r="CA100" s="20"/>
      <c r="CB100" s="20"/>
      <c r="CC100" s="20"/>
      <c r="CD100" s="20"/>
      <c r="CE100" s="20"/>
      <c r="CF100" s="20"/>
      <c r="CG100" s="20"/>
      <c r="CH100" s="20"/>
      <c r="CI100" s="20"/>
      <c r="CJ100" s="20"/>
      <c r="CK100" s="20"/>
      <c r="CL100" s="20"/>
      <c r="CM100" s="20"/>
      <c r="CN100" s="20"/>
      <c r="CO100" s="20"/>
      <c r="CP100" s="20"/>
      <c r="CQ100" s="20"/>
      <c r="CR100" s="20"/>
      <c r="CS100" s="20"/>
    </row>
    <row r="101" s="8" customFormat="1" spans="1:97">
      <c r="A101" s="20"/>
      <c r="B101" s="15"/>
      <c r="C101" s="20"/>
      <c r="D101" s="18" t="s">
        <v>49</v>
      </c>
      <c r="E101" s="18" t="s">
        <v>31</v>
      </c>
      <c r="F101" s="18" t="s">
        <v>31</v>
      </c>
      <c r="G101" s="18" t="s">
        <v>54</v>
      </c>
      <c r="H101" s="18" t="s">
        <v>44</v>
      </c>
      <c r="I101" s="22" t="s">
        <v>52</v>
      </c>
      <c r="J101" s="22" t="s">
        <v>64</v>
      </c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0"/>
      <c r="AJ101" s="20"/>
      <c r="AK101" s="20"/>
      <c r="AL101" s="20"/>
      <c r="AM101" s="20"/>
      <c r="AN101" s="20"/>
      <c r="AO101" s="20"/>
      <c r="AP101" s="20"/>
      <c r="AQ101" s="20"/>
      <c r="AR101" s="20"/>
      <c r="AS101" s="20"/>
      <c r="AT101" s="20"/>
      <c r="AU101" s="20"/>
      <c r="AV101" s="20"/>
      <c r="AW101" s="20"/>
      <c r="AX101" s="20"/>
      <c r="AY101" s="20"/>
      <c r="AZ101" s="20"/>
      <c r="BA101" s="20"/>
      <c r="BB101" s="20"/>
      <c r="BC101" s="20"/>
      <c r="BD101" s="20"/>
      <c r="BE101" s="20"/>
      <c r="BF101" s="20"/>
      <c r="BG101" s="20"/>
      <c r="BH101" s="20"/>
      <c r="BI101" s="20"/>
      <c r="BJ101" s="20"/>
      <c r="BK101" s="20"/>
      <c r="BL101" s="20"/>
      <c r="BM101" s="20"/>
      <c r="BN101" s="20"/>
      <c r="BO101" s="20"/>
      <c r="BP101" s="20"/>
      <c r="BQ101" s="20"/>
      <c r="BR101" s="20"/>
      <c r="BS101" s="20"/>
      <c r="BT101" s="20"/>
      <c r="BU101" s="20"/>
      <c r="BV101" s="20"/>
      <c r="BW101" s="20"/>
      <c r="BX101" s="20"/>
      <c r="BY101" s="20"/>
      <c r="BZ101" s="20"/>
      <c r="CA101" s="20"/>
      <c r="CB101" s="20"/>
      <c r="CC101" s="20"/>
      <c r="CD101" s="20"/>
      <c r="CE101" s="20"/>
      <c r="CF101" s="20"/>
      <c r="CG101" s="20"/>
      <c r="CH101" s="20"/>
      <c r="CI101" s="20"/>
      <c r="CJ101" s="20"/>
      <c r="CK101" s="20"/>
      <c r="CL101" s="20"/>
      <c r="CM101" s="20"/>
      <c r="CN101" s="20"/>
      <c r="CO101" s="20"/>
      <c r="CP101" s="20"/>
      <c r="CQ101" s="20"/>
      <c r="CR101" s="20"/>
      <c r="CS101" s="20"/>
    </row>
    <row r="102" s="8" customFormat="1" spans="1:97">
      <c r="A102" s="20"/>
      <c r="B102" s="15"/>
      <c r="C102" s="20"/>
      <c r="D102" s="19" t="s">
        <v>246</v>
      </c>
      <c r="E102" s="19" t="s">
        <v>247</v>
      </c>
      <c r="F102" s="19" t="s">
        <v>248</v>
      </c>
      <c r="G102" s="19" t="s">
        <v>216</v>
      </c>
      <c r="H102" s="19" t="s">
        <v>249</v>
      </c>
      <c r="I102" s="23" t="s">
        <v>250</v>
      </c>
      <c r="J102" s="23" t="s">
        <v>251</v>
      </c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0"/>
      <c r="AJ102" s="20"/>
      <c r="AK102" s="20"/>
      <c r="AL102" s="20"/>
      <c r="AM102" s="20"/>
      <c r="AN102" s="20"/>
      <c r="AO102" s="20"/>
      <c r="AP102" s="20"/>
      <c r="AQ102" s="20"/>
      <c r="AR102" s="20"/>
      <c r="AS102" s="20"/>
      <c r="AT102" s="20"/>
      <c r="AU102" s="20"/>
      <c r="AV102" s="20"/>
      <c r="AW102" s="20"/>
      <c r="AX102" s="20"/>
      <c r="AY102" s="20"/>
      <c r="AZ102" s="20"/>
      <c r="BA102" s="20"/>
      <c r="BB102" s="20"/>
      <c r="BC102" s="20"/>
      <c r="BD102" s="20"/>
      <c r="BE102" s="20"/>
      <c r="BF102" s="20"/>
      <c r="BG102" s="20"/>
      <c r="BH102" s="20"/>
      <c r="BI102" s="20"/>
      <c r="BJ102" s="20"/>
      <c r="BK102" s="20"/>
      <c r="BL102" s="20"/>
      <c r="BM102" s="20"/>
      <c r="BN102" s="20"/>
      <c r="BO102" s="20"/>
      <c r="BP102" s="20"/>
      <c r="BQ102" s="20"/>
      <c r="BR102" s="20"/>
      <c r="BS102" s="20"/>
      <c r="BT102" s="20"/>
      <c r="BU102" s="20"/>
      <c r="BV102" s="20"/>
      <c r="BW102" s="20"/>
      <c r="BX102" s="20"/>
      <c r="BY102" s="20"/>
      <c r="BZ102" s="20"/>
      <c r="CA102" s="20"/>
      <c r="CB102" s="20"/>
      <c r="CC102" s="20"/>
      <c r="CD102" s="20"/>
      <c r="CE102" s="20"/>
      <c r="CF102" s="20"/>
      <c r="CG102" s="20"/>
      <c r="CH102" s="20"/>
      <c r="CI102" s="20"/>
      <c r="CJ102" s="20"/>
      <c r="CK102" s="20"/>
      <c r="CL102" s="20"/>
      <c r="CM102" s="20"/>
      <c r="CN102" s="20"/>
      <c r="CO102" s="20"/>
      <c r="CP102" s="20"/>
      <c r="CQ102" s="20"/>
      <c r="CR102" s="20"/>
      <c r="CS102" s="20"/>
    </row>
    <row r="103" s="8" customFormat="1" spans="1:97">
      <c r="A103" s="20"/>
      <c r="B103" s="15"/>
      <c r="C103" s="24"/>
      <c r="D103" s="17"/>
      <c r="E103" s="17"/>
      <c r="F103" s="17"/>
      <c r="G103" s="17"/>
      <c r="H103" s="17"/>
      <c r="I103" s="21"/>
      <c r="J103" s="21"/>
      <c r="K103" s="24"/>
      <c r="L103" s="24"/>
      <c r="M103" s="24"/>
      <c r="N103" s="24"/>
      <c r="O103" s="24"/>
      <c r="P103" s="24"/>
      <c r="Q103" s="24"/>
      <c r="R103" s="24"/>
      <c r="S103" s="24"/>
      <c r="T103" s="24"/>
      <c r="U103" s="24"/>
      <c r="V103" s="24"/>
      <c r="W103" s="24"/>
      <c r="X103" s="24"/>
      <c r="Y103" s="24"/>
      <c r="Z103" s="24"/>
      <c r="AA103" s="24"/>
      <c r="AB103" s="24"/>
      <c r="AC103" s="24"/>
      <c r="AD103" s="24"/>
      <c r="AE103" s="24"/>
      <c r="AF103" s="24"/>
      <c r="AG103" s="24"/>
      <c r="AH103" s="24"/>
      <c r="AI103" s="24"/>
      <c r="AJ103" s="20"/>
      <c r="AK103" s="20"/>
      <c r="AL103" s="20"/>
      <c r="AM103" s="20"/>
      <c r="AN103" s="20"/>
      <c r="AO103" s="20"/>
      <c r="AP103" s="20"/>
      <c r="AQ103" s="20"/>
      <c r="AR103" s="20"/>
      <c r="AS103" s="20"/>
      <c r="AT103" s="20"/>
      <c r="AU103" s="20"/>
      <c r="AV103" s="20"/>
      <c r="AW103" s="20"/>
      <c r="AX103" s="20"/>
      <c r="AY103" s="20"/>
      <c r="AZ103" s="20"/>
      <c r="BA103" s="20"/>
      <c r="BB103" s="20"/>
      <c r="BC103" s="20"/>
      <c r="BD103" s="20"/>
      <c r="BE103" s="20"/>
      <c r="BF103" s="20"/>
      <c r="BG103" s="20"/>
      <c r="BH103" s="20"/>
      <c r="BI103" s="20"/>
      <c r="BJ103" s="20"/>
      <c r="BK103" s="20"/>
      <c r="BL103" s="20"/>
      <c r="BM103" s="20"/>
      <c r="BN103" s="20"/>
      <c r="BO103" s="20"/>
      <c r="BP103" s="20"/>
      <c r="BQ103" s="20"/>
      <c r="BR103" s="20"/>
      <c r="BS103" s="20"/>
      <c r="BT103" s="20"/>
      <c r="BU103" s="20"/>
      <c r="BV103" s="20"/>
      <c r="BW103" s="20"/>
      <c r="BX103" s="20"/>
      <c r="BY103" s="20"/>
      <c r="BZ103" s="20"/>
      <c r="CA103" s="20"/>
      <c r="CB103" s="20"/>
      <c r="CC103" s="20"/>
      <c r="CD103" s="20"/>
      <c r="CE103" s="20"/>
      <c r="CF103" s="20"/>
      <c r="CG103" s="20"/>
      <c r="CH103" s="20"/>
      <c r="CI103" s="20"/>
      <c r="CJ103" s="20"/>
      <c r="CK103" s="20"/>
      <c r="CL103" s="20"/>
      <c r="CM103" s="20"/>
      <c r="CN103" s="20"/>
      <c r="CO103" s="20"/>
      <c r="CP103" s="20"/>
      <c r="CQ103" s="20"/>
      <c r="CR103" s="20"/>
      <c r="CS103" s="20"/>
    </row>
    <row r="104" s="8" customFormat="1" spans="1:97">
      <c r="A104" s="20"/>
      <c r="B104" s="15"/>
      <c r="C104" s="24"/>
      <c r="D104" s="18" t="s">
        <v>27</v>
      </c>
      <c r="E104" s="18" t="s">
        <v>47</v>
      </c>
      <c r="F104" s="18" t="s">
        <v>35</v>
      </c>
      <c r="G104" s="18" t="s">
        <v>50</v>
      </c>
      <c r="H104" s="18" t="s">
        <v>31</v>
      </c>
      <c r="I104" s="22" t="s">
        <v>31</v>
      </c>
      <c r="J104" s="22" t="s">
        <v>54</v>
      </c>
      <c r="K104" s="24"/>
      <c r="L104" s="24"/>
      <c r="M104" s="24"/>
      <c r="N104" s="24"/>
      <c r="O104" s="24"/>
      <c r="P104" s="24"/>
      <c r="Q104" s="24"/>
      <c r="R104" s="24"/>
      <c r="S104" s="24"/>
      <c r="T104" s="24"/>
      <c r="U104" s="24"/>
      <c r="V104" s="24"/>
      <c r="W104" s="24"/>
      <c r="X104" s="24"/>
      <c r="Y104" s="24"/>
      <c r="Z104" s="24"/>
      <c r="AA104" s="24"/>
      <c r="AB104" s="24"/>
      <c r="AC104" s="24"/>
      <c r="AD104" s="24"/>
      <c r="AE104" s="24"/>
      <c r="AF104" s="24"/>
      <c r="AG104" s="24"/>
      <c r="AH104" s="24"/>
      <c r="AI104" s="24"/>
      <c r="AJ104" s="20"/>
      <c r="AK104" s="20"/>
      <c r="AL104" s="20"/>
      <c r="AM104" s="20"/>
      <c r="AN104" s="20"/>
      <c r="AO104" s="20"/>
      <c r="AP104" s="20"/>
      <c r="AQ104" s="20"/>
      <c r="AR104" s="20"/>
      <c r="AS104" s="20"/>
      <c r="AT104" s="20"/>
      <c r="AU104" s="20"/>
      <c r="AV104" s="20"/>
      <c r="AW104" s="20"/>
      <c r="AX104" s="20"/>
      <c r="AY104" s="20"/>
      <c r="AZ104" s="20"/>
      <c r="BA104" s="20"/>
      <c r="BB104" s="20"/>
      <c r="BC104" s="20"/>
      <c r="BD104" s="20"/>
      <c r="BE104" s="20"/>
      <c r="BF104" s="20"/>
      <c r="BG104" s="20"/>
      <c r="BH104" s="20"/>
      <c r="BI104" s="20"/>
      <c r="BJ104" s="20"/>
      <c r="BK104" s="20"/>
      <c r="BL104" s="20"/>
      <c r="BM104" s="20"/>
      <c r="BN104" s="20"/>
      <c r="BO104" s="20"/>
      <c r="BP104" s="20"/>
      <c r="BQ104" s="20"/>
      <c r="BR104" s="20"/>
      <c r="BS104" s="20"/>
      <c r="BT104" s="20"/>
      <c r="BU104" s="20"/>
      <c r="BV104" s="20"/>
      <c r="BW104" s="20"/>
      <c r="BX104" s="20"/>
      <c r="BY104" s="20"/>
      <c r="BZ104" s="20"/>
      <c r="CA104" s="20"/>
      <c r="CB104" s="20"/>
      <c r="CC104" s="20"/>
      <c r="CD104" s="20"/>
      <c r="CE104" s="20"/>
      <c r="CF104" s="20"/>
      <c r="CG104" s="20"/>
      <c r="CH104" s="20"/>
      <c r="CI104" s="20"/>
      <c r="CJ104" s="20"/>
      <c r="CK104" s="20"/>
      <c r="CL104" s="20"/>
      <c r="CM104" s="20"/>
      <c r="CN104" s="20"/>
      <c r="CO104" s="20"/>
      <c r="CP104" s="20"/>
      <c r="CQ104" s="20"/>
      <c r="CR104" s="20"/>
      <c r="CS104" s="20"/>
    </row>
    <row r="105" s="8" customFormat="1" spans="1:97">
      <c r="A105" s="20"/>
      <c r="B105" s="15"/>
      <c r="C105" s="24"/>
      <c r="D105" s="19" t="s">
        <v>252</v>
      </c>
      <c r="E105" s="19" t="s">
        <v>253</v>
      </c>
      <c r="F105" s="19" t="s">
        <v>254</v>
      </c>
      <c r="G105" s="19" t="s">
        <v>255</v>
      </c>
      <c r="H105" s="19" t="s">
        <v>256</v>
      </c>
      <c r="I105" s="23" t="s">
        <v>257</v>
      </c>
      <c r="J105" s="23" t="s">
        <v>258</v>
      </c>
      <c r="K105" s="24"/>
      <c r="L105" s="24"/>
      <c r="M105" s="24"/>
      <c r="N105" s="24"/>
      <c r="O105" s="24"/>
      <c r="P105" s="24"/>
      <c r="Q105" s="24"/>
      <c r="R105" s="24"/>
      <c r="S105" s="24"/>
      <c r="T105" s="24"/>
      <c r="U105" s="24"/>
      <c r="V105" s="24"/>
      <c r="W105" s="24"/>
      <c r="X105" s="24"/>
      <c r="Y105" s="24"/>
      <c r="Z105" s="24"/>
      <c r="AA105" s="24"/>
      <c r="AB105" s="24"/>
      <c r="AC105" s="24"/>
      <c r="AD105" s="24"/>
      <c r="AE105" s="24"/>
      <c r="AF105" s="24"/>
      <c r="AG105" s="24"/>
      <c r="AH105" s="24"/>
      <c r="AI105" s="24"/>
      <c r="AJ105" s="20"/>
      <c r="AK105" s="20"/>
      <c r="AL105" s="20"/>
      <c r="AM105" s="20"/>
      <c r="AN105" s="20"/>
      <c r="AO105" s="20"/>
      <c r="AP105" s="20"/>
      <c r="AQ105" s="20"/>
      <c r="AR105" s="20"/>
      <c r="AS105" s="20"/>
      <c r="AT105" s="20"/>
      <c r="AU105" s="20"/>
      <c r="AV105" s="20"/>
      <c r="AW105" s="20"/>
      <c r="AX105" s="20"/>
      <c r="AY105" s="20"/>
      <c r="AZ105" s="20"/>
      <c r="BA105" s="20"/>
      <c r="BB105" s="20"/>
      <c r="BC105" s="20"/>
      <c r="BD105" s="20"/>
      <c r="BE105" s="20"/>
      <c r="BF105" s="20"/>
      <c r="BG105" s="20"/>
      <c r="BH105" s="20"/>
      <c r="BI105" s="20"/>
      <c r="BJ105" s="20"/>
      <c r="BK105" s="20"/>
      <c r="BL105" s="20"/>
      <c r="BM105" s="20"/>
      <c r="BN105" s="20"/>
      <c r="BO105" s="20"/>
      <c r="BP105" s="20"/>
      <c r="BQ105" s="20"/>
      <c r="BR105" s="20"/>
      <c r="BS105" s="20"/>
      <c r="BT105" s="20"/>
      <c r="BU105" s="20"/>
      <c r="BV105" s="20"/>
      <c r="BW105" s="20"/>
      <c r="BX105" s="20"/>
      <c r="BY105" s="20"/>
      <c r="BZ105" s="20"/>
      <c r="CA105" s="20"/>
      <c r="CB105" s="20"/>
      <c r="CC105" s="20"/>
      <c r="CD105" s="20"/>
      <c r="CE105" s="20"/>
      <c r="CF105" s="20"/>
      <c r="CG105" s="20"/>
      <c r="CH105" s="20"/>
      <c r="CI105" s="20"/>
      <c r="CJ105" s="20"/>
      <c r="CK105" s="20"/>
      <c r="CL105" s="20"/>
      <c r="CM105" s="20"/>
      <c r="CN105" s="20"/>
      <c r="CO105" s="20"/>
      <c r="CP105" s="20"/>
      <c r="CQ105" s="20"/>
      <c r="CR105" s="20"/>
      <c r="CS105" s="20"/>
    </row>
    <row r="106" s="8" customFormat="1" spans="1:97">
      <c r="A106" s="20"/>
      <c r="B106" s="15"/>
      <c r="C106" s="24"/>
      <c r="D106" s="18"/>
      <c r="E106" s="18"/>
      <c r="F106" s="18"/>
      <c r="G106" s="18"/>
      <c r="H106" s="18"/>
      <c r="I106" s="22"/>
      <c r="J106" s="22"/>
      <c r="K106" s="24"/>
      <c r="L106" s="24"/>
      <c r="M106" s="24"/>
      <c r="N106" s="24"/>
      <c r="O106" s="24"/>
      <c r="P106" s="24"/>
      <c r="Q106" s="24"/>
      <c r="R106" s="24"/>
      <c r="S106" s="24"/>
      <c r="T106" s="24"/>
      <c r="U106" s="24"/>
      <c r="V106" s="24"/>
      <c r="W106" s="24"/>
      <c r="X106" s="24"/>
      <c r="Y106" s="24"/>
      <c r="Z106" s="24"/>
      <c r="AA106" s="24"/>
      <c r="AB106" s="24"/>
      <c r="AC106" s="24"/>
      <c r="AD106" s="24"/>
      <c r="AE106" s="24"/>
      <c r="AF106" s="24"/>
      <c r="AG106" s="24"/>
      <c r="AH106" s="24"/>
      <c r="AI106" s="24"/>
      <c r="AJ106" s="20"/>
      <c r="AK106" s="20"/>
      <c r="AL106" s="20"/>
      <c r="AM106" s="20"/>
      <c r="AN106" s="20"/>
      <c r="AO106" s="20"/>
      <c r="AP106" s="20"/>
      <c r="AQ106" s="20"/>
      <c r="AR106" s="20"/>
      <c r="AS106" s="20"/>
      <c r="AT106" s="20"/>
      <c r="AU106" s="20"/>
      <c r="AV106" s="20"/>
      <c r="AW106" s="20"/>
      <c r="AX106" s="20"/>
      <c r="AY106" s="20"/>
      <c r="AZ106" s="20"/>
      <c r="BA106" s="20"/>
      <c r="BB106" s="20"/>
      <c r="BC106" s="20"/>
      <c r="BD106" s="20"/>
      <c r="BE106" s="20"/>
      <c r="BF106" s="20"/>
      <c r="BG106" s="20"/>
      <c r="BH106" s="20"/>
      <c r="BI106" s="20"/>
      <c r="BJ106" s="20"/>
      <c r="BK106" s="20"/>
      <c r="BL106" s="20"/>
      <c r="BM106" s="20"/>
      <c r="BN106" s="20"/>
      <c r="BO106" s="20"/>
      <c r="BP106" s="20"/>
      <c r="BQ106" s="20"/>
      <c r="BR106" s="20"/>
      <c r="BS106" s="20"/>
      <c r="BT106" s="20"/>
      <c r="BU106" s="20"/>
      <c r="BV106" s="20"/>
      <c r="BW106" s="20"/>
      <c r="BX106" s="20"/>
      <c r="BY106" s="20"/>
      <c r="BZ106" s="20"/>
      <c r="CA106" s="20"/>
      <c r="CB106" s="20"/>
      <c r="CC106" s="20"/>
      <c r="CD106" s="20"/>
      <c r="CE106" s="20"/>
      <c r="CF106" s="20"/>
      <c r="CG106" s="20"/>
      <c r="CH106" s="20"/>
      <c r="CI106" s="20"/>
      <c r="CJ106" s="20"/>
      <c r="CK106" s="20"/>
      <c r="CL106" s="20"/>
      <c r="CM106" s="20"/>
      <c r="CN106" s="20"/>
      <c r="CO106" s="20"/>
      <c r="CP106" s="20"/>
      <c r="CQ106" s="20"/>
      <c r="CR106" s="20"/>
      <c r="CS106" s="20"/>
    </row>
    <row r="107" s="8" customFormat="1" spans="1:97">
      <c r="A107" s="20"/>
      <c r="B107" s="15"/>
      <c r="C107" s="24"/>
      <c r="D107" s="17"/>
      <c r="E107" s="17"/>
      <c r="F107" s="17"/>
      <c r="G107" s="17"/>
      <c r="H107" s="17"/>
      <c r="I107" s="21"/>
      <c r="J107" s="21"/>
      <c r="K107" s="24"/>
      <c r="L107" s="24"/>
      <c r="M107" s="24"/>
      <c r="N107" s="24"/>
      <c r="O107" s="24"/>
      <c r="P107" s="24"/>
      <c r="Q107" s="24"/>
      <c r="R107" s="24"/>
      <c r="S107" s="24"/>
      <c r="T107" s="24"/>
      <c r="U107" s="24"/>
      <c r="V107" s="24"/>
      <c r="W107" s="24"/>
      <c r="X107" s="24"/>
      <c r="Y107" s="24"/>
      <c r="Z107" s="24"/>
      <c r="AA107" s="24"/>
      <c r="AB107" s="24"/>
      <c r="AC107" s="24"/>
      <c r="AD107" s="24"/>
      <c r="AE107" s="24"/>
      <c r="AF107" s="24"/>
      <c r="AG107" s="24"/>
      <c r="AH107" s="24"/>
      <c r="AI107" s="24"/>
      <c r="AJ107" s="20"/>
      <c r="AK107" s="20"/>
      <c r="AL107" s="20"/>
      <c r="AM107" s="20"/>
      <c r="AN107" s="20"/>
      <c r="AO107" s="20"/>
      <c r="AP107" s="20"/>
      <c r="AQ107" s="20"/>
      <c r="AR107" s="20"/>
      <c r="AS107" s="20"/>
      <c r="AT107" s="20"/>
      <c r="AU107" s="20"/>
      <c r="AV107" s="20"/>
      <c r="AW107" s="20"/>
      <c r="AX107" s="20"/>
      <c r="AY107" s="20"/>
      <c r="AZ107" s="20"/>
      <c r="BA107" s="20"/>
      <c r="BB107" s="20"/>
      <c r="BC107" s="20"/>
      <c r="BD107" s="20"/>
      <c r="BE107" s="20"/>
      <c r="BF107" s="20"/>
      <c r="BG107" s="20"/>
      <c r="BH107" s="20"/>
      <c r="BI107" s="20"/>
      <c r="BJ107" s="20"/>
      <c r="BK107" s="20"/>
      <c r="BL107" s="20"/>
      <c r="BM107" s="20"/>
      <c r="BN107" s="20"/>
      <c r="BO107" s="20"/>
      <c r="BP107" s="20"/>
      <c r="BQ107" s="20"/>
      <c r="BR107" s="20"/>
      <c r="BS107" s="20"/>
      <c r="BT107" s="20"/>
      <c r="BU107" s="20"/>
      <c r="BV107" s="20"/>
      <c r="BW107" s="20"/>
      <c r="BX107" s="20"/>
      <c r="BY107" s="20"/>
      <c r="BZ107" s="20"/>
      <c r="CA107" s="20"/>
      <c r="CB107" s="20"/>
      <c r="CC107" s="20"/>
      <c r="CD107" s="20"/>
      <c r="CE107" s="20"/>
      <c r="CF107" s="20"/>
      <c r="CG107" s="20"/>
      <c r="CH107" s="20"/>
      <c r="CI107" s="20"/>
      <c r="CJ107" s="20"/>
      <c r="CK107" s="20"/>
      <c r="CL107" s="20"/>
      <c r="CM107" s="20"/>
      <c r="CN107" s="20"/>
      <c r="CO107" s="20"/>
      <c r="CP107" s="20"/>
      <c r="CQ107" s="20"/>
      <c r="CR107" s="20"/>
      <c r="CS107" s="20"/>
    </row>
    <row r="108" s="8" customFormat="1" spans="1:97">
      <c r="A108" s="20"/>
      <c r="B108" s="15"/>
      <c r="C108" s="24"/>
      <c r="D108" s="18" t="s">
        <v>31</v>
      </c>
      <c r="E108" s="18" t="s">
        <v>56</v>
      </c>
      <c r="F108" s="18" t="s">
        <v>48</v>
      </c>
      <c r="G108" s="18" t="s">
        <v>35</v>
      </c>
      <c r="H108" s="18" t="s">
        <v>45</v>
      </c>
      <c r="I108" s="22" t="s">
        <v>44</v>
      </c>
      <c r="J108" s="22" t="s">
        <v>55</v>
      </c>
      <c r="K108" s="24"/>
      <c r="L108" s="24"/>
      <c r="M108" s="24"/>
      <c r="N108" s="24"/>
      <c r="O108" s="24"/>
      <c r="P108" s="24"/>
      <c r="Q108" s="24"/>
      <c r="R108" s="24"/>
      <c r="S108" s="24"/>
      <c r="T108" s="24"/>
      <c r="U108" s="24"/>
      <c r="V108" s="24"/>
      <c r="W108" s="24"/>
      <c r="X108" s="24"/>
      <c r="Y108" s="24"/>
      <c r="Z108" s="24"/>
      <c r="AA108" s="24"/>
      <c r="AB108" s="24"/>
      <c r="AC108" s="24"/>
      <c r="AD108" s="24"/>
      <c r="AE108" s="24"/>
      <c r="AF108" s="24"/>
      <c r="AG108" s="24"/>
      <c r="AH108" s="24"/>
      <c r="AI108" s="24"/>
      <c r="AJ108" s="20"/>
      <c r="AK108" s="20"/>
      <c r="AL108" s="20"/>
      <c r="AM108" s="20"/>
      <c r="AN108" s="20"/>
      <c r="AO108" s="20"/>
      <c r="AP108" s="20"/>
      <c r="AQ108" s="20"/>
      <c r="AR108" s="20"/>
      <c r="AS108" s="20"/>
      <c r="AT108" s="20"/>
      <c r="AU108" s="20"/>
      <c r="AV108" s="20"/>
      <c r="AW108" s="20"/>
      <c r="AX108" s="20"/>
      <c r="AY108" s="20"/>
      <c r="AZ108" s="20"/>
      <c r="BA108" s="20"/>
      <c r="BB108" s="20"/>
      <c r="BC108" s="20"/>
      <c r="BD108" s="20"/>
      <c r="BE108" s="20"/>
      <c r="BF108" s="20"/>
      <c r="BG108" s="20"/>
      <c r="BH108" s="20"/>
      <c r="BI108" s="20"/>
      <c r="BJ108" s="20"/>
      <c r="BK108" s="20"/>
      <c r="BL108" s="20"/>
      <c r="BM108" s="20"/>
      <c r="BN108" s="20"/>
      <c r="BO108" s="20"/>
      <c r="BP108" s="20"/>
      <c r="BQ108" s="20"/>
      <c r="BR108" s="20"/>
      <c r="BS108" s="20"/>
      <c r="BT108" s="20"/>
      <c r="BU108" s="20"/>
      <c r="BV108" s="20"/>
      <c r="BW108" s="20"/>
      <c r="BX108" s="20"/>
      <c r="BY108" s="20"/>
      <c r="BZ108" s="20"/>
      <c r="CA108" s="20"/>
      <c r="CB108" s="20"/>
      <c r="CC108" s="20"/>
      <c r="CD108" s="20"/>
      <c r="CE108" s="20"/>
      <c r="CF108" s="20"/>
      <c r="CG108" s="20"/>
      <c r="CH108" s="20"/>
      <c r="CI108" s="20"/>
      <c r="CJ108" s="20"/>
      <c r="CK108" s="20"/>
      <c r="CL108" s="20"/>
      <c r="CM108" s="20"/>
      <c r="CN108" s="20"/>
      <c r="CO108" s="20"/>
      <c r="CP108" s="20"/>
      <c r="CQ108" s="20"/>
      <c r="CR108" s="20"/>
      <c r="CS108" s="20"/>
    </row>
    <row r="109" s="8" customFormat="1" spans="1:97">
      <c r="A109" s="20"/>
      <c r="B109" s="15"/>
      <c r="C109" s="24"/>
      <c r="D109" s="19" t="s">
        <v>259</v>
      </c>
      <c r="E109" s="19" t="s">
        <v>260</v>
      </c>
      <c r="F109" s="19" t="s">
        <v>261</v>
      </c>
      <c r="G109" s="19" t="s">
        <v>262</v>
      </c>
      <c r="H109" s="19" t="s">
        <v>263</v>
      </c>
      <c r="I109" s="23" t="s">
        <v>264</v>
      </c>
      <c r="J109" s="23" t="s">
        <v>265</v>
      </c>
      <c r="K109" s="24"/>
      <c r="L109" s="24"/>
      <c r="M109" s="24"/>
      <c r="N109" s="24"/>
      <c r="O109" s="24"/>
      <c r="P109" s="24"/>
      <c r="Q109" s="24"/>
      <c r="R109" s="24"/>
      <c r="S109" s="24"/>
      <c r="T109" s="24"/>
      <c r="U109" s="24"/>
      <c r="V109" s="24"/>
      <c r="W109" s="24"/>
      <c r="X109" s="24"/>
      <c r="Y109" s="24"/>
      <c r="Z109" s="24"/>
      <c r="AA109" s="24"/>
      <c r="AB109" s="24"/>
      <c r="AC109" s="24"/>
      <c r="AD109" s="24"/>
      <c r="AE109" s="24"/>
      <c r="AF109" s="24"/>
      <c r="AG109" s="24"/>
      <c r="AH109" s="24"/>
      <c r="AI109" s="24"/>
      <c r="AJ109" s="20"/>
      <c r="AK109" s="20"/>
      <c r="AL109" s="20"/>
      <c r="AM109" s="20"/>
      <c r="AN109" s="20"/>
      <c r="AO109" s="20"/>
      <c r="AP109" s="20"/>
      <c r="AQ109" s="20"/>
      <c r="AR109" s="20"/>
      <c r="AS109" s="20"/>
      <c r="AT109" s="20"/>
      <c r="AU109" s="20"/>
      <c r="AV109" s="20"/>
      <c r="AW109" s="20"/>
      <c r="AX109" s="20"/>
      <c r="AY109" s="20"/>
      <c r="AZ109" s="20"/>
      <c r="BA109" s="20"/>
      <c r="BB109" s="20"/>
      <c r="BC109" s="20"/>
      <c r="BD109" s="20"/>
      <c r="BE109" s="20"/>
      <c r="BF109" s="20"/>
      <c r="BG109" s="20"/>
      <c r="BH109" s="20"/>
      <c r="BI109" s="20"/>
      <c r="BJ109" s="20"/>
      <c r="BK109" s="20"/>
      <c r="BL109" s="20"/>
      <c r="BM109" s="20"/>
      <c r="BN109" s="20"/>
      <c r="BO109" s="20"/>
      <c r="BP109" s="20"/>
      <c r="BQ109" s="20"/>
      <c r="BR109" s="20"/>
      <c r="BS109" s="20"/>
      <c r="BT109" s="20"/>
      <c r="BU109" s="20"/>
      <c r="BV109" s="20"/>
      <c r="BW109" s="20"/>
      <c r="BX109" s="20"/>
      <c r="BY109" s="20"/>
      <c r="BZ109" s="20"/>
      <c r="CA109" s="20"/>
      <c r="CB109" s="20"/>
      <c r="CC109" s="20"/>
      <c r="CD109" s="20"/>
      <c r="CE109" s="20"/>
      <c r="CF109" s="20"/>
      <c r="CG109" s="20"/>
      <c r="CH109" s="20"/>
      <c r="CI109" s="20"/>
      <c r="CJ109" s="20"/>
      <c r="CK109" s="20"/>
      <c r="CL109" s="20"/>
      <c r="CM109" s="20"/>
      <c r="CN109" s="20"/>
      <c r="CO109" s="20"/>
      <c r="CP109" s="20"/>
      <c r="CQ109" s="20"/>
      <c r="CR109" s="20"/>
      <c r="CS109" s="20"/>
    </row>
    <row r="110" s="8" customFormat="1" spans="1:97">
      <c r="A110" s="20"/>
      <c r="B110" s="15"/>
      <c r="C110" s="24"/>
      <c r="D110" s="18"/>
      <c r="E110" s="18"/>
      <c r="F110" s="18"/>
      <c r="G110" s="18"/>
      <c r="H110" s="18"/>
      <c r="I110" s="22"/>
      <c r="J110" s="22"/>
      <c r="K110" s="24"/>
      <c r="L110" s="24"/>
      <c r="M110" s="24"/>
      <c r="N110" s="24"/>
      <c r="O110" s="24"/>
      <c r="P110" s="24"/>
      <c r="Q110" s="24"/>
      <c r="R110" s="24"/>
      <c r="S110" s="24"/>
      <c r="T110" s="24"/>
      <c r="U110" s="24"/>
      <c r="V110" s="24"/>
      <c r="W110" s="24"/>
      <c r="X110" s="24"/>
      <c r="Y110" s="24"/>
      <c r="Z110" s="24"/>
      <c r="AA110" s="24"/>
      <c r="AB110" s="24"/>
      <c r="AC110" s="24"/>
      <c r="AD110" s="24"/>
      <c r="AE110" s="24"/>
      <c r="AF110" s="24"/>
      <c r="AG110" s="24"/>
      <c r="AH110" s="24"/>
      <c r="AI110" s="24"/>
      <c r="AJ110" s="20"/>
      <c r="AK110" s="20"/>
      <c r="AL110" s="20"/>
      <c r="AM110" s="20"/>
      <c r="AN110" s="20"/>
      <c r="AO110" s="20"/>
      <c r="AP110" s="20"/>
      <c r="AQ110" s="20"/>
      <c r="AR110" s="20"/>
      <c r="AS110" s="20"/>
      <c r="AT110" s="20"/>
      <c r="AU110" s="20"/>
      <c r="AV110" s="20"/>
      <c r="AW110" s="20"/>
      <c r="AX110" s="20"/>
      <c r="AY110" s="20"/>
      <c r="AZ110" s="20"/>
      <c r="BA110" s="20"/>
      <c r="BB110" s="20"/>
      <c r="BC110" s="20"/>
      <c r="BD110" s="20"/>
      <c r="BE110" s="20"/>
      <c r="BF110" s="20"/>
      <c r="BG110" s="20"/>
      <c r="BH110" s="20"/>
      <c r="BI110" s="20"/>
      <c r="BJ110" s="20"/>
      <c r="BK110" s="20"/>
      <c r="BL110" s="20"/>
      <c r="BM110" s="20"/>
      <c r="BN110" s="20"/>
      <c r="BO110" s="20"/>
      <c r="BP110" s="20"/>
      <c r="BQ110" s="20"/>
      <c r="BR110" s="20"/>
      <c r="BS110" s="20"/>
      <c r="BT110" s="20"/>
      <c r="BU110" s="20"/>
      <c r="BV110" s="20"/>
      <c r="BW110" s="20"/>
      <c r="BX110" s="20"/>
      <c r="BY110" s="20"/>
      <c r="BZ110" s="20"/>
      <c r="CA110" s="20"/>
      <c r="CB110" s="20"/>
      <c r="CC110" s="20"/>
      <c r="CD110" s="20"/>
      <c r="CE110" s="20"/>
      <c r="CF110" s="20"/>
      <c r="CG110" s="20"/>
      <c r="CH110" s="20"/>
      <c r="CI110" s="20"/>
      <c r="CJ110" s="20"/>
      <c r="CK110" s="20"/>
      <c r="CL110" s="20"/>
      <c r="CM110" s="20"/>
      <c r="CN110" s="20"/>
      <c r="CO110" s="20"/>
      <c r="CP110" s="20"/>
      <c r="CQ110" s="20"/>
      <c r="CR110" s="20"/>
      <c r="CS110" s="20"/>
    </row>
    <row r="111" s="8" customFormat="1" spans="1:97">
      <c r="A111" s="20"/>
      <c r="B111" s="15"/>
      <c r="C111" s="24"/>
      <c r="D111" s="17"/>
      <c r="E111" s="17"/>
      <c r="F111" s="17"/>
      <c r="G111" s="17"/>
      <c r="H111" s="17"/>
      <c r="I111" s="21"/>
      <c r="J111" s="21"/>
      <c r="K111" s="24"/>
      <c r="L111" s="24"/>
      <c r="M111" s="24"/>
      <c r="N111" s="24"/>
      <c r="O111" s="24"/>
      <c r="P111" s="24"/>
      <c r="Q111" s="24"/>
      <c r="R111" s="24"/>
      <c r="S111" s="24"/>
      <c r="T111" s="24"/>
      <c r="U111" s="24"/>
      <c r="V111" s="24"/>
      <c r="W111" s="24"/>
      <c r="X111" s="24"/>
      <c r="Y111" s="24"/>
      <c r="Z111" s="24"/>
      <c r="AA111" s="24"/>
      <c r="AB111" s="24"/>
      <c r="AC111" s="24"/>
      <c r="AD111" s="24"/>
      <c r="AE111" s="24"/>
      <c r="AF111" s="24"/>
      <c r="AG111" s="24"/>
      <c r="AH111" s="24"/>
      <c r="AI111" s="24"/>
      <c r="AJ111" s="20"/>
      <c r="AK111" s="20"/>
      <c r="AL111" s="20"/>
      <c r="AM111" s="20"/>
      <c r="AN111" s="20"/>
      <c r="AO111" s="20"/>
      <c r="AP111" s="20"/>
      <c r="AQ111" s="20"/>
      <c r="AR111" s="20"/>
      <c r="AS111" s="20"/>
      <c r="AT111" s="20"/>
      <c r="AU111" s="20"/>
      <c r="AV111" s="20"/>
      <c r="AW111" s="20"/>
      <c r="AX111" s="20"/>
      <c r="AY111" s="20"/>
      <c r="AZ111" s="20"/>
      <c r="BA111" s="20"/>
      <c r="BB111" s="20"/>
      <c r="BC111" s="20"/>
      <c r="BD111" s="20"/>
      <c r="BE111" s="20"/>
      <c r="BF111" s="20"/>
      <c r="BG111" s="20"/>
      <c r="BH111" s="20"/>
      <c r="BI111" s="20"/>
      <c r="BJ111" s="20"/>
      <c r="BK111" s="20"/>
      <c r="BL111" s="20"/>
      <c r="BM111" s="20"/>
      <c r="BN111" s="20"/>
      <c r="BO111" s="20"/>
      <c r="BP111" s="20"/>
      <c r="BQ111" s="20"/>
      <c r="BR111" s="20"/>
      <c r="BS111" s="20"/>
      <c r="BT111" s="20"/>
      <c r="BU111" s="20"/>
      <c r="BV111" s="20"/>
      <c r="BW111" s="20"/>
      <c r="BX111" s="20"/>
      <c r="BY111" s="20"/>
      <c r="BZ111" s="20"/>
      <c r="CA111" s="20"/>
      <c r="CB111" s="20"/>
      <c r="CC111" s="20"/>
      <c r="CD111" s="20"/>
      <c r="CE111" s="20"/>
      <c r="CF111" s="20"/>
      <c r="CG111" s="20"/>
      <c r="CH111" s="20"/>
      <c r="CI111" s="20"/>
      <c r="CJ111" s="20"/>
      <c r="CK111" s="20"/>
      <c r="CL111" s="20"/>
      <c r="CM111" s="20"/>
      <c r="CN111" s="20"/>
      <c r="CO111" s="20"/>
      <c r="CP111" s="20"/>
      <c r="CQ111" s="20"/>
      <c r="CR111" s="20"/>
      <c r="CS111" s="20"/>
    </row>
    <row r="112" s="8" customFormat="1" spans="1:97">
      <c r="A112" s="20"/>
      <c r="B112" s="15"/>
      <c r="C112" s="24"/>
      <c r="D112" s="18" t="s">
        <v>44</v>
      </c>
      <c r="E112" s="18" t="s">
        <v>48</v>
      </c>
      <c r="F112" s="18" t="s">
        <v>54</v>
      </c>
      <c r="G112" s="18" t="s">
        <v>49</v>
      </c>
      <c r="H112" s="18" t="s">
        <v>33</v>
      </c>
      <c r="I112" s="22" t="s">
        <v>62</v>
      </c>
      <c r="J112" s="22" t="s">
        <v>61</v>
      </c>
      <c r="K112" s="24"/>
      <c r="L112" s="24"/>
      <c r="M112" s="24"/>
      <c r="N112" s="24"/>
      <c r="O112" s="24"/>
      <c r="P112" s="24"/>
      <c r="Q112" s="24"/>
      <c r="R112" s="24"/>
      <c r="S112" s="24"/>
      <c r="T112" s="24"/>
      <c r="U112" s="24"/>
      <c r="V112" s="24"/>
      <c r="W112" s="24"/>
      <c r="X112" s="24"/>
      <c r="Y112" s="24"/>
      <c r="Z112" s="24"/>
      <c r="AA112" s="24"/>
      <c r="AB112" s="24"/>
      <c r="AC112" s="24"/>
      <c r="AD112" s="24"/>
      <c r="AE112" s="24"/>
      <c r="AF112" s="24"/>
      <c r="AG112" s="24"/>
      <c r="AH112" s="24"/>
      <c r="AI112" s="24"/>
      <c r="AJ112" s="20"/>
      <c r="AK112" s="20"/>
      <c r="AL112" s="20"/>
      <c r="AM112" s="20"/>
      <c r="AN112" s="20"/>
      <c r="AO112" s="20"/>
      <c r="AP112" s="20"/>
      <c r="AQ112" s="20"/>
      <c r="AR112" s="20"/>
      <c r="AS112" s="20"/>
      <c r="AT112" s="20"/>
      <c r="AU112" s="20"/>
      <c r="AV112" s="20"/>
      <c r="AW112" s="20"/>
      <c r="AX112" s="20"/>
      <c r="AY112" s="20"/>
      <c r="AZ112" s="20"/>
      <c r="BA112" s="20"/>
      <c r="BB112" s="20"/>
      <c r="BC112" s="20"/>
      <c r="BD112" s="20"/>
      <c r="BE112" s="20"/>
      <c r="BF112" s="20"/>
      <c r="BG112" s="20"/>
      <c r="BH112" s="20"/>
      <c r="BI112" s="20"/>
      <c r="BJ112" s="20"/>
      <c r="BK112" s="20"/>
      <c r="BL112" s="20"/>
      <c r="BM112" s="20"/>
      <c r="BN112" s="20"/>
      <c r="BO112" s="20"/>
      <c r="BP112" s="20"/>
      <c r="BQ112" s="20"/>
      <c r="BR112" s="20"/>
      <c r="BS112" s="20"/>
      <c r="BT112" s="20"/>
      <c r="BU112" s="20"/>
      <c r="BV112" s="20"/>
      <c r="BW112" s="20"/>
      <c r="BX112" s="20"/>
      <c r="BY112" s="20"/>
      <c r="BZ112" s="20"/>
      <c r="CA112" s="20"/>
      <c r="CB112" s="20"/>
      <c r="CC112" s="20"/>
      <c r="CD112" s="20"/>
      <c r="CE112" s="20"/>
      <c r="CF112" s="20"/>
      <c r="CG112" s="20"/>
      <c r="CH112" s="20"/>
      <c r="CI112" s="20"/>
      <c r="CJ112" s="20"/>
      <c r="CK112" s="20"/>
      <c r="CL112" s="20"/>
      <c r="CM112" s="20"/>
      <c r="CN112" s="20"/>
      <c r="CO112" s="20"/>
      <c r="CP112" s="20"/>
      <c r="CQ112" s="20"/>
      <c r="CR112" s="20"/>
      <c r="CS112" s="20"/>
    </row>
    <row r="113" s="8" customFormat="1" spans="1:97">
      <c r="A113" s="20"/>
      <c r="B113" s="15"/>
      <c r="C113" s="24"/>
      <c r="D113" s="19" t="s">
        <v>266</v>
      </c>
      <c r="E113" s="19" t="s">
        <v>267</v>
      </c>
      <c r="F113" s="19" t="s">
        <v>268</v>
      </c>
      <c r="G113" s="19" t="s">
        <v>269</v>
      </c>
      <c r="H113" s="19" t="s">
        <v>270</v>
      </c>
      <c r="I113" s="23" t="s">
        <v>271</v>
      </c>
      <c r="J113" s="23" t="s">
        <v>272</v>
      </c>
      <c r="K113" s="24"/>
      <c r="L113" s="24"/>
      <c r="M113" s="24"/>
      <c r="N113" s="24"/>
      <c r="O113" s="24"/>
      <c r="P113" s="24"/>
      <c r="Q113" s="24"/>
      <c r="R113" s="24"/>
      <c r="S113" s="24"/>
      <c r="T113" s="24"/>
      <c r="U113" s="24"/>
      <c r="V113" s="24"/>
      <c r="W113" s="24"/>
      <c r="X113" s="24"/>
      <c r="Y113" s="24"/>
      <c r="Z113" s="24"/>
      <c r="AA113" s="24"/>
      <c r="AB113" s="24"/>
      <c r="AC113" s="24"/>
      <c r="AD113" s="24"/>
      <c r="AE113" s="24"/>
      <c r="AF113" s="24"/>
      <c r="AG113" s="24"/>
      <c r="AH113" s="24"/>
      <c r="AI113" s="24"/>
      <c r="AJ113" s="20"/>
      <c r="AK113" s="20"/>
      <c r="AL113" s="20"/>
      <c r="AM113" s="20"/>
      <c r="AN113" s="20"/>
      <c r="AO113" s="20"/>
      <c r="AP113" s="20"/>
      <c r="AQ113" s="20"/>
      <c r="AR113" s="20"/>
      <c r="AS113" s="20"/>
      <c r="AT113" s="20"/>
      <c r="AU113" s="20"/>
      <c r="AV113" s="20"/>
      <c r="AW113" s="20"/>
      <c r="AX113" s="20"/>
      <c r="AY113" s="20"/>
      <c r="AZ113" s="20"/>
      <c r="BA113" s="20"/>
      <c r="BB113" s="20"/>
      <c r="BC113" s="20"/>
      <c r="BD113" s="20"/>
      <c r="BE113" s="20"/>
      <c r="BF113" s="20"/>
      <c r="BG113" s="20"/>
      <c r="BH113" s="20"/>
      <c r="BI113" s="20"/>
      <c r="BJ113" s="20"/>
      <c r="BK113" s="20"/>
      <c r="BL113" s="20"/>
      <c r="BM113" s="20"/>
      <c r="BN113" s="20"/>
      <c r="BO113" s="20"/>
      <c r="BP113" s="20"/>
      <c r="BQ113" s="20"/>
      <c r="BR113" s="20"/>
      <c r="BS113" s="20"/>
      <c r="BT113" s="20"/>
      <c r="BU113" s="20"/>
      <c r="BV113" s="20"/>
      <c r="BW113" s="20"/>
      <c r="BX113" s="20"/>
      <c r="BY113" s="20"/>
      <c r="BZ113" s="20"/>
      <c r="CA113" s="20"/>
      <c r="CB113" s="20"/>
      <c r="CC113" s="20"/>
      <c r="CD113" s="20"/>
      <c r="CE113" s="20"/>
      <c r="CF113" s="20"/>
      <c r="CG113" s="20"/>
      <c r="CH113" s="20"/>
      <c r="CI113" s="20"/>
      <c r="CJ113" s="20"/>
      <c r="CK113" s="20"/>
      <c r="CL113" s="20"/>
      <c r="CM113" s="20"/>
      <c r="CN113" s="20"/>
      <c r="CO113" s="20"/>
      <c r="CP113" s="20"/>
      <c r="CQ113" s="20"/>
      <c r="CR113" s="20"/>
      <c r="CS113" s="20"/>
    </row>
    <row r="114" s="8" customFormat="1" spans="1:97">
      <c r="A114" s="20"/>
      <c r="B114" s="15"/>
      <c r="C114" s="24"/>
      <c r="D114" s="17"/>
      <c r="E114" s="17"/>
      <c r="F114" s="17"/>
      <c r="G114" s="17"/>
      <c r="H114" s="17"/>
      <c r="I114" s="21"/>
      <c r="J114" s="21"/>
      <c r="K114" s="24"/>
      <c r="L114" s="24"/>
      <c r="M114" s="24"/>
      <c r="N114" s="24"/>
      <c r="O114" s="24"/>
      <c r="P114" s="24"/>
      <c r="Q114" s="24"/>
      <c r="R114" s="24"/>
      <c r="S114" s="24"/>
      <c r="T114" s="24"/>
      <c r="U114" s="24"/>
      <c r="V114" s="24"/>
      <c r="W114" s="24"/>
      <c r="X114" s="24"/>
      <c r="Y114" s="24"/>
      <c r="Z114" s="24"/>
      <c r="AA114" s="24"/>
      <c r="AB114" s="24"/>
      <c r="AC114" s="24"/>
      <c r="AD114" s="24"/>
      <c r="AE114" s="24"/>
      <c r="AF114" s="24"/>
      <c r="AG114" s="24"/>
      <c r="AH114" s="24"/>
      <c r="AI114" s="24"/>
      <c r="AJ114" s="20"/>
      <c r="AK114" s="20"/>
      <c r="AL114" s="20"/>
      <c r="AM114" s="20"/>
      <c r="AN114" s="20"/>
      <c r="AO114" s="20"/>
      <c r="AP114" s="20"/>
      <c r="AQ114" s="20"/>
      <c r="AR114" s="20"/>
      <c r="AS114" s="20"/>
      <c r="AT114" s="20"/>
      <c r="AU114" s="20"/>
      <c r="AV114" s="20"/>
      <c r="AW114" s="20"/>
      <c r="AX114" s="20"/>
      <c r="AY114" s="20"/>
      <c r="AZ114" s="20"/>
      <c r="BA114" s="20"/>
      <c r="BB114" s="20"/>
      <c r="BC114" s="20"/>
      <c r="BD114" s="20"/>
      <c r="BE114" s="20"/>
      <c r="BF114" s="20"/>
      <c r="BG114" s="20"/>
      <c r="BH114" s="20"/>
      <c r="BI114" s="20"/>
      <c r="BJ114" s="20"/>
      <c r="BK114" s="20"/>
      <c r="BL114" s="20"/>
      <c r="BM114" s="20"/>
      <c r="BN114" s="20"/>
      <c r="BO114" s="20"/>
      <c r="BP114" s="20"/>
      <c r="BQ114" s="20"/>
      <c r="BR114" s="20"/>
      <c r="BS114" s="20"/>
      <c r="BT114" s="20"/>
      <c r="BU114" s="20"/>
      <c r="BV114" s="20"/>
      <c r="BW114" s="20"/>
      <c r="BX114" s="20"/>
      <c r="BY114" s="20"/>
      <c r="BZ114" s="20"/>
      <c r="CA114" s="20"/>
      <c r="CB114" s="20"/>
      <c r="CC114" s="20"/>
      <c r="CD114" s="20"/>
      <c r="CE114" s="20"/>
      <c r="CF114" s="20"/>
      <c r="CG114" s="20"/>
      <c r="CH114" s="20"/>
      <c r="CI114" s="20"/>
      <c r="CJ114" s="20"/>
      <c r="CK114" s="20"/>
      <c r="CL114" s="20"/>
      <c r="CM114" s="20"/>
      <c r="CN114" s="20"/>
      <c r="CO114" s="20"/>
      <c r="CP114" s="20"/>
      <c r="CQ114" s="20"/>
      <c r="CR114" s="20"/>
      <c r="CS114" s="20"/>
    </row>
    <row r="115" s="8" customFormat="1" spans="1:97">
      <c r="A115" s="20"/>
      <c r="B115" s="15"/>
      <c r="C115" s="24"/>
      <c r="D115" s="18" t="s">
        <v>35</v>
      </c>
      <c r="E115" s="18" t="s">
        <v>54</v>
      </c>
      <c r="F115" s="18" t="s">
        <v>27</v>
      </c>
      <c r="G115" s="18" t="s">
        <v>33</v>
      </c>
      <c r="H115" s="18" t="s">
        <v>47</v>
      </c>
      <c r="I115" s="22" t="s">
        <v>55</v>
      </c>
      <c r="J115" s="22" t="s">
        <v>49</v>
      </c>
      <c r="K115" s="24"/>
      <c r="L115" s="24"/>
      <c r="M115" s="24"/>
      <c r="N115" s="24"/>
      <c r="O115" s="24"/>
      <c r="P115" s="24"/>
      <c r="Q115" s="24"/>
      <c r="R115" s="24"/>
      <c r="S115" s="24"/>
      <c r="T115" s="24"/>
      <c r="U115" s="24"/>
      <c r="V115" s="24"/>
      <c r="W115" s="24"/>
      <c r="X115" s="24"/>
      <c r="Y115" s="24"/>
      <c r="Z115" s="24"/>
      <c r="AA115" s="24"/>
      <c r="AB115" s="24"/>
      <c r="AC115" s="24"/>
      <c r="AD115" s="24"/>
      <c r="AE115" s="24"/>
      <c r="AF115" s="24"/>
      <c r="AG115" s="24"/>
      <c r="AH115" s="24"/>
      <c r="AI115" s="24"/>
      <c r="AJ115" s="20"/>
      <c r="AK115" s="20"/>
      <c r="AL115" s="20"/>
      <c r="AM115" s="20"/>
      <c r="AN115" s="20"/>
      <c r="AO115" s="20"/>
      <c r="AP115" s="20"/>
      <c r="AQ115" s="20"/>
      <c r="AR115" s="20"/>
      <c r="AS115" s="20"/>
      <c r="AT115" s="20"/>
      <c r="AU115" s="20"/>
      <c r="AV115" s="20"/>
      <c r="AW115" s="20"/>
      <c r="AX115" s="20"/>
      <c r="AY115" s="20"/>
      <c r="AZ115" s="20"/>
      <c r="BA115" s="20"/>
      <c r="BB115" s="20"/>
      <c r="BC115" s="20"/>
      <c r="BD115" s="20"/>
      <c r="BE115" s="20"/>
      <c r="BF115" s="20"/>
      <c r="BG115" s="20"/>
      <c r="BH115" s="20"/>
      <c r="BI115" s="20"/>
      <c r="BJ115" s="20"/>
      <c r="BK115" s="20"/>
      <c r="BL115" s="20"/>
      <c r="BM115" s="20"/>
      <c r="BN115" s="20"/>
      <c r="BO115" s="20"/>
      <c r="BP115" s="20"/>
      <c r="BQ115" s="20"/>
      <c r="BR115" s="20"/>
      <c r="BS115" s="20"/>
      <c r="BT115" s="20"/>
      <c r="BU115" s="20"/>
      <c r="BV115" s="20"/>
      <c r="BW115" s="20"/>
      <c r="BX115" s="20"/>
      <c r="BY115" s="20"/>
      <c r="BZ115" s="20"/>
      <c r="CA115" s="20"/>
      <c r="CB115" s="20"/>
      <c r="CC115" s="20"/>
      <c r="CD115" s="20"/>
      <c r="CE115" s="20"/>
      <c r="CF115" s="20"/>
      <c r="CG115" s="20"/>
      <c r="CH115" s="20"/>
      <c r="CI115" s="20"/>
      <c r="CJ115" s="20"/>
      <c r="CK115" s="20"/>
      <c r="CL115" s="20"/>
      <c r="CM115" s="20"/>
      <c r="CN115" s="20"/>
      <c r="CO115" s="20"/>
      <c r="CP115" s="20"/>
      <c r="CQ115" s="20"/>
      <c r="CR115" s="20"/>
      <c r="CS115" s="20"/>
    </row>
    <row r="116" s="8" customFormat="1" spans="1:97">
      <c r="A116" s="20"/>
      <c r="B116" s="15"/>
      <c r="C116" s="24"/>
      <c r="D116" s="19" t="s">
        <v>273</v>
      </c>
      <c r="E116" s="19" t="s">
        <v>274</v>
      </c>
      <c r="F116" s="19" t="s">
        <v>275</v>
      </c>
      <c r="G116" s="19" t="s">
        <v>276</v>
      </c>
      <c r="H116" s="19" t="s">
        <v>277</v>
      </c>
      <c r="I116" s="23" t="s">
        <v>278</v>
      </c>
      <c r="J116" s="23" t="s">
        <v>279</v>
      </c>
      <c r="K116" s="24"/>
      <c r="L116" s="24"/>
      <c r="M116" s="24"/>
      <c r="N116" s="24"/>
      <c r="O116" s="24"/>
      <c r="P116" s="24"/>
      <c r="Q116" s="24"/>
      <c r="R116" s="24"/>
      <c r="S116" s="24"/>
      <c r="T116" s="24"/>
      <c r="U116" s="24"/>
      <c r="V116" s="24"/>
      <c r="W116" s="24"/>
      <c r="X116" s="24"/>
      <c r="Y116" s="24"/>
      <c r="Z116" s="24"/>
      <c r="AA116" s="24"/>
      <c r="AB116" s="24"/>
      <c r="AC116" s="24"/>
      <c r="AD116" s="24"/>
      <c r="AE116" s="24"/>
      <c r="AF116" s="24"/>
      <c r="AG116" s="24"/>
      <c r="AH116" s="24"/>
      <c r="AI116" s="24"/>
      <c r="AJ116" s="20"/>
      <c r="AK116" s="20"/>
      <c r="AL116" s="20"/>
      <c r="AM116" s="20"/>
      <c r="AN116" s="20"/>
      <c r="AO116" s="20"/>
      <c r="AP116" s="20"/>
      <c r="AQ116" s="20"/>
      <c r="AR116" s="20"/>
      <c r="AS116" s="20"/>
      <c r="AT116" s="20"/>
      <c r="AU116" s="20"/>
      <c r="AV116" s="20"/>
      <c r="AW116" s="20"/>
      <c r="AX116" s="20"/>
      <c r="AY116" s="20"/>
      <c r="AZ116" s="20"/>
      <c r="BA116" s="20"/>
      <c r="BB116" s="20"/>
      <c r="BC116" s="20"/>
      <c r="BD116" s="20"/>
      <c r="BE116" s="20"/>
      <c r="BF116" s="20"/>
      <c r="BG116" s="20"/>
      <c r="BH116" s="20"/>
      <c r="BI116" s="20"/>
      <c r="BJ116" s="20"/>
      <c r="BK116" s="20"/>
      <c r="BL116" s="20"/>
      <c r="BM116" s="20"/>
      <c r="BN116" s="20"/>
      <c r="BO116" s="20"/>
      <c r="BP116" s="20"/>
      <c r="BQ116" s="20"/>
      <c r="BR116" s="20"/>
      <c r="BS116" s="20"/>
      <c r="BT116" s="20"/>
      <c r="BU116" s="20"/>
      <c r="BV116" s="20"/>
      <c r="BW116" s="20"/>
      <c r="BX116" s="20"/>
      <c r="BY116" s="20"/>
      <c r="BZ116" s="20"/>
      <c r="CA116" s="20"/>
      <c r="CB116" s="20"/>
      <c r="CC116" s="20"/>
      <c r="CD116" s="20"/>
      <c r="CE116" s="20"/>
      <c r="CF116" s="20"/>
      <c r="CG116" s="20"/>
      <c r="CH116" s="20"/>
      <c r="CI116" s="20"/>
      <c r="CJ116" s="20"/>
      <c r="CK116" s="20"/>
      <c r="CL116" s="20"/>
      <c r="CM116" s="20"/>
      <c r="CN116" s="20"/>
      <c r="CO116" s="20"/>
      <c r="CP116" s="20"/>
      <c r="CQ116" s="20"/>
      <c r="CR116" s="20"/>
      <c r="CS116" s="20"/>
    </row>
    <row r="117" s="8" customFormat="1" spans="1:97">
      <c r="A117" s="20"/>
      <c r="B117" s="15"/>
      <c r="C117" s="24"/>
      <c r="D117" s="18"/>
      <c r="E117" s="18"/>
      <c r="F117" s="18"/>
      <c r="G117" s="18"/>
      <c r="H117" s="18"/>
      <c r="I117" s="22"/>
      <c r="J117" s="22"/>
      <c r="K117" s="24"/>
      <c r="L117" s="24"/>
      <c r="M117" s="24"/>
      <c r="N117" s="24"/>
      <c r="O117" s="24"/>
      <c r="P117" s="24"/>
      <c r="Q117" s="24"/>
      <c r="R117" s="24"/>
      <c r="S117" s="24"/>
      <c r="T117" s="24"/>
      <c r="U117" s="24"/>
      <c r="V117" s="24"/>
      <c r="W117" s="24"/>
      <c r="X117" s="24"/>
      <c r="Y117" s="24"/>
      <c r="Z117" s="24"/>
      <c r="AA117" s="24"/>
      <c r="AB117" s="24"/>
      <c r="AC117" s="24"/>
      <c r="AD117" s="24"/>
      <c r="AE117" s="24"/>
      <c r="AF117" s="24"/>
      <c r="AG117" s="24"/>
      <c r="AH117" s="24"/>
      <c r="AI117" s="24"/>
      <c r="AJ117" s="20"/>
      <c r="AK117" s="20"/>
      <c r="AL117" s="20"/>
      <c r="AM117" s="20"/>
      <c r="AN117" s="20"/>
      <c r="AO117" s="20"/>
      <c r="AP117" s="20"/>
      <c r="AQ117" s="20"/>
      <c r="AR117" s="20"/>
      <c r="AS117" s="20"/>
      <c r="AT117" s="20"/>
      <c r="AU117" s="20"/>
      <c r="AV117" s="20"/>
      <c r="AW117" s="20"/>
      <c r="AX117" s="20"/>
      <c r="AY117" s="20"/>
      <c r="AZ117" s="20"/>
      <c r="BA117" s="20"/>
      <c r="BB117" s="20"/>
      <c r="BC117" s="20"/>
      <c r="BD117" s="20"/>
      <c r="BE117" s="20"/>
      <c r="BF117" s="20"/>
      <c r="BG117" s="20"/>
      <c r="BH117" s="20"/>
      <c r="BI117" s="20"/>
      <c r="BJ117" s="20"/>
      <c r="BK117" s="20"/>
      <c r="BL117" s="20"/>
      <c r="BM117" s="20"/>
      <c r="BN117" s="20"/>
      <c r="BO117" s="20"/>
      <c r="BP117" s="20"/>
      <c r="BQ117" s="20"/>
      <c r="BR117" s="20"/>
      <c r="BS117" s="20"/>
      <c r="BT117" s="20"/>
      <c r="BU117" s="20"/>
      <c r="BV117" s="20"/>
      <c r="BW117" s="20"/>
      <c r="BX117" s="20"/>
      <c r="BY117" s="20"/>
      <c r="BZ117" s="20"/>
      <c r="CA117" s="20"/>
      <c r="CB117" s="20"/>
      <c r="CC117" s="20"/>
      <c r="CD117" s="20"/>
      <c r="CE117" s="20"/>
      <c r="CF117" s="20"/>
      <c r="CG117" s="20"/>
      <c r="CH117" s="20"/>
      <c r="CI117" s="20"/>
      <c r="CJ117" s="20"/>
      <c r="CK117" s="20"/>
      <c r="CL117" s="20"/>
      <c r="CM117" s="20"/>
      <c r="CN117" s="20"/>
      <c r="CO117" s="20"/>
      <c r="CP117" s="20"/>
      <c r="CQ117" s="20"/>
      <c r="CR117" s="20"/>
      <c r="CS117" s="20"/>
    </row>
    <row r="118" s="8" customFormat="1" spans="1:97">
      <c r="A118" s="20"/>
      <c r="B118" s="15"/>
      <c r="C118" s="24"/>
      <c r="D118" s="17"/>
      <c r="E118" s="17"/>
      <c r="F118" s="17"/>
      <c r="G118" s="17"/>
      <c r="H118" s="17"/>
      <c r="I118" s="21"/>
      <c r="J118" s="21"/>
      <c r="K118" s="24"/>
      <c r="L118" s="24"/>
      <c r="M118" s="24"/>
      <c r="N118" s="24"/>
      <c r="O118" s="24"/>
      <c r="P118" s="24"/>
      <c r="Q118" s="24"/>
      <c r="R118" s="24"/>
      <c r="S118" s="24"/>
      <c r="T118" s="24"/>
      <c r="U118" s="24"/>
      <c r="V118" s="24"/>
      <c r="W118" s="24"/>
      <c r="X118" s="24"/>
      <c r="Y118" s="24"/>
      <c r="Z118" s="24"/>
      <c r="AA118" s="24"/>
      <c r="AB118" s="24"/>
      <c r="AC118" s="24"/>
      <c r="AD118" s="24"/>
      <c r="AE118" s="24"/>
      <c r="AF118" s="24"/>
      <c r="AG118" s="24"/>
      <c r="AH118" s="24"/>
      <c r="AI118" s="24"/>
      <c r="AJ118" s="20"/>
      <c r="AK118" s="20"/>
      <c r="AL118" s="20"/>
      <c r="AM118" s="20"/>
      <c r="AN118" s="20"/>
      <c r="AO118" s="20"/>
      <c r="AP118" s="20"/>
      <c r="AQ118" s="20"/>
      <c r="AR118" s="20"/>
      <c r="AS118" s="20"/>
      <c r="AT118" s="20"/>
      <c r="AU118" s="20"/>
      <c r="AV118" s="20"/>
      <c r="AW118" s="20"/>
      <c r="AX118" s="20"/>
      <c r="AY118" s="20"/>
      <c r="AZ118" s="20"/>
      <c r="BA118" s="20"/>
      <c r="BB118" s="20"/>
      <c r="BC118" s="20"/>
      <c r="BD118" s="20"/>
      <c r="BE118" s="20"/>
      <c r="BF118" s="20"/>
      <c r="BG118" s="20"/>
      <c r="BH118" s="20"/>
      <c r="BI118" s="20"/>
      <c r="BJ118" s="20"/>
      <c r="BK118" s="20"/>
      <c r="BL118" s="20"/>
      <c r="BM118" s="20"/>
      <c r="BN118" s="20"/>
      <c r="BO118" s="20"/>
      <c r="BP118" s="20"/>
      <c r="BQ118" s="20"/>
      <c r="BR118" s="20"/>
      <c r="BS118" s="20"/>
      <c r="BT118" s="20"/>
      <c r="BU118" s="20"/>
      <c r="BV118" s="20"/>
      <c r="BW118" s="20"/>
      <c r="BX118" s="20"/>
      <c r="BY118" s="20"/>
      <c r="BZ118" s="20"/>
      <c r="CA118" s="20"/>
      <c r="CB118" s="20"/>
      <c r="CC118" s="20"/>
      <c r="CD118" s="20"/>
      <c r="CE118" s="20"/>
      <c r="CF118" s="20"/>
      <c r="CG118" s="20"/>
      <c r="CH118" s="20"/>
      <c r="CI118" s="20"/>
      <c r="CJ118" s="20"/>
      <c r="CK118" s="20"/>
      <c r="CL118" s="20"/>
      <c r="CM118" s="20"/>
      <c r="CN118" s="20"/>
      <c r="CO118" s="20"/>
      <c r="CP118" s="20"/>
      <c r="CQ118" s="20"/>
      <c r="CR118" s="20"/>
      <c r="CS118" s="20"/>
    </row>
    <row r="119" s="8" customFormat="1" spans="1:97">
      <c r="A119" s="20"/>
      <c r="B119" s="15"/>
      <c r="C119" s="24"/>
      <c r="D119" s="18" t="s">
        <v>41</v>
      </c>
      <c r="E119" s="18" t="s">
        <v>49</v>
      </c>
      <c r="F119" s="18" t="s">
        <v>33</v>
      </c>
      <c r="G119" s="18" t="s">
        <v>41</v>
      </c>
      <c r="H119" s="18" t="s">
        <v>35</v>
      </c>
      <c r="I119" s="22" t="s">
        <v>45</v>
      </c>
      <c r="J119" s="22" t="s">
        <v>33</v>
      </c>
      <c r="K119" s="24"/>
      <c r="L119" s="24"/>
      <c r="M119" s="24"/>
      <c r="N119" s="24"/>
      <c r="O119" s="24"/>
      <c r="P119" s="24"/>
      <c r="Q119" s="24"/>
      <c r="R119" s="24"/>
      <c r="S119" s="24"/>
      <c r="T119" s="24"/>
      <c r="U119" s="24"/>
      <c r="V119" s="24"/>
      <c r="W119" s="24"/>
      <c r="X119" s="24"/>
      <c r="Y119" s="24"/>
      <c r="Z119" s="24"/>
      <c r="AA119" s="24"/>
      <c r="AB119" s="24"/>
      <c r="AC119" s="24"/>
      <c r="AD119" s="24"/>
      <c r="AE119" s="24"/>
      <c r="AF119" s="24"/>
      <c r="AG119" s="24"/>
      <c r="AH119" s="24"/>
      <c r="AI119" s="24"/>
      <c r="AJ119" s="20"/>
      <c r="AK119" s="20"/>
      <c r="AL119" s="20"/>
      <c r="AM119" s="20"/>
      <c r="AN119" s="20"/>
      <c r="AO119" s="20"/>
      <c r="AP119" s="20"/>
      <c r="AQ119" s="20"/>
      <c r="AR119" s="20"/>
      <c r="AS119" s="20"/>
      <c r="AT119" s="20"/>
      <c r="AU119" s="20"/>
      <c r="AV119" s="20"/>
      <c r="AW119" s="20"/>
      <c r="AX119" s="20"/>
      <c r="AY119" s="20"/>
      <c r="AZ119" s="20"/>
      <c r="BA119" s="20"/>
      <c r="BB119" s="20"/>
      <c r="BC119" s="20"/>
      <c r="BD119" s="20"/>
      <c r="BE119" s="20"/>
      <c r="BF119" s="20"/>
      <c r="BG119" s="20"/>
      <c r="BH119" s="20"/>
      <c r="BI119" s="20"/>
      <c r="BJ119" s="20"/>
      <c r="BK119" s="20"/>
      <c r="BL119" s="20"/>
      <c r="BM119" s="20"/>
      <c r="BN119" s="20"/>
      <c r="BO119" s="20"/>
      <c r="BP119" s="20"/>
      <c r="BQ119" s="20"/>
      <c r="BR119" s="20"/>
      <c r="BS119" s="20"/>
      <c r="BT119" s="20"/>
      <c r="BU119" s="20"/>
      <c r="BV119" s="20"/>
      <c r="BW119" s="20"/>
      <c r="BX119" s="20"/>
      <c r="BY119" s="20"/>
      <c r="BZ119" s="20"/>
      <c r="CA119" s="20"/>
      <c r="CB119" s="20"/>
      <c r="CC119" s="20"/>
      <c r="CD119" s="20"/>
      <c r="CE119" s="20"/>
      <c r="CF119" s="20"/>
      <c r="CG119" s="20"/>
      <c r="CH119" s="20"/>
      <c r="CI119" s="20"/>
      <c r="CJ119" s="20"/>
      <c r="CK119" s="20"/>
      <c r="CL119" s="20"/>
      <c r="CM119" s="20"/>
      <c r="CN119" s="20"/>
      <c r="CO119" s="20"/>
      <c r="CP119" s="20"/>
      <c r="CQ119" s="20"/>
      <c r="CR119" s="20"/>
      <c r="CS119" s="20"/>
    </row>
    <row r="120" s="8" customFormat="1" spans="1:97">
      <c r="A120" s="20"/>
      <c r="B120" s="15"/>
      <c r="C120" s="24"/>
      <c r="D120" s="19" t="s">
        <v>280</v>
      </c>
      <c r="E120" s="19" t="s">
        <v>281</v>
      </c>
      <c r="F120" s="19" t="s">
        <v>282</v>
      </c>
      <c r="G120" s="19" t="s">
        <v>283</v>
      </c>
      <c r="H120" s="19" t="s">
        <v>277</v>
      </c>
      <c r="I120" s="23" t="s">
        <v>284</v>
      </c>
      <c r="J120" s="23" t="s">
        <v>285</v>
      </c>
      <c r="K120" s="24"/>
      <c r="L120" s="24"/>
      <c r="M120" s="24"/>
      <c r="N120" s="24"/>
      <c r="O120" s="24"/>
      <c r="P120" s="24"/>
      <c r="Q120" s="24"/>
      <c r="R120" s="24"/>
      <c r="S120" s="24"/>
      <c r="T120" s="24"/>
      <c r="U120" s="24"/>
      <c r="V120" s="24"/>
      <c r="W120" s="24"/>
      <c r="X120" s="24"/>
      <c r="Y120" s="24"/>
      <c r="Z120" s="24"/>
      <c r="AA120" s="24"/>
      <c r="AB120" s="24"/>
      <c r="AC120" s="24"/>
      <c r="AD120" s="24"/>
      <c r="AE120" s="24"/>
      <c r="AF120" s="24"/>
      <c r="AG120" s="24"/>
      <c r="AH120" s="24"/>
      <c r="AI120" s="24"/>
      <c r="AJ120" s="20"/>
      <c r="AK120" s="20"/>
      <c r="AL120" s="20"/>
      <c r="AM120" s="20"/>
      <c r="AN120" s="20"/>
      <c r="AO120" s="20"/>
      <c r="AP120" s="20"/>
      <c r="AQ120" s="20"/>
      <c r="AR120" s="20"/>
      <c r="AS120" s="20"/>
      <c r="AT120" s="20"/>
      <c r="AU120" s="20"/>
      <c r="AV120" s="20"/>
      <c r="AW120" s="20"/>
      <c r="AX120" s="20"/>
      <c r="AY120" s="20"/>
      <c r="AZ120" s="20"/>
      <c r="BA120" s="20"/>
      <c r="BB120" s="20"/>
      <c r="BC120" s="20"/>
      <c r="BD120" s="20"/>
      <c r="BE120" s="20"/>
      <c r="BF120" s="20"/>
      <c r="BG120" s="20"/>
      <c r="BH120" s="20"/>
      <c r="BI120" s="20"/>
      <c r="BJ120" s="20"/>
      <c r="BK120" s="20"/>
      <c r="BL120" s="20"/>
      <c r="BM120" s="20"/>
      <c r="BN120" s="20"/>
      <c r="BO120" s="20"/>
      <c r="BP120" s="20"/>
      <c r="BQ120" s="20"/>
      <c r="BR120" s="20"/>
      <c r="BS120" s="20"/>
      <c r="BT120" s="20"/>
      <c r="BU120" s="20"/>
      <c r="BV120" s="20"/>
      <c r="BW120" s="20"/>
      <c r="BX120" s="20"/>
      <c r="BY120" s="20"/>
      <c r="BZ120" s="20"/>
      <c r="CA120" s="20"/>
      <c r="CB120" s="20"/>
      <c r="CC120" s="20"/>
      <c r="CD120" s="20"/>
      <c r="CE120" s="20"/>
      <c r="CF120" s="20"/>
      <c r="CG120" s="20"/>
      <c r="CH120" s="20"/>
      <c r="CI120" s="20"/>
      <c r="CJ120" s="20"/>
      <c r="CK120" s="20"/>
      <c r="CL120" s="20"/>
      <c r="CM120" s="20"/>
      <c r="CN120" s="20"/>
      <c r="CO120" s="20"/>
      <c r="CP120" s="20"/>
      <c r="CQ120" s="20"/>
      <c r="CR120" s="20"/>
      <c r="CS120" s="20"/>
    </row>
    <row r="121" s="8" customFormat="1" spans="1:97">
      <c r="A121" s="20"/>
      <c r="B121" s="15"/>
      <c r="C121" s="24"/>
      <c r="D121" s="18"/>
      <c r="E121" s="18"/>
      <c r="F121" s="18"/>
      <c r="G121" s="18"/>
      <c r="H121" s="18"/>
      <c r="I121" s="22"/>
      <c r="J121" s="22"/>
      <c r="K121" s="24"/>
      <c r="L121" s="24"/>
      <c r="M121" s="24"/>
      <c r="N121" s="24"/>
      <c r="O121" s="24"/>
      <c r="P121" s="24"/>
      <c r="Q121" s="24"/>
      <c r="R121" s="24"/>
      <c r="S121" s="24"/>
      <c r="T121" s="24"/>
      <c r="U121" s="24"/>
      <c r="V121" s="24"/>
      <c r="W121" s="24"/>
      <c r="X121" s="24"/>
      <c r="Y121" s="24"/>
      <c r="Z121" s="24"/>
      <c r="AA121" s="24"/>
      <c r="AB121" s="24"/>
      <c r="AC121" s="24"/>
      <c r="AD121" s="24"/>
      <c r="AE121" s="24"/>
      <c r="AF121" s="24"/>
      <c r="AG121" s="24"/>
      <c r="AH121" s="24"/>
      <c r="AI121" s="24"/>
      <c r="AJ121" s="20"/>
      <c r="AK121" s="20"/>
      <c r="AL121" s="20"/>
      <c r="AM121" s="20"/>
      <c r="AN121" s="20"/>
      <c r="AO121" s="20"/>
      <c r="AP121" s="20"/>
      <c r="AQ121" s="20"/>
      <c r="AR121" s="20"/>
      <c r="AS121" s="20"/>
      <c r="AT121" s="20"/>
      <c r="AU121" s="20"/>
      <c r="AV121" s="20"/>
      <c r="AW121" s="20"/>
      <c r="AX121" s="20"/>
      <c r="AY121" s="20"/>
      <c r="AZ121" s="20"/>
      <c r="BA121" s="20"/>
      <c r="BB121" s="20"/>
      <c r="BC121" s="20"/>
      <c r="BD121" s="20"/>
      <c r="BE121" s="20"/>
      <c r="BF121" s="20"/>
      <c r="BG121" s="20"/>
      <c r="BH121" s="20"/>
      <c r="BI121" s="20"/>
      <c r="BJ121" s="20"/>
      <c r="BK121" s="20"/>
      <c r="BL121" s="20"/>
      <c r="BM121" s="20"/>
      <c r="BN121" s="20"/>
      <c r="BO121" s="20"/>
      <c r="BP121" s="20"/>
      <c r="BQ121" s="20"/>
      <c r="BR121" s="20"/>
      <c r="BS121" s="20"/>
      <c r="BT121" s="20"/>
      <c r="BU121" s="20"/>
      <c r="BV121" s="20"/>
      <c r="BW121" s="20"/>
      <c r="BX121" s="20"/>
      <c r="BY121" s="20"/>
      <c r="BZ121" s="20"/>
      <c r="CA121" s="20"/>
      <c r="CB121" s="20"/>
      <c r="CC121" s="20"/>
      <c r="CD121" s="20"/>
      <c r="CE121" s="20"/>
      <c r="CF121" s="20"/>
      <c r="CG121" s="20"/>
      <c r="CH121" s="20"/>
      <c r="CI121" s="20"/>
      <c r="CJ121" s="20"/>
      <c r="CK121" s="20"/>
      <c r="CL121" s="20"/>
      <c r="CM121" s="20"/>
      <c r="CN121" s="20"/>
      <c r="CO121" s="20"/>
      <c r="CP121" s="20"/>
      <c r="CQ121" s="20"/>
      <c r="CR121" s="20"/>
      <c r="CS121" s="20"/>
    </row>
    <row r="122" s="8" customFormat="1" spans="1:97">
      <c r="A122" s="20"/>
      <c r="B122" s="15"/>
      <c r="C122" s="24"/>
      <c r="D122" s="17"/>
      <c r="E122" s="17"/>
      <c r="F122" s="17"/>
      <c r="G122" s="17"/>
      <c r="H122" s="17"/>
      <c r="I122" s="21"/>
      <c r="J122" s="21"/>
      <c r="K122" s="24"/>
      <c r="L122" s="24"/>
      <c r="M122" s="24"/>
      <c r="N122" s="24"/>
      <c r="O122" s="24"/>
      <c r="P122" s="24"/>
      <c r="Q122" s="24"/>
      <c r="R122" s="24"/>
      <c r="S122" s="24"/>
      <c r="T122" s="24"/>
      <c r="U122" s="24"/>
      <c r="V122" s="24"/>
      <c r="W122" s="24"/>
      <c r="X122" s="24"/>
      <c r="Y122" s="24"/>
      <c r="Z122" s="24"/>
      <c r="AA122" s="24"/>
      <c r="AB122" s="24"/>
      <c r="AC122" s="24"/>
      <c r="AD122" s="24"/>
      <c r="AE122" s="24"/>
      <c r="AF122" s="24"/>
      <c r="AG122" s="24"/>
      <c r="AH122" s="24"/>
      <c r="AI122" s="24"/>
      <c r="AJ122" s="20"/>
      <c r="AK122" s="20"/>
      <c r="AL122" s="20"/>
      <c r="AM122" s="20"/>
      <c r="AN122" s="20"/>
      <c r="AO122" s="20"/>
      <c r="AP122" s="20"/>
      <c r="AQ122" s="20"/>
      <c r="AR122" s="20"/>
      <c r="AS122" s="20"/>
      <c r="AT122" s="20"/>
      <c r="AU122" s="20"/>
      <c r="AV122" s="20"/>
      <c r="AW122" s="20"/>
      <c r="AX122" s="20"/>
      <c r="AY122" s="20"/>
      <c r="AZ122" s="20"/>
      <c r="BA122" s="20"/>
      <c r="BB122" s="20"/>
      <c r="BC122" s="20"/>
      <c r="BD122" s="20"/>
      <c r="BE122" s="20"/>
      <c r="BF122" s="20"/>
      <c r="BG122" s="20"/>
      <c r="BH122" s="20"/>
      <c r="BI122" s="20"/>
      <c r="BJ122" s="20"/>
      <c r="BK122" s="20"/>
      <c r="BL122" s="20"/>
      <c r="BM122" s="20"/>
      <c r="BN122" s="20"/>
      <c r="BO122" s="20"/>
      <c r="BP122" s="20"/>
      <c r="BQ122" s="20"/>
      <c r="BR122" s="20"/>
      <c r="BS122" s="20"/>
      <c r="BT122" s="20"/>
      <c r="BU122" s="20"/>
      <c r="BV122" s="20"/>
      <c r="BW122" s="20"/>
      <c r="BX122" s="20"/>
      <c r="BY122" s="20"/>
      <c r="BZ122" s="20"/>
      <c r="CA122" s="20"/>
      <c r="CB122" s="20"/>
      <c r="CC122" s="20"/>
      <c r="CD122" s="20"/>
      <c r="CE122" s="20"/>
      <c r="CF122" s="20"/>
      <c r="CG122" s="20"/>
      <c r="CH122" s="20"/>
      <c r="CI122" s="20"/>
      <c r="CJ122" s="20"/>
      <c r="CK122" s="20"/>
      <c r="CL122" s="20"/>
      <c r="CM122" s="20"/>
      <c r="CN122" s="20"/>
      <c r="CO122" s="20"/>
      <c r="CP122" s="20"/>
      <c r="CQ122" s="20"/>
      <c r="CR122" s="20"/>
      <c r="CS122" s="20"/>
    </row>
    <row r="123" s="8" customFormat="1" spans="1:97">
      <c r="A123" s="20"/>
      <c r="B123" s="15"/>
      <c r="C123" s="24"/>
      <c r="D123" s="18" t="s">
        <v>45</v>
      </c>
      <c r="E123" s="18" t="s">
        <v>62</v>
      </c>
      <c r="F123" s="18" t="s">
        <v>62</v>
      </c>
      <c r="G123" s="18" t="s">
        <v>27</v>
      </c>
      <c r="H123" s="18" t="s">
        <v>50</v>
      </c>
      <c r="I123" s="22" t="s">
        <v>50</v>
      </c>
      <c r="J123" s="22" t="s">
        <v>27</v>
      </c>
      <c r="K123" s="24"/>
      <c r="L123" s="24"/>
      <c r="M123" s="24"/>
      <c r="N123" s="24"/>
      <c r="O123" s="24"/>
      <c r="P123" s="24"/>
      <c r="Q123" s="24"/>
      <c r="R123" s="24"/>
      <c r="S123" s="24"/>
      <c r="T123" s="24"/>
      <c r="U123" s="24"/>
      <c r="V123" s="24"/>
      <c r="W123" s="24"/>
      <c r="X123" s="24"/>
      <c r="Y123" s="24"/>
      <c r="Z123" s="24"/>
      <c r="AA123" s="24"/>
      <c r="AB123" s="24"/>
      <c r="AC123" s="24"/>
      <c r="AD123" s="24"/>
      <c r="AE123" s="24"/>
      <c r="AF123" s="24"/>
      <c r="AG123" s="24"/>
      <c r="AH123" s="24"/>
      <c r="AI123" s="24"/>
      <c r="AJ123" s="20"/>
      <c r="AK123" s="20"/>
      <c r="AL123" s="20"/>
      <c r="AM123" s="20"/>
      <c r="AN123" s="20"/>
      <c r="AO123" s="20"/>
      <c r="AP123" s="20"/>
      <c r="AQ123" s="20"/>
      <c r="AR123" s="20"/>
      <c r="AS123" s="20"/>
      <c r="AT123" s="20"/>
      <c r="AU123" s="20"/>
      <c r="AV123" s="20"/>
      <c r="AW123" s="20"/>
      <c r="AX123" s="20"/>
      <c r="AY123" s="20"/>
      <c r="AZ123" s="20"/>
      <c r="BA123" s="20"/>
      <c r="BB123" s="20"/>
      <c r="BC123" s="20"/>
      <c r="BD123" s="20"/>
      <c r="BE123" s="20"/>
      <c r="BF123" s="20"/>
      <c r="BG123" s="20"/>
      <c r="BH123" s="20"/>
      <c r="BI123" s="20"/>
      <c r="BJ123" s="20"/>
      <c r="BK123" s="20"/>
      <c r="BL123" s="20"/>
      <c r="BM123" s="20"/>
      <c r="BN123" s="20"/>
      <c r="BO123" s="20"/>
      <c r="BP123" s="20"/>
      <c r="BQ123" s="20"/>
      <c r="BR123" s="20"/>
      <c r="BS123" s="20"/>
      <c r="BT123" s="20"/>
      <c r="BU123" s="20"/>
      <c r="BV123" s="20"/>
      <c r="BW123" s="20"/>
      <c r="BX123" s="20"/>
      <c r="BY123" s="20"/>
      <c r="BZ123" s="20"/>
      <c r="CA123" s="20"/>
      <c r="CB123" s="20"/>
      <c r="CC123" s="20"/>
      <c r="CD123" s="20"/>
      <c r="CE123" s="20"/>
      <c r="CF123" s="20"/>
      <c r="CG123" s="20"/>
      <c r="CH123" s="20"/>
      <c r="CI123" s="20"/>
      <c r="CJ123" s="20"/>
      <c r="CK123" s="20"/>
      <c r="CL123" s="20"/>
      <c r="CM123" s="20"/>
      <c r="CN123" s="20"/>
      <c r="CO123" s="20"/>
      <c r="CP123" s="20"/>
      <c r="CQ123" s="20"/>
      <c r="CR123" s="20"/>
      <c r="CS123" s="20"/>
    </row>
    <row r="124" s="8" customFormat="1" spans="1:97">
      <c r="A124" s="20"/>
      <c r="B124" s="15"/>
      <c r="C124" s="24"/>
      <c r="D124" s="19" t="s">
        <v>286</v>
      </c>
      <c r="E124" s="19" t="s">
        <v>287</v>
      </c>
      <c r="F124" s="19" t="s">
        <v>288</v>
      </c>
      <c r="G124" s="19" t="s">
        <v>289</v>
      </c>
      <c r="H124" s="19" t="s">
        <v>290</v>
      </c>
      <c r="I124" s="23" t="s">
        <v>291</v>
      </c>
      <c r="J124" s="23" t="s">
        <v>285</v>
      </c>
      <c r="K124" s="24"/>
      <c r="L124" s="24"/>
      <c r="M124" s="24"/>
      <c r="N124" s="24"/>
      <c r="O124" s="24"/>
      <c r="P124" s="24"/>
      <c r="Q124" s="24"/>
      <c r="R124" s="24"/>
      <c r="S124" s="24"/>
      <c r="T124" s="24"/>
      <c r="U124" s="24"/>
      <c r="V124" s="24"/>
      <c r="W124" s="24"/>
      <c r="X124" s="24"/>
      <c r="Y124" s="24"/>
      <c r="Z124" s="24"/>
      <c r="AA124" s="24"/>
      <c r="AB124" s="24"/>
      <c r="AC124" s="24"/>
      <c r="AD124" s="24"/>
      <c r="AE124" s="24"/>
      <c r="AF124" s="24"/>
      <c r="AG124" s="24"/>
      <c r="AH124" s="24"/>
      <c r="AI124" s="24"/>
      <c r="AJ124" s="20"/>
      <c r="AK124" s="20"/>
      <c r="AL124" s="20"/>
      <c r="AM124" s="20"/>
      <c r="AN124" s="20"/>
      <c r="AO124" s="20"/>
      <c r="AP124" s="20"/>
      <c r="AQ124" s="20"/>
      <c r="AR124" s="20"/>
      <c r="AS124" s="20"/>
      <c r="AT124" s="20"/>
      <c r="AU124" s="20"/>
      <c r="AV124" s="20"/>
      <c r="AW124" s="20"/>
      <c r="AX124" s="20"/>
      <c r="AY124" s="20"/>
      <c r="AZ124" s="20"/>
      <c r="BA124" s="20"/>
      <c r="BB124" s="20"/>
      <c r="BC124" s="20"/>
      <c r="BD124" s="20"/>
      <c r="BE124" s="20"/>
      <c r="BF124" s="20"/>
      <c r="BG124" s="20"/>
      <c r="BH124" s="20"/>
      <c r="BI124" s="20"/>
      <c r="BJ124" s="20"/>
      <c r="BK124" s="20"/>
      <c r="BL124" s="20"/>
      <c r="BM124" s="20"/>
      <c r="BN124" s="20"/>
      <c r="BO124" s="20"/>
      <c r="BP124" s="20"/>
      <c r="BQ124" s="20"/>
      <c r="BR124" s="20"/>
      <c r="BS124" s="20"/>
      <c r="BT124" s="20"/>
      <c r="BU124" s="20"/>
      <c r="BV124" s="20"/>
      <c r="BW124" s="20"/>
      <c r="BX124" s="20"/>
      <c r="BY124" s="20"/>
      <c r="BZ124" s="20"/>
      <c r="CA124" s="20"/>
      <c r="CB124" s="20"/>
      <c r="CC124" s="20"/>
      <c r="CD124" s="20"/>
      <c r="CE124" s="20"/>
      <c r="CF124" s="20"/>
      <c r="CG124" s="20"/>
      <c r="CH124" s="20"/>
      <c r="CI124" s="20"/>
      <c r="CJ124" s="20"/>
      <c r="CK124" s="20"/>
      <c r="CL124" s="20"/>
      <c r="CM124" s="20"/>
      <c r="CN124" s="20"/>
      <c r="CO124" s="20"/>
      <c r="CP124" s="20"/>
      <c r="CQ124" s="20"/>
      <c r="CR124" s="20"/>
      <c r="CS124" s="20"/>
    </row>
    <row r="125" s="8" customFormat="1" spans="1:97">
      <c r="A125" s="20"/>
      <c r="B125" s="15"/>
      <c r="C125" s="24"/>
      <c r="D125" s="17"/>
      <c r="E125" s="17"/>
      <c r="F125" s="17"/>
      <c r="G125" s="17"/>
      <c r="H125" s="17"/>
      <c r="I125" s="21"/>
      <c r="J125" s="21"/>
      <c r="K125" s="24"/>
      <c r="L125" s="24"/>
      <c r="M125" s="24"/>
      <c r="N125" s="24"/>
      <c r="O125" s="24"/>
      <c r="P125" s="24"/>
      <c r="Q125" s="24"/>
      <c r="R125" s="24"/>
      <c r="S125" s="24"/>
      <c r="T125" s="24"/>
      <c r="U125" s="24"/>
      <c r="V125" s="24"/>
      <c r="W125" s="24"/>
      <c r="X125" s="24"/>
      <c r="Y125" s="24"/>
      <c r="Z125" s="24"/>
      <c r="AA125" s="24"/>
      <c r="AB125" s="24"/>
      <c r="AC125" s="24"/>
      <c r="AD125" s="24"/>
      <c r="AE125" s="24"/>
      <c r="AF125" s="24"/>
      <c r="AG125" s="24"/>
      <c r="AH125" s="24"/>
      <c r="AI125" s="24"/>
      <c r="AJ125" s="20"/>
      <c r="AK125" s="20"/>
      <c r="AL125" s="20"/>
      <c r="AM125" s="20"/>
      <c r="AN125" s="20"/>
      <c r="AO125" s="20"/>
      <c r="AP125" s="20"/>
      <c r="AQ125" s="20"/>
      <c r="AR125" s="20"/>
      <c r="AS125" s="20"/>
      <c r="AT125" s="20"/>
      <c r="AU125" s="20"/>
      <c r="AV125" s="20"/>
      <c r="AW125" s="20"/>
      <c r="AX125" s="20"/>
      <c r="AY125" s="20"/>
      <c r="AZ125" s="20"/>
      <c r="BA125" s="20"/>
      <c r="BB125" s="20"/>
      <c r="BC125" s="20"/>
      <c r="BD125" s="20"/>
      <c r="BE125" s="20"/>
      <c r="BF125" s="20"/>
      <c r="BG125" s="20"/>
      <c r="BH125" s="20"/>
      <c r="BI125" s="20"/>
      <c r="BJ125" s="20"/>
      <c r="BK125" s="20"/>
      <c r="BL125" s="20"/>
      <c r="BM125" s="20"/>
      <c r="BN125" s="20"/>
      <c r="BO125" s="20"/>
      <c r="BP125" s="20"/>
      <c r="BQ125" s="20"/>
      <c r="BR125" s="20"/>
      <c r="BS125" s="20"/>
      <c r="BT125" s="20"/>
      <c r="BU125" s="20"/>
      <c r="BV125" s="20"/>
      <c r="BW125" s="20"/>
      <c r="BX125" s="20"/>
      <c r="BY125" s="20"/>
      <c r="BZ125" s="20"/>
      <c r="CA125" s="20"/>
      <c r="CB125" s="20"/>
      <c r="CC125" s="20"/>
      <c r="CD125" s="20"/>
      <c r="CE125" s="20"/>
      <c r="CF125" s="20"/>
      <c r="CG125" s="20"/>
      <c r="CH125" s="20"/>
      <c r="CI125" s="20"/>
      <c r="CJ125" s="20"/>
      <c r="CK125" s="20"/>
      <c r="CL125" s="20"/>
      <c r="CM125" s="20"/>
      <c r="CN125" s="20"/>
      <c r="CO125" s="20"/>
      <c r="CP125" s="20"/>
      <c r="CQ125" s="20"/>
      <c r="CR125" s="20"/>
      <c r="CS125" s="20"/>
    </row>
    <row r="126" s="8" customFormat="1" spans="1:97">
      <c r="A126" s="20"/>
      <c r="B126" s="15"/>
      <c r="C126" s="24"/>
      <c r="D126" s="18" t="s">
        <v>62</v>
      </c>
      <c r="E126" s="18" t="s">
        <v>45</v>
      </c>
      <c r="F126" s="18" t="s">
        <v>47</v>
      </c>
      <c r="G126" s="18" t="s">
        <v>55</v>
      </c>
      <c r="H126" s="18" t="s">
        <v>56</v>
      </c>
      <c r="I126" s="22" t="s">
        <v>40</v>
      </c>
      <c r="J126" s="22" t="s">
        <v>40</v>
      </c>
      <c r="K126" s="24"/>
      <c r="L126" s="24"/>
      <c r="M126" s="24"/>
      <c r="N126" s="24"/>
      <c r="O126" s="24"/>
      <c r="P126" s="24"/>
      <c r="Q126" s="24"/>
      <c r="R126" s="24"/>
      <c r="S126" s="24"/>
      <c r="T126" s="24"/>
      <c r="U126" s="24"/>
      <c r="V126" s="24"/>
      <c r="W126" s="24"/>
      <c r="X126" s="24"/>
      <c r="Y126" s="24"/>
      <c r="Z126" s="24"/>
      <c r="AA126" s="24"/>
      <c r="AB126" s="24"/>
      <c r="AC126" s="24"/>
      <c r="AD126" s="24"/>
      <c r="AE126" s="24"/>
      <c r="AF126" s="24"/>
      <c r="AG126" s="24"/>
      <c r="AH126" s="24"/>
      <c r="AI126" s="24"/>
      <c r="AJ126" s="20"/>
      <c r="AK126" s="20"/>
      <c r="AL126" s="20"/>
      <c r="AM126" s="20"/>
      <c r="AN126" s="20"/>
      <c r="AO126" s="20"/>
      <c r="AP126" s="20"/>
      <c r="AQ126" s="20"/>
      <c r="AR126" s="20"/>
      <c r="AS126" s="20"/>
      <c r="AT126" s="20"/>
      <c r="AU126" s="20"/>
      <c r="AV126" s="20"/>
      <c r="AW126" s="20"/>
      <c r="AX126" s="20"/>
      <c r="AY126" s="20"/>
      <c r="AZ126" s="20"/>
      <c r="BA126" s="20"/>
      <c r="BB126" s="20"/>
      <c r="BC126" s="20"/>
      <c r="BD126" s="20"/>
      <c r="BE126" s="20"/>
      <c r="BF126" s="20"/>
      <c r="BG126" s="20"/>
      <c r="BH126" s="20"/>
      <c r="BI126" s="20"/>
      <c r="BJ126" s="20"/>
      <c r="BK126" s="20"/>
      <c r="BL126" s="20"/>
      <c r="BM126" s="20"/>
      <c r="BN126" s="20"/>
      <c r="BO126" s="20"/>
      <c r="BP126" s="20"/>
      <c r="BQ126" s="20"/>
      <c r="BR126" s="20"/>
      <c r="BS126" s="20"/>
      <c r="BT126" s="20"/>
      <c r="BU126" s="20"/>
      <c r="BV126" s="20"/>
      <c r="BW126" s="20"/>
      <c r="BX126" s="20"/>
      <c r="BY126" s="20"/>
      <c r="BZ126" s="20"/>
      <c r="CA126" s="20"/>
      <c r="CB126" s="20"/>
      <c r="CC126" s="20"/>
      <c r="CD126" s="20"/>
      <c r="CE126" s="20"/>
      <c r="CF126" s="20"/>
      <c r="CG126" s="20"/>
      <c r="CH126" s="20"/>
      <c r="CI126" s="20"/>
      <c r="CJ126" s="20"/>
      <c r="CK126" s="20"/>
      <c r="CL126" s="20"/>
      <c r="CM126" s="20"/>
      <c r="CN126" s="20"/>
      <c r="CO126" s="20"/>
      <c r="CP126" s="20"/>
      <c r="CQ126" s="20"/>
      <c r="CR126" s="20"/>
      <c r="CS126" s="20"/>
    </row>
    <row r="127" s="8" customFormat="1" spans="1:97">
      <c r="A127" s="20"/>
      <c r="B127" s="15"/>
      <c r="C127" s="24"/>
      <c r="D127" s="19" t="s">
        <v>286</v>
      </c>
      <c r="E127" s="19" t="s">
        <v>292</v>
      </c>
      <c r="F127" s="19" t="s">
        <v>293</v>
      </c>
      <c r="G127" s="19" t="s">
        <v>294</v>
      </c>
      <c r="H127" s="19" t="s">
        <v>295</v>
      </c>
      <c r="I127" s="23" t="s">
        <v>296</v>
      </c>
      <c r="J127" s="23" t="s">
        <v>297</v>
      </c>
      <c r="K127" s="24"/>
      <c r="L127" s="24"/>
      <c r="M127" s="24"/>
      <c r="N127" s="24"/>
      <c r="O127" s="24"/>
      <c r="P127" s="24"/>
      <c r="Q127" s="24"/>
      <c r="R127" s="24"/>
      <c r="S127" s="24"/>
      <c r="T127" s="24"/>
      <c r="U127" s="24"/>
      <c r="V127" s="24"/>
      <c r="W127" s="24"/>
      <c r="X127" s="24"/>
      <c r="Y127" s="24"/>
      <c r="Z127" s="24"/>
      <c r="AA127" s="24"/>
      <c r="AB127" s="24"/>
      <c r="AC127" s="24"/>
      <c r="AD127" s="24"/>
      <c r="AE127" s="24"/>
      <c r="AF127" s="24"/>
      <c r="AG127" s="24"/>
      <c r="AH127" s="24"/>
      <c r="AI127" s="24"/>
      <c r="AJ127" s="20"/>
      <c r="AK127" s="20"/>
      <c r="AL127" s="20"/>
      <c r="AM127" s="20"/>
      <c r="AN127" s="20"/>
      <c r="AO127" s="20"/>
      <c r="AP127" s="20"/>
      <c r="AQ127" s="20"/>
      <c r="AR127" s="20"/>
      <c r="AS127" s="20"/>
      <c r="AT127" s="20"/>
      <c r="AU127" s="20"/>
      <c r="AV127" s="20"/>
      <c r="AW127" s="20"/>
      <c r="AX127" s="20"/>
      <c r="AY127" s="20"/>
      <c r="AZ127" s="20"/>
      <c r="BA127" s="20"/>
      <c r="BB127" s="20"/>
      <c r="BC127" s="20"/>
      <c r="BD127" s="20"/>
      <c r="BE127" s="20"/>
      <c r="BF127" s="20"/>
      <c r="BG127" s="20"/>
      <c r="BH127" s="20"/>
      <c r="BI127" s="20"/>
      <c r="BJ127" s="20"/>
      <c r="BK127" s="20"/>
      <c r="BL127" s="20"/>
      <c r="BM127" s="20"/>
      <c r="BN127" s="20"/>
      <c r="BO127" s="20"/>
      <c r="BP127" s="20"/>
      <c r="BQ127" s="20"/>
      <c r="BR127" s="20"/>
      <c r="BS127" s="20"/>
      <c r="BT127" s="20"/>
      <c r="BU127" s="20"/>
      <c r="BV127" s="20"/>
      <c r="BW127" s="20"/>
      <c r="BX127" s="20"/>
      <c r="BY127" s="20"/>
      <c r="BZ127" s="20"/>
      <c r="CA127" s="20"/>
      <c r="CB127" s="20"/>
      <c r="CC127" s="20"/>
      <c r="CD127" s="20"/>
      <c r="CE127" s="20"/>
      <c r="CF127" s="20"/>
      <c r="CG127" s="20"/>
      <c r="CH127" s="20"/>
      <c r="CI127" s="20"/>
      <c r="CJ127" s="20"/>
      <c r="CK127" s="20"/>
      <c r="CL127" s="20"/>
      <c r="CM127" s="20"/>
      <c r="CN127" s="20"/>
      <c r="CO127" s="20"/>
      <c r="CP127" s="20"/>
      <c r="CQ127" s="20"/>
      <c r="CR127" s="20"/>
      <c r="CS127" s="20"/>
    </row>
    <row r="128" s="8" customFormat="1" spans="1:97">
      <c r="A128" s="20"/>
      <c r="B128" s="15"/>
      <c r="C128" s="24"/>
      <c r="D128" s="18"/>
      <c r="E128" s="18"/>
      <c r="F128" s="18"/>
      <c r="G128" s="18"/>
      <c r="H128" s="18"/>
      <c r="I128" s="22"/>
      <c r="J128" s="22"/>
      <c r="K128" s="24"/>
      <c r="L128" s="24"/>
      <c r="M128" s="24"/>
      <c r="N128" s="24"/>
      <c r="O128" s="24"/>
      <c r="P128" s="24"/>
      <c r="Q128" s="24"/>
      <c r="R128" s="24"/>
      <c r="S128" s="24"/>
      <c r="T128" s="24"/>
      <c r="U128" s="24"/>
      <c r="V128" s="24"/>
      <c r="W128" s="24"/>
      <c r="X128" s="24"/>
      <c r="Y128" s="24"/>
      <c r="Z128" s="24"/>
      <c r="AA128" s="24"/>
      <c r="AB128" s="24"/>
      <c r="AC128" s="24"/>
      <c r="AD128" s="24"/>
      <c r="AE128" s="24"/>
      <c r="AF128" s="24"/>
      <c r="AG128" s="24"/>
      <c r="AH128" s="24"/>
      <c r="AI128" s="24"/>
      <c r="AJ128" s="20"/>
      <c r="AK128" s="20"/>
      <c r="AL128" s="20"/>
      <c r="AM128" s="20"/>
      <c r="AN128" s="20"/>
      <c r="AO128" s="20"/>
      <c r="AP128" s="20"/>
      <c r="AQ128" s="20"/>
      <c r="AR128" s="20"/>
      <c r="AS128" s="20"/>
      <c r="AT128" s="20"/>
      <c r="AU128" s="20"/>
      <c r="AV128" s="20"/>
      <c r="AW128" s="20"/>
      <c r="AX128" s="20"/>
      <c r="AY128" s="20"/>
      <c r="AZ128" s="20"/>
      <c r="BA128" s="20"/>
      <c r="BB128" s="20"/>
      <c r="BC128" s="20"/>
      <c r="BD128" s="20"/>
      <c r="BE128" s="20"/>
      <c r="BF128" s="20"/>
      <c r="BG128" s="20"/>
      <c r="BH128" s="20"/>
      <c r="BI128" s="20"/>
      <c r="BJ128" s="20"/>
      <c r="BK128" s="20"/>
      <c r="BL128" s="20"/>
      <c r="BM128" s="20"/>
      <c r="BN128" s="20"/>
      <c r="BO128" s="20"/>
      <c r="BP128" s="20"/>
      <c r="BQ128" s="20"/>
      <c r="BR128" s="20"/>
      <c r="BS128" s="20"/>
      <c r="BT128" s="20"/>
      <c r="BU128" s="20"/>
      <c r="BV128" s="20"/>
      <c r="BW128" s="20"/>
      <c r="BX128" s="20"/>
      <c r="BY128" s="20"/>
      <c r="BZ128" s="20"/>
      <c r="CA128" s="20"/>
      <c r="CB128" s="20"/>
      <c r="CC128" s="20"/>
      <c r="CD128" s="20"/>
      <c r="CE128" s="20"/>
      <c r="CF128" s="20"/>
      <c r="CG128" s="20"/>
      <c r="CH128" s="20"/>
      <c r="CI128" s="20"/>
      <c r="CJ128" s="20"/>
      <c r="CK128" s="20"/>
      <c r="CL128" s="20"/>
      <c r="CM128" s="20"/>
      <c r="CN128" s="20"/>
      <c r="CO128" s="20"/>
      <c r="CP128" s="20"/>
      <c r="CQ128" s="20"/>
      <c r="CR128" s="20"/>
      <c r="CS128" s="20"/>
    </row>
    <row r="129" s="8" customFormat="1" spans="1:97">
      <c r="A129" s="20"/>
      <c r="B129" s="15"/>
      <c r="C129" s="24"/>
      <c r="D129" s="17"/>
      <c r="E129" s="17"/>
      <c r="F129" s="17"/>
      <c r="G129" s="17"/>
      <c r="H129" s="17"/>
      <c r="I129" s="21"/>
      <c r="J129" s="21"/>
      <c r="K129" s="24"/>
      <c r="L129" s="24"/>
      <c r="M129" s="24"/>
      <c r="N129" s="24"/>
      <c r="O129" s="24"/>
      <c r="P129" s="24"/>
      <c r="Q129" s="24"/>
      <c r="R129" s="24"/>
      <c r="S129" s="24"/>
      <c r="T129" s="24"/>
      <c r="U129" s="24"/>
      <c r="V129" s="24"/>
      <c r="W129" s="24"/>
      <c r="X129" s="24"/>
      <c r="Y129" s="24"/>
      <c r="Z129" s="24"/>
      <c r="AA129" s="24"/>
      <c r="AB129" s="24"/>
      <c r="AC129" s="24"/>
      <c r="AD129" s="24"/>
      <c r="AE129" s="24"/>
      <c r="AF129" s="24"/>
      <c r="AG129" s="24"/>
      <c r="AH129" s="24"/>
      <c r="AI129" s="24"/>
      <c r="AJ129" s="20"/>
      <c r="AK129" s="20"/>
      <c r="AL129" s="20"/>
      <c r="AM129" s="20"/>
      <c r="AN129" s="20"/>
      <c r="AO129" s="20"/>
      <c r="AP129" s="20"/>
      <c r="AQ129" s="20"/>
      <c r="AR129" s="20"/>
      <c r="AS129" s="20"/>
      <c r="AT129" s="20"/>
      <c r="AU129" s="20"/>
      <c r="AV129" s="20"/>
      <c r="AW129" s="20"/>
      <c r="AX129" s="20"/>
      <c r="AY129" s="20"/>
      <c r="AZ129" s="20"/>
      <c r="BA129" s="20"/>
      <c r="BB129" s="20"/>
      <c r="BC129" s="20"/>
      <c r="BD129" s="20"/>
      <c r="BE129" s="20"/>
      <c r="BF129" s="20"/>
      <c r="BG129" s="20"/>
      <c r="BH129" s="20"/>
      <c r="BI129" s="20"/>
      <c r="BJ129" s="20"/>
      <c r="BK129" s="20"/>
      <c r="BL129" s="20"/>
      <c r="BM129" s="20"/>
      <c r="BN129" s="20"/>
      <c r="BO129" s="20"/>
      <c r="BP129" s="20"/>
      <c r="BQ129" s="20"/>
      <c r="BR129" s="20"/>
      <c r="BS129" s="20"/>
      <c r="BT129" s="20"/>
      <c r="BU129" s="20"/>
      <c r="BV129" s="20"/>
      <c r="BW129" s="20"/>
      <c r="BX129" s="20"/>
      <c r="BY129" s="20"/>
      <c r="BZ129" s="20"/>
      <c r="CA129" s="20"/>
      <c r="CB129" s="20"/>
      <c r="CC129" s="20"/>
      <c r="CD129" s="20"/>
      <c r="CE129" s="20"/>
      <c r="CF129" s="20"/>
      <c r="CG129" s="20"/>
      <c r="CH129" s="20"/>
      <c r="CI129" s="20"/>
      <c r="CJ129" s="20"/>
      <c r="CK129" s="20"/>
      <c r="CL129" s="20"/>
      <c r="CM129" s="20"/>
      <c r="CN129" s="20"/>
      <c r="CO129" s="20"/>
      <c r="CP129" s="20"/>
      <c r="CQ129" s="20"/>
      <c r="CR129" s="20"/>
      <c r="CS129" s="20"/>
    </row>
    <row r="130" s="8" customFormat="1" spans="1:97">
      <c r="A130" s="20"/>
      <c r="B130" s="15"/>
      <c r="C130" s="24"/>
      <c r="D130" s="18" t="s">
        <v>39</v>
      </c>
      <c r="E130" s="18" t="s">
        <v>27</v>
      </c>
      <c r="F130" s="18" t="s">
        <v>50</v>
      </c>
      <c r="G130" s="18" t="s">
        <v>64</v>
      </c>
      <c r="H130" s="18" t="s">
        <v>37</v>
      </c>
      <c r="I130" s="22" t="s">
        <v>27</v>
      </c>
      <c r="J130" s="22" t="s">
        <v>25</v>
      </c>
      <c r="K130" s="24"/>
      <c r="L130" s="24"/>
      <c r="M130" s="24"/>
      <c r="N130" s="24"/>
      <c r="O130" s="24"/>
      <c r="P130" s="24"/>
      <c r="Q130" s="24"/>
      <c r="R130" s="24"/>
      <c r="S130" s="24"/>
      <c r="T130" s="24"/>
      <c r="U130" s="24"/>
      <c r="V130" s="24"/>
      <c r="W130" s="24"/>
      <c r="X130" s="24"/>
      <c r="Y130" s="24"/>
      <c r="Z130" s="24"/>
      <c r="AA130" s="24"/>
      <c r="AB130" s="24"/>
      <c r="AC130" s="24"/>
      <c r="AD130" s="24"/>
      <c r="AE130" s="24"/>
      <c r="AF130" s="24"/>
      <c r="AG130" s="24"/>
      <c r="AH130" s="24"/>
      <c r="AI130" s="24"/>
      <c r="AJ130" s="20"/>
      <c r="AK130" s="20"/>
      <c r="AL130" s="20"/>
      <c r="AM130" s="20"/>
      <c r="AN130" s="20"/>
      <c r="AO130" s="20"/>
      <c r="AP130" s="20"/>
      <c r="AQ130" s="20"/>
      <c r="AR130" s="20"/>
      <c r="AS130" s="20"/>
      <c r="AT130" s="20"/>
      <c r="AU130" s="20"/>
      <c r="AV130" s="20"/>
      <c r="AW130" s="20"/>
      <c r="AX130" s="20"/>
      <c r="AY130" s="20"/>
      <c r="AZ130" s="20"/>
      <c r="BA130" s="20"/>
      <c r="BB130" s="20"/>
      <c r="BC130" s="20"/>
      <c r="BD130" s="20"/>
      <c r="BE130" s="20"/>
      <c r="BF130" s="20"/>
      <c r="BG130" s="20"/>
      <c r="BH130" s="20"/>
      <c r="BI130" s="20"/>
      <c r="BJ130" s="20"/>
      <c r="BK130" s="20"/>
      <c r="BL130" s="20"/>
      <c r="BM130" s="20"/>
      <c r="BN130" s="20"/>
      <c r="BO130" s="20"/>
      <c r="BP130" s="20"/>
      <c r="BQ130" s="20"/>
      <c r="BR130" s="20"/>
      <c r="BS130" s="20"/>
      <c r="BT130" s="20"/>
      <c r="BU130" s="20"/>
      <c r="BV130" s="20"/>
      <c r="BW130" s="20"/>
      <c r="BX130" s="20"/>
      <c r="BY130" s="20"/>
      <c r="BZ130" s="20"/>
      <c r="CA130" s="20"/>
      <c r="CB130" s="20"/>
      <c r="CC130" s="20"/>
      <c r="CD130" s="20"/>
      <c r="CE130" s="20"/>
      <c r="CF130" s="20"/>
      <c r="CG130" s="20"/>
      <c r="CH130" s="20"/>
      <c r="CI130" s="20"/>
      <c r="CJ130" s="20"/>
      <c r="CK130" s="20"/>
      <c r="CL130" s="20"/>
      <c r="CM130" s="20"/>
      <c r="CN130" s="20"/>
      <c r="CO130" s="20"/>
      <c r="CP130" s="20"/>
      <c r="CQ130" s="20"/>
      <c r="CR130" s="20"/>
      <c r="CS130" s="20"/>
    </row>
    <row r="131" s="8" customFormat="1" spans="1:97">
      <c r="A131" s="20"/>
      <c r="B131" s="15"/>
      <c r="C131" s="24"/>
      <c r="D131" s="19" t="s">
        <v>298</v>
      </c>
      <c r="E131" s="19" t="s">
        <v>299</v>
      </c>
      <c r="F131" s="19" t="s">
        <v>300</v>
      </c>
      <c r="G131" s="19" t="s">
        <v>294</v>
      </c>
      <c r="H131" s="19" t="s">
        <v>301</v>
      </c>
      <c r="I131" s="23" t="s">
        <v>302</v>
      </c>
      <c r="J131" s="23" t="s">
        <v>303</v>
      </c>
      <c r="K131" s="24"/>
      <c r="L131" s="24"/>
      <c r="M131" s="24"/>
      <c r="N131" s="24"/>
      <c r="O131" s="24"/>
      <c r="P131" s="24"/>
      <c r="Q131" s="24"/>
      <c r="R131" s="24"/>
      <c r="S131" s="24"/>
      <c r="T131" s="24"/>
      <c r="U131" s="24"/>
      <c r="V131" s="24"/>
      <c r="W131" s="24"/>
      <c r="X131" s="24"/>
      <c r="Y131" s="24"/>
      <c r="Z131" s="24"/>
      <c r="AA131" s="24"/>
      <c r="AB131" s="24"/>
      <c r="AC131" s="24"/>
      <c r="AD131" s="24"/>
      <c r="AE131" s="24"/>
      <c r="AF131" s="24"/>
      <c r="AG131" s="24"/>
      <c r="AH131" s="24"/>
      <c r="AI131" s="24"/>
      <c r="AJ131" s="20"/>
      <c r="AK131" s="20"/>
      <c r="AL131" s="20"/>
      <c r="AM131" s="20"/>
      <c r="AN131" s="20"/>
      <c r="AO131" s="20"/>
      <c r="AP131" s="20"/>
      <c r="AQ131" s="20"/>
      <c r="AR131" s="20"/>
      <c r="AS131" s="20"/>
      <c r="AT131" s="20"/>
      <c r="AU131" s="20"/>
      <c r="AV131" s="20"/>
      <c r="AW131" s="20"/>
      <c r="AX131" s="20"/>
      <c r="AY131" s="20"/>
      <c r="AZ131" s="20"/>
      <c r="BA131" s="20"/>
      <c r="BB131" s="20"/>
      <c r="BC131" s="20"/>
      <c r="BD131" s="20"/>
      <c r="BE131" s="20"/>
      <c r="BF131" s="20"/>
      <c r="BG131" s="20"/>
      <c r="BH131" s="20"/>
      <c r="BI131" s="20"/>
      <c r="BJ131" s="20"/>
      <c r="BK131" s="20"/>
      <c r="BL131" s="20"/>
      <c r="BM131" s="20"/>
      <c r="BN131" s="20"/>
      <c r="BO131" s="20"/>
      <c r="BP131" s="20"/>
      <c r="BQ131" s="20"/>
      <c r="BR131" s="20"/>
      <c r="BS131" s="20"/>
      <c r="BT131" s="20"/>
      <c r="BU131" s="20"/>
      <c r="BV131" s="20"/>
      <c r="BW131" s="20"/>
      <c r="BX131" s="20"/>
      <c r="BY131" s="20"/>
      <c r="BZ131" s="20"/>
      <c r="CA131" s="20"/>
      <c r="CB131" s="20"/>
      <c r="CC131" s="20"/>
      <c r="CD131" s="20"/>
      <c r="CE131" s="20"/>
      <c r="CF131" s="20"/>
      <c r="CG131" s="20"/>
      <c r="CH131" s="20"/>
      <c r="CI131" s="20"/>
      <c r="CJ131" s="20"/>
      <c r="CK131" s="20"/>
      <c r="CL131" s="20"/>
      <c r="CM131" s="20"/>
      <c r="CN131" s="20"/>
      <c r="CO131" s="20"/>
      <c r="CP131" s="20"/>
      <c r="CQ131" s="20"/>
      <c r="CR131" s="20"/>
      <c r="CS131" s="20"/>
    </row>
    <row r="132" s="8" customFormat="1" spans="1:97">
      <c r="A132" s="20"/>
      <c r="B132" s="15"/>
      <c r="C132" s="24"/>
      <c r="D132" s="18"/>
      <c r="E132" s="18"/>
      <c r="F132" s="18"/>
      <c r="G132" s="18"/>
      <c r="H132" s="18"/>
      <c r="I132" s="22"/>
      <c r="J132" s="22"/>
      <c r="K132" s="24"/>
      <c r="L132" s="24"/>
      <c r="M132" s="24"/>
      <c r="N132" s="24"/>
      <c r="O132" s="24"/>
      <c r="P132" s="24"/>
      <c r="Q132" s="24"/>
      <c r="R132" s="24"/>
      <c r="S132" s="24"/>
      <c r="T132" s="24"/>
      <c r="U132" s="24"/>
      <c r="V132" s="24"/>
      <c r="W132" s="24"/>
      <c r="X132" s="24"/>
      <c r="Y132" s="24"/>
      <c r="Z132" s="24"/>
      <c r="AA132" s="24"/>
      <c r="AB132" s="24"/>
      <c r="AC132" s="24"/>
      <c r="AD132" s="24"/>
      <c r="AE132" s="24"/>
      <c r="AF132" s="24"/>
      <c r="AG132" s="24"/>
      <c r="AH132" s="24"/>
      <c r="AI132" s="24"/>
      <c r="AJ132" s="20"/>
      <c r="AK132" s="20"/>
      <c r="AL132" s="20"/>
      <c r="AM132" s="20"/>
      <c r="AN132" s="20"/>
      <c r="AO132" s="20"/>
      <c r="AP132" s="20"/>
      <c r="AQ132" s="20"/>
      <c r="AR132" s="20"/>
      <c r="AS132" s="20"/>
      <c r="AT132" s="20"/>
      <c r="AU132" s="20"/>
      <c r="AV132" s="20"/>
      <c r="AW132" s="20"/>
      <c r="AX132" s="20"/>
      <c r="AY132" s="20"/>
      <c r="AZ132" s="20"/>
      <c r="BA132" s="20"/>
      <c r="BB132" s="20"/>
      <c r="BC132" s="20"/>
      <c r="BD132" s="20"/>
      <c r="BE132" s="20"/>
      <c r="BF132" s="20"/>
      <c r="BG132" s="20"/>
      <c r="BH132" s="20"/>
      <c r="BI132" s="20"/>
      <c r="BJ132" s="20"/>
      <c r="BK132" s="20"/>
      <c r="BL132" s="20"/>
      <c r="BM132" s="20"/>
      <c r="BN132" s="20"/>
      <c r="BO132" s="20"/>
      <c r="BP132" s="20"/>
      <c r="BQ132" s="20"/>
      <c r="BR132" s="20"/>
      <c r="BS132" s="20"/>
      <c r="BT132" s="20"/>
      <c r="BU132" s="20"/>
      <c r="BV132" s="20"/>
      <c r="BW132" s="20"/>
      <c r="BX132" s="20"/>
      <c r="BY132" s="20"/>
      <c r="BZ132" s="20"/>
      <c r="CA132" s="20"/>
      <c r="CB132" s="20"/>
      <c r="CC132" s="20"/>
      <c r="CD132" s="20"/>
      <c r="CE132" s="20"/>
      <c r="CF132" s="20"/>
      <c r="CG132" s="20"/>
      <c r="CH132" s="20"/>
      <c r="CI132" s="20"/>
      <c r="CJ132" s="20"/>
      <c r="CK132" s="20"/>
      <c r="CL132" s="20"/>
      <c r="CM132" s="20"/>
      <c r="CN132" s="20"/>
      <c r="CO132" s="20"/>
      <c r="CP132" s="20"/>
      <c r="CQ132" s="20"/>
      <c r="CR132" s="20"/>
      <c r="CS132" s="20"/>
    </row>
    <row r="133" s="8" customFormat="1" spans="1:97">
      <c r="A133" s="20"/>
      <c r="B133" s="15"/>
      <c r="C133" s="24"/>
      <c r="D133" s="17"/>
      <c r="E133" s="17"/>
      <c r="F133" s="17"/>
      <c r="G133" s="17"/>
      <c r="H133" s="17"/>
      <c r="I133" s="21"/>
      <c r="J133" s="21"/>
      <c r="K133" s="24"/>
      <c r="L133" s="24"/>
      <c r="M133" s="24"/>
      <c r="N133" s="24"/>
      <c r="O133" s="24"/>
      <c r="P133" s="24"/>
      <c r="Q133" s="24"/>
      <c r="R133" s="24"/>
      <c r="S133" s="24"/>
      <c r="T133" s="24"/>
      <c r="U133" s="24"/>
      <c r="V133" s="24"/>
      <c r="W133" s="24"/>
      <c r="X133" s="24"/>
      <c r="Y133" s="24"/>
      <c r="Z133" s="24"/>
      <c r="AA133" s="24"/>
      <c r="AB133" s="24"/>
      <c r="AC133" s="24"/>
      <c r="AD133" s="24"/>
      <c r="AE133" s="24"/>
      <c r="AF133" s="24"/>
      <c r="AG133" s="24"/>
      <c r="AH133" s="24"/>
      <c r="AI133" s="24"/>
      <c r="AJ133" s="20"/>
      <c r="AK133" s="20"/>
      <c r="AL133" s="20"/>
      <c r="AM133" s="20"/>
      <c r="AN133" s="20"/>
      <c r="AO133" s="20"/>
      <c r="AP133" s="20"/>
      <c r="AQ133" s="20"/>
      <c r="AR133" s="20"/>
      <c r="AS133" s="20"/>
      <c r="AT133" s="20"/>
      <c r="AU133" s="20"/>
      <c r="AV133" s="20"/>
      <c r="AW133" s="20"/>
      <c r="AX133" s="20"/>
      <c r="AY133" s="20"/>
      <c r="AZ133" s="20"/>
      <c r="BA133" s="20"/>
      <c r="BB133" s="20"/>
      <c r="BC133" s="20"/>
      <c r="BD133" s="20"/>
      <c r="BE133" s="20"/>
      <c r="BF133" s="20"/>
      <c r="BG133" s="20"/>
      <c r="BH133" s="20"/>
      <c r="BI133" s="20"/>
      <c r="BJ133" s="20"/>
      <c r="BK133" s="20"/>
      <c r="BL133" s="20"/>
      <c r="BM133" s="20"/>
      <c r="BN133" s="20"/>
      <c r="BO133" s="20"/>
      <c r="BP133" s="20"/>
      <c r="BQ133" s="20"/>
      <c r="BR133" s="20"/>
      <c r="BS133" s="20"/>
      <c r="BT133" s="20"/>
      <c r="BU133" s="20"/>
      <c r="BV133" s="20"/>
      <c r="BW133" s="20"/>
      <c r="BX133" s="20"/>
      <c r="BY133" s="20"/>
      <c r="BZ133" s="20"/>
      <c r="CA133" s="20"/>
      <c r="CB133" s="20"/>
      <c r="CC133" s="20"/>
      <c r="CD133" s="20"/>
      <c r="CE133" s="20"/>
      <c r="CF133" s="20"/>
      <c r="CG133" s="20"/>
      <c r="CH133" s="20"/>
      <c r="CI133" s="20"/>
      <c r="CJ133" s="20"/>
      <c r="CK133" s="20"/>
      <c r="CL133" s="20"/>
      <c r="CM133" s="20"/>
      <c r="CN133" s="20"/>
      <c r="CO133" s="20"/>
      <c r="CP133" s="20"/>
      <c r="CQ133" s="20"/>
      <c r="CR133" s="20"/>
      <c r="CS133" s="20"/>
    </row>
    <row r="134" s="8" customFormat="1" spans="1:97">
      <c r="A134" s="20"/>
      <c r="B134" s="15"/>
      <c r="C134" s="24"/>
      <c r="D134" s="18" t="s">
        <v>47</v>
      </c>
      <c r="E134" s="18" t="s">
        <v>39</v>
      </c>
      <c r="F134" s="18" t="s">
        <v>66</v>
      </c>
      <c r="G134" s="18" t="s">
        <v>31</v>
      </c>
      <c r="H134" s="18" t="s">
        <v>62</v>
      </c>
      <c r="I134" s="22" t="s">
        <v>35</v>
      </c>
      <c r="J134" s="25" t="s">
        <v>63</v>
      </c>
      <c r="K134" s="24"/>
      <c r="L134" s="24"/>
      <c r="M134" s="24"/>
      <c r="N134" s="24"/>
      <c r="O134" s="24"/>
      <c r="P134" s="24"/>
      <c r="Q134" s="24"/>
      <c r="R134" s="24"/>
      <c r="S134" s="24"/>
      <c r="T134" s="24"/>
      <c r="U134" s="24"/>
      <c r="V134" s="24"/>
      <c r="W134" s="24"/>
      <c r="X134" s="24"/>
      <c r="Y134" s="24"/>
      <c r="Z134" s="24"/>
      <c r="AA134" s="24"/>
      <c r="AB134" s="24"/>
      <c r="AC134" s="24"/>
      <c r="AD134" s="24"/>
      <c r="AE134" s="24"/>
      <c r="AF134" s="24"/>
      <c r="AG134" s="24"/>
      <c r="AH134" s="24"/>
      <c r="AI134" s="24"/>
      <c r="AJ134" s="20"/>
      <c r="AK134" s="20"/>
      <c r="AL134" s="20"/>
      <c r="AM134" s="20"/>
      <c r="AN134" s="20"/>
      <c r="AO134" s="20"/>
      <c r="AP134" s="20"/>
      <c r="AQ134" s="20"/>
      <c r="AR134" s="20"/>
      <c r="AS134" s="20"/>
      <c r="AT134" s="20"/>
      <c r="AU134" s="20"/>
      <c r="AV134" s="20"/>
      <c r="AW134" s="20"/>
      <c r="AX134" s="20"/>
      <c r="AY134" s="20"/>
      <c r="AZ134" s="20"/>
      <c r="BA134" s="20"/>
      <c r="BB134" s="20"/>
      <c r="BC134" s="20"/>
      <c r="BD134" s="20"/>
      <c r="BE134" s="20"/>
      <c r="BF134" s="20"/>
      <c r="BG134" s="20"/>
      <c r="BH134" s="20"/>
      <c r="BI134" s="20"/>
      <c r="BJ134" s="20"/>
      <c r="BK134" s="20"/>
      <c r="BL134" s="20"/>
      <c r="BM134" s="20"/>
      <c r="BN134" s="20"/>
      <c r="BO134" s="20"/>
      <c r="BP134" s="20"/>
      <c r="BQ134" s="20"/>
      <c r="BR134" s="20"/>
      <c r="BS134" s="20"/>
      <c r="BT134" s="20"/>
      <c r="BU134" s="20"/>
      <c r="BV134" s="20"/>
      <c r="BW134" s="20"/>
      <c r="BX134" s="20"/>
      <c r="BY134" s="20"/>
      <c r="BZ134" s="20"/>
      <c r="CA134" s="20"/>
      <c r="CB134" s="20"/>
      <c r="CC134" s="20"/>
      <c r="CD134" s="20"/>
      <c r="CE134" s="20"/>
      <c r="CF134" s="20"/>
      <c r="CG134" s="20"/>
      <c r="CH134" s="20"/>
      <c r="CI134" s="20"/>
      <c r="CJ134" s="20"/>
      <c r="CK134" s="20"/>
      <c r="CL134" s="20"/>
      <c r="CM134" s="20"/>
      <c r="CN134" s="20"/>
      <c r="CO134" s="20"/>
      <c r="CP134" s="20"/>
      <c r="CQ134" s="20"/>
      <c r="CR134" s="20"/>
      <c r="CS134" s="20"/>
    </row>
    <row r="135" s="8" customFormat="1" spans="1:97">
      <c r="A135" s="20"/>
      <c r="B135" s="15"/>
      <c r="C135" s="24"/>
      <c r="D135" s="19" t="s">
        <v>304</v>
      </c>
      <c r="E135" s="19" t="s">
        <v>305</v>
      </c>
      <c r="F135" s="19" t="s">
        <v>306</v>
      </c>
      <c r="G135" s="19" t="s">
        <v>307</v>
      </c>
      <c r="H135" s="19" t="s">
        <v>308</v>
      </c>
      <c r="I135" s="23" t="s">
        <v>309</v>
      </c>
      <c r="J135" s="23" t="s">
        <v>310</v>
      </c>
      <c r="K135" s="24"/>
      <c r="L135" s="24"/>
      <c r="M135" s="24"/>
      <c r="N135" s="24"/>
      <c r="O135" s="24"/>
      <c r="P135" s="24"/>
      <c r="Q135" s="24"/>
      <c r="R135" s="24"/>
      <c r="S135" s="24"/>
      <c r="T135" s="24"/>
      <c r="U135" s="24"/>
      <c r="V135" s="24"/>
      <c r="W135" s="24"/>
      <c r="X135" s="24"/>
      <c r="Y135" s="24"/>
      <c r="Z135" s="24"/>
      <c r="AA135" s="24"/>
      <c r="AB135" s="24"/>
      <c r="AC135" s="24"/>
      <c r="AD135" s="24"/>
      <c r="AE135" s="24"/>
      <c r="AF135" s="24"/>
      <c r="AG135" s="24"/>
      <c r="AH135" s="24"/>
      <c r="AI135" s="24"/>
      <c r="AJ135" s="20"/>
      <c r="AK135" s="20"/>
      <c r="AL135" s="20"/>
      <c r="AM135" s="20"/>
      <c r="AN135" s="20"/>
      <c r="AO135" s="20"/>
      <c r="AP135" s="20"/>
      <c r="AQ135" s="20"/>
      <c r="AR135" s="20"/>
      <c r="AS135" s="20"/>
      <c r="AT135" s="20"/>
      <c r="AU135" s="20"/>
      <c r="AV135" s="20"/>
      <c r="AW135" s="20"/>
      <c r="AX135" s="20"/>
      <c r="AY135" s="20"/>
      <c r="AZ135" s="20"/>
      <c r="BA135" s="20"/>
      <c r="BB135" s="20"/>
      <c r="BC135" s="20"/>
      <c r="BD135" s="20"/>
      <c r="BE135" s="20"/>
      <c r="BF135" s="20"/>
      <c r="BG135" s="20"/>
      <c r="BH135" s="20"/>
      <c r="BI135" s="20"/>
      <c r="BJ135" s="20"/>
      <c r="BK135" s="20"/>
      <c r="BL135" s="20"/>
      <c r="BM135" s="20"/>
      <c r="BN135" s="20"/>
      <c r="BO135" s="20"/>
      <c r="BP135" s="20"/>
      <c r="BQ135" s="20"/>
      <c r="BR135" s="20"/>
      <c r="BS135" s="20"/>
      <c r="BT135" s="20"/>
      <c r="BU135" s="20"/>
      <c r="BV135" s="20"/>
      <c r="BW135" s="20"/>
      <c r="BX135" s="20"/>
      <c r="BY135" s="20"/>
      <c r="BZ135" s="20"/>
      <c r="CA135" s="20"/>
      <c r="CB135" s="20"/>
      <c r="CC135" s="20"/>
      <c r="CD135" s="20"/>
      <c r="CE135" s="20"/>
      <c r="CF135" s="20"/>
      <c r="CG135" s="20"/>
      <c r="CH135" s="20"/>
      <c r="CI135" s="20"/>
      <c r="CJ135" s="20"/>
      <c r="CK135" s="20"/>
      <c r="CL135" s="20"/>
      <c r="CM135" s="20"/>
      <c r="CN135" s="20"/>
      <c r="CO135" s="20"/>
      <c r="CP135" s="20"/>
      <c r="CQ135" s="20"/>
      <c r="CR135" s="20"/>
      <c r="CS135" s="20"/>
    </row>
    <row r="136" s="8" customFormat="1" spans="1:97">
      <c r="A136" s="20"/>
      <c r="B136" s="15"/>
      <c r="C136" s="24"/>
      <c r="D136" s="17"/>
      <c r="E136" s="17"/>
      <c r="F136" s="17"/>
      <c r="G136" s="17"/>
      <c r="H136" s="17"/>
      <c r="I136" s="21"/>
      <c r="J136" s="21"/>
      <c r="K136" s="24"/>
      <c r="L136" s="24"/>
      <c r="M136" s="24"/>
      <c r="N136" s="24"/>
      <c r="O136" s="24"/>
      <c r="P136" s="24"/>
      <c r="Q136" s="24"/>
      <c r="R136" s="24"/>
      <c r="S136" s="24"/>
      <c r="T136" s="24"/>
      <c r="U136" s="24"/>
      <c r="V136" s="24"/>
      <c r="W136" s="24"/>
      <c r="X136" s="24"/>
      <c r="Y136" s="24"/>
      <c r="Z136" s="24"/>
      <c r="AA136" s="24"/>
      <c r="AB136" s="24"/>
      <c r="AC136" s="24"/>
      <c r="AD136" s="24"/>
      <c r="AE136" s="24"/>
      <c r="AF136" s="24"/>
      <c r="AG136" s="24"/>
      <c r="AH136" s="24"/>
      <c r="AI136" s="24"/>
      <c r="AJ136" s="20"/>
      <c r="AK136" s="20"/>
      <c r="AL136" s="20"/>
      <c r="AM136" s="20"/>
      <c r="AN136" s="20"/>
      <c r="AO136" s="20"/>
      <c r="AP136" s="20"/>
      <c r="AQ136" s="20"/>
      <c r="AR136" s="20"/>
      <c r="AS136" s="20"/>
      <c r="AT136" s="20"/>
      <c r="AU136" s="20"/>
      <c r="AV136" s="20"/>
      <c r="AW136" s="20"/>
      <c r="AX136" s="20"/>
      <c r="AY136" s="20"/>
      <c r="AZ136" s="20"/>
      <c r="BA136" s="20"/>
      <c r="BB136" s="20"/>
      <c r="BC136" s="20"/>
      <c r="BD136" s="20"/>
      <c r="BE136" s="20"/>
      <c r="BF136" s="20"/>
      <c r="BG136" s="20"/>
      <c r="BH136" s="20"/>
      <c r="BI136" s="20"/>
      <c r="BJ136" s="20"/>
      <c r="BK136" s="20"/>
      <c r="BL136" s="20"/>
      <c r="BM136" s="20"/>
      <c r="BN136" s="20"/>
      <c r="BO136" s="20"/>
      <c r="BP136" s="20"/>
      <c r="BQ136" s="20"/>
      <c r="BR136" s="20"/>
      <c r="BS136" s="20"/>
      <c r="BT136" s="20"/>
      <c r="BU136" s="20"/>
      <c r="BV136" s="20"/>
      <c r="BW136" s="20"/>
      <c r="BX136" s="20"/>
      <c r="BY136" s="20"/>
      <c r="BZ136" s="20"/>
      <c r="CA136" s="20"/>
      <c r="CB136" s="20"/>
      <c r="CC136" s="20"/>
      <c r="CD136" s="20"/>
      <c r="CE136" s="20"/>
      <c r="CF136" s="20"/>
      <c r="CG136" s="20"/>
      <c r="CH136" s="20"/>
      <c r="CI136" s="20"/>
      <c r="CJ136" s="20"/>
      <c r="CK136" s="20"/>
      <c r="CL136" s="20"/>
      <c r="CM136" s="20"/>
      <c r="CN136" s="20"/>
      <c r="CO136" s="20"/>
      <c r="CP136" s="20"/>
      <c r="CQ136" s="20"/>
      <c r="CR136" s="20"/>
      <c r="CS136" s="20"/>
    </row>
    <row r="137" s="8" customFormat="1" spans="1:97">
      <c r="A137" s="20"/>
      <c r="B137" s="15"/>
      <c r="C137" s="24"/>
      <c r="D137" s="18" t="s">
        <v>50</v>
      </c>
      <c r="E137" s="18" t="s">
        <v>50</v>
      </c>
      <c r="F137" s="18" t="s">
        <v>41</v>
      </c>
      <c r="G137" s="18" t="s">
        <v>62</v>
      </c>
      <c r="H137" s="18" t="s">
        <v>67</v>
      </c>
      <c r="I137" s="22" t="s">
        <v>66</v>
      </c>
      <c r="J137" s="22" t="s">
        <v>56</v>
      </c>
      <c r="K137" s="24"/>
      <c r="L137" s="24"/>
      <c r="M137" s="24"/>
      <c r="N137" s="24"/>
      <c r="O137" s="24"/>
      <c r="P137" s="24"/>
      <c r="Q137" s="24"/>
      <c r="R137" s="24"/>
      <c r="S137" s="24"/>
      <c r="T137" s="24"/>
      <c r="U137" s="24"/>
      <c r="V137" s="24"/>
      <c r="W137" s="24"/>
      <c r="X137" s="24"/>
      <c r="Y137" s="24"/>
      <c r="Z137" s="24"/>
      <c r="AA137" s="24"/>
      <c r="AB137" s="24"/>
      <c r="AC137" s="24"/>
      <c r="AD137" s="24"/>
      <c r="AE137" s="24"/>
      <c r="AF137" s="24"/>
      <c r="AG137" s="24"/>
      <c r="AH137" s="24"/>
      <c r="AI137" s="24"/>
      <c r="AJ137" s="20"/>
      <c r="AK137" s="20"/>
      <c r="AL137" s="20"/>
      <c r="AM137" s="20"/>
      <c r="AN137" s="20"/>
      <c r="AO137" s="20"/>
      <c r="AP137" s="20"/>
      <c r="AQ137" s="20"/>
      <c r="AR137" s="20"/>
      <c r="AS137" s="20"/>
      <c r="AT137" s="20"/>
      <c r="AU137" s="20"/>
      <c r="AV137" s="20"/>
      <c r="AW137" s="20"/>
      <c r="AX137" s="20"/>
      <c r="AY137" s="20"/>
      <c r="AZ137" s="20"/>
      <c r="BA137" s="20"/>
      <c r="BB137" s="20"/>
      <c r="BC137" s="20"/>
      <c r="BD137" s="20"/>
      <c r="BE137" s="20"/>
      <c r="BF137" s="20"/>
      <c r="BG137" s="20"/>
      <c r="BH137" s="20"/>
      <c r="BI137" s="20"/>
      <c r="BJ137" s="20"/>
      <c r="BK137" s="20"/>
      <c r="BL137" s="20"/>
      <c r="BM137" s="20"/>
      <c r="BN137" s="20"/>
      <c r="BO137" s="20"/>
      <c r="BP137" s="20"/>
      <c r="BQ137" s="20"/>
      <c r="BR137" s="20"/>
      <c r="BS137" s="20"/>
      <c r="BT137" s="20"/>
      <c r="BU137" s="20"/>
      <c r="BV137" s="20"/>
      <c r="BW137" s="20"/>
      <c r="BX137" s="20"/>
      <c r="BY137" s="20"/>
      <c r="BZ137" s="20"/>
      <c r="CA137" s="20"/>
      <c r="CB137" s="20"/>
      <c r="CC137" s="20"/>
      <c r="CD137" s="20"/>
      <c r="CE137" s="20"/>
      <c r="CF137" s="20"/>
      <c r="CG137" s="20"/>
      <c r="CH137" s="20"/>
      <c r="CI137" s="20"/>
      <c r="CJ137" s="20"/>
      <c r="CK137" s="20"/>
      <c r="CL137" s="20"/>
      <c r="CM137" s="20"/>
      <c r="CN137" s="20"/>
      <c r="CO137" s="20"/>
      <c r="CP137" s="20"/>
      <c r="CQ137" s="20"/>
      <c r="CR137" s="20"/>
      <c r="CS137" s="20"/>
    </row>
    <row r="138" s="8" customFormat="1" spans="1:97">
      <c r="A138" s="20"/>
      <c r="B138" s="15"/>
      <c r="C138" s="24"/>
      <c r="D138" s="19" t="s">
        <v>311</v>
      </c>
      <c r="E138" s="19" t="s">
        <v>312</v>
      </c>
      <c r="F138" s="19" t="s">
        <v>281</v>
      </c>
      <c r="G138" s="19" t="s">
        <v>313</v>
      </c>
      <c r="H138" s="19" t="s">
        <v>314</v>
      </c>
      <c r="I138" s="23" t="s">
        <v>315</v>
      </c>
      <c r="J138" s="23" t="s">
        <v>316</v>
      </c>
      <c r="K138" s="24"/>
      <c r="L138" s="24"/>
      <c r="M138" s="24"/>
      <c r="N138" s="24"/>
      <c r="O138" s="24"/>
      <c r="P138" s="24"/>
      <c r="Q138" s="24"/>
      <c r="R138" s="24"/>
      <c r="S138" s="24"/>
      <c r="T138" s="24"/>
      <c r="U138" s="24"/>
      <c r="V138" s="24"/>
      <c r="W138" s="24"/>
      <c r="X138" s="24"/>
      <c r="Y138" s="24"/>
      <c r="Z138" s="24"/>
      <c r="AA138" s="24"/>
      <c r="AB138" s="24"/>
      <c r="AC138" s="24"/>
      <c r="AD138" s="24"/>
      <c r="AE138" s="24"/>
      <c r="AF138" s="24"/>
      <c r="AG138" s="24"/>
      <c r="AH138" s="24"/>
      <c r="AI138" s="24"/>
      <c r="AJ138" s="20"/>
      <c r="AK138" s="20"/>
      <c r="AL138" s="20"/>
      <c r="AM138" s="20"/>
      <c r="AN138" s="20"/>
      <c r="AO138" s="20"/>
      <c r="AP138" s="20"/>
      <c r="AQ138" s="20"/>
      <c r="AR138" s="20"/>
      <c r="AS138" s="20"/>
      <c r="AT138" s="20"/>
      <c r="AU138" s="20"/>
      <c r="AV138" s="20"/>
      <c r="AW138" s="20"/>
      <c r="AX138" s="20"/>
      <c r="AY138" s="20"/>
      <c r="AZ138" s="20"/>
      <c r="BA138" s="20"/>
      <c r="BB138" s="20"/>
      <c r="BC138" s="20"/>
      <c r="BD138" s="20"/>
      <c r="BE138" s="20"/>
      <c r="BF138" s="20"/>
      <c r="BG138" s="20"/>
      <c r="BH138" s="20"/>
      <c r="BI138" s="20"/>
      <c r="BJ138" s="20"/>
      <c r="BK138" s="20"/>
      <c r="BL138" s="20"/>
      <c r="BM138" s="20"/>
      <c r="BN138" s="20"/>
      <c r="BO138" s="20"/>
      <c r="BP138" s="20"/>
      <c r="BQ138" s="20"/>
      <c r="BR138" s="20"/>
      <c r="BS138" s="20"/>
      <c r="BT138" s="20"/>
      <c r="BU138" s="20"/>
      <c r="BV138" s="20"/>
      <c r="BW138" s="20"/>
      <c r="BX138" s="20"/>
      <c r="BY138" s="20"/>
      <c r="BZ138" s="20"/>
      <c r="CA138" s="20"/>
      <c r="CB138" s="20"/>
      <c r="CC138" s="20"/>
      <c r="CD138" s="20"/>
      <c r="CE138" s="20"/>
      <c r="CF138" s="20"/>
      <c r="CG138" s="20"/>
      <c r="CH138" s="20"/>
      <c r="CI138" s="20"/>
      <c r="CJ138" s="20"/>
      <c r="CK138" s="20"/>
      <c r="CL138" s="20"/>
      <c r="CM138" s="20"/>
      <c r="CN138" s="20"/>
      <c r="CO138" s="20"/>
      <c r="CP138" s="20"/>
      <c r="CQ138" s="20"/>
      <c r="CR138" s="20"/>
      <c r="CS138" s="20"/>
    </row>
    <row r="139" s="8" customFormat="1" spans="1:97">
      <c r="A139" s="20"/>
      <c r="B139" s="15"/>
      <c r="C139" s="24"/>
      <c r="D139" s="18"/>
      <c r="E139" s="18"/>
      <c r="F139" s="18"/>
      <c r="G139" s="18"/>
      <c r="H139" s="18"/>
      <c r="I139" s="22"/>
      <c r="J139" s="22"/>
      <c r="K139" s="24"/>
      <c r="L139" s="24"/>
      <c r="M139" s="24"/>
      <c r="N139" s="24"/>
      <c r="O139" s="24"/>
      <c r="P139" s="24"/>
      <c r="Q139" s="24"/>
      <c r="R139" s="24"/>
      <c r="S139" s="24"/>
      <c r="T139" s="24"/>
      <c r="U139" s="24"/>
      <c r="V139" s="24"/>
      <c r="W139" s="24"/>
      <c r="X139" s="24"/>
      <c r="Y139" s="24"/>
      <c r="Z139" s="24"/>
      <c r="AA139" s="24"/>
      <c r="AB139" s="24"/>
      <c r="AC139" s="24"/>
      <c r="AD139" s="24"/>
      <c r="AE139" s="24"/>
      <c r="AF139" s="24"/>
      <c r="AG139" s="24"/>
      <c r="AH139" s="24"/>
      <c r="AI139" s="24"/>
      <c r="AJ139" s="20"/>
      <c r="AK139" s="20"/>
      <c r="AL139" s="20"/>
      <c r="AM139" s="20"/>
      <c r="AN139" s="20"/>
      <c r="AO139" s="20"/>
      <c r="AP139" s="20"/>
      <c r="AQ139" s="20"/>
      <c r="AR139" s="20"/>
      <c r="AS139" s="20"/>
      <c r="AT139" s="20"/>
      <c r="AU139" s="20"/>
      <c r="AV139" s="20"/>
      <c r="AW139" s="20"/>
      <c r="AX139" s="20"/>
      <c r="AY139" s="20"/>
      <c r="AZ139" s="20"/>
      <c r="BA139" s="20"/>
      <c r="BB139" s="20"/>
      <c r="BC139" s="20"/>
      <c r="BD139" s="20"/>
      <c r="BE139" s="20"/>
      <c r="BF139" s="20"/>
      <c r="BG139" s="20"/>
      <c r="BH139" s="20"/>
      <c r="BI139" s="20"/>
      <c r="BJ139" s="20"/>
      <c r="BK139" s="20"/>
      <c r="BL139" s="20"/>
      <c r="BM139" s="20"/>
      <c r="BN139" s="20"/>
      <c r="BO139" s="20"/>
      <c r="BP139" s="20"/>
      <c r="BQ139" s="20"/>
      <c r="BR139" s="20"/>
      <c r="BS139" s="20"/>
      <c r="BT139" s="20"/>
      <c r="BU139" s="20"/>
      <c r="BV139" s="20"/>
      <c r="BW139" s="20"/>
      <c r="BX139" s="20"/>
      <c r="BY139" s="20"/>
      <c r="BZ139" s="20"/>
      <c r="CA139" s="20"/>
      <c r="CB139" s="20"/>
      <c r="CC139" s="20"/>
      <c r="CD139" s="20"/>
      <c r="CE139" s="20"/>
      <c r="CF139" s="20"/>
      <c r="CG139" s="20"/>
      <c r="CH139" s="20"/>
      <c r="CI139" s="20"/>
      <c r="CJ139" s="20"/>
      <c r="CK139" s="20"/>
      <c r="CL139" s="20"/>
      <c r="CM139" s="20"/>
      <c r="CN139" s="20"/>
      <c r="CO139" s="20"/>
      <c r="CP139" s="20"/>
      <c r="CQ139" s="20"/>
      <c r="CR139" s="20"/>
      <c r="CS139" s="20"/>
    </row>
    <row r="140" s="8" customFormat="1" spans="1:97">
      <c r="A140" s="20"/>
      <c r="B140" s="15"/>
      <c r="C140" s="24"/>
      <c r="D140" s="17"/>
      <c r="E140" s="17"/>
      <c r="F140" s="17"/>
      <c r="G140" s="17"/>
      <c r="H140" s="17"/>
      <c r="I140" s="21"/>
      <c r="J140" s="21"/>
      <c r="K140" s="24"/>
      <c r="L140" s="24"/>
      <c r="M140" s="24"/>
      <c r="N140" s="24"/>
      <c r="O140" s="24"/>
      <c r="P140" s="24"/>
      <c r="Q140" s="24"/>
      <c r="R140" s="24"/>
      <c r="S140" s="24"/>
      <c r="T140" s="24"/>
      <c r="U140" s="24"/>
      <c r="V140" s="24"/>
      <c r="W140" s="24"/>
      <c r="X140" s="24"/>
      <c r="Y140" s="24"/>
      <c r="Z140" s="24"/>
      <c r="AA140" s="24"/>
      <c r="AB140" s="24"/>
      <c r="AC140" s="24"/>
      <c r="AD140" s="24"/>
      <c r="AE140" s="24"/>
      <c r="AF140" s="24"/>
      <c r="AG140" s="24"/>
      <c r="AH140" s="24"/>
      <c r="AI140" s="24"/>
      <c r="AJ140" s="20"/>
      <c r="AK140" s="20"/>
      <c r="AL140" s="20"/>
      <c r="AM140" s="20"/>
      <c r="AN140" s="20"/>
      <c r="AO140" s="20"/>
      <c r="AP140" s="20"/>
      <c r="AQ140" s="20"/>
      <c r="AR140" s="20"/>
      <c r="AS140" s="20"/>
      <c r="AT140" s="20"/>
      <c r="AU140" s="20"/>
      <c r="AV140" s="20"/>
      <c r="AW140" s="20"/>
      <c r="AX140" s="20"/>
      <c r="AY140" s="20"/>
      <c r="AZ140" s="20"/>
      <c r="BA140" s="20"/>
      <c r="BB140" s="20"/>
      <c r="BC140" s="20"/>
      <c r="BD140" s="20"/>
      <c r="BE140" s="20"/>
      <c r="BF140" s="20"/>
      <c r="BG140" s="20"/>
      <c r="BH140" s="20"/>
      <c r="BI140" s="20"/>
      <c r="BJ140" s="20"/>
      <c r="BK140" s="20"/>
      <c r="BL140" s="20"/>
      <c r="BM140" s="20"/>
      <c r="BN140" s="20"/>
      <c r="BO140" s="20"/>
      <c r="BP140" s="20"/>
      <c r="BQ140" s="20"/>
      <c r="BR140" s="20"/>
      <c r="BS140" s="20"/>
      <c r="BT140" s="20"/>
      <c r="BU140" s="20"/>
      <c r="BV140" s="20"/>
      <c r="BW140" s="20"/>
      <c r="BX140" s="20"/>
      <c r="BY140" s="20"/>
      <c r="BZ140" s="20"/>
      <c r="CA140" s="20"/>
      <c r="CB140" s="20"/>
      <c r="CC140" s="20"/>
      <c r="CD140" s="20"/>
      <c r="CE140" s="20"/>
      <c r="CF140" s="20"/>
      <c r="CG140" s="20"/>
      <c r="CH140" s="20"/>
      <c r="CI140" s="20"/>
      <c r="CJ140" s="20"/>
      <c r="CK140" s="20"/>
      <c r="CL140" s="20"/>
      <c r="CM140" s="20"/>
      <c r="CN140" s="20"/>
      <c r="CO140" s="20"/>
      <c r="CP140" s="20"/>
      <c r="CQ140" s="20"/>
      <c r="CR140" s="20"/>
      <c r="CS140" s="20"/>
    </row>
    <row r="141" s="8" customFormat="1" spans="1:97">
      <c r="A141" s="20"/>
      <c r="B141" s="15"/>
      <c r="C141" s="24"/>
      <c r="D141" s="18" t="s">
        <v>25</v>
      </c>
      <c r="E141" s="18" t="s">
        <v>66</v>
      </c>
      <c r="F141" s="18" t="s">
        <v>68</v>
      </c>
      <c r="G141" s="18" t="s">
        <v>47</v>
      </c>
      <c r="H141" s="18" t="s">
        <v>68</v>
      </c>
      <c r="I141" s="22" t="s">
        <v>64</v>
      </c>
      <c r="J141" s="22" t="s">
        <v>66</v>
      </c>
      <c r="K141" s="24"/>
      <c r="L141" s="24"/>
      <c r="M141" s="24"/>
      <c r="N141" s="24"/>
      <c r="O141" s="24"/>
      <c r="P141" s="24"/>
      <c r="Q141" s="24"/>
      <c r="R141" s="24"/>
      <c r="S141" s="24"/>
      <c r="T141" s="24"/>
      <c r="U141" s="24"/>
      <c r="V141" s="24"/>
      <c r="W141" s="24"/>
      <c r="X141" s="24"/>
      <c r="Y141" s="24"/>
      <c r="Z141" s="24"/>
      <c r="AA141" s="24"/>
      <c r="AB141" s="24"/>
      <c r="AC141" s="24"/>
      <c r="AD141" s="24"/>
      <c r="AE141" s="24"/>
      <c r="AF141" s="24"/>
      <c r="AG141" s="24"/>
      <c r="AH141" s="24"/>
      <c r="AI141" s="24"/>
      <c r="AJ141" s="20"/>
      <c r="AK141" s="20"/>
      <c r="AL141" s="20"/>
      <c r="AM141" s="20"/>
      <c r="AN141" s="20"/>
      <c r="AO141" s="20"/>
      <c r="AP141" s="20"/>
      <c r="AQ141" s="20"/>
      <c r="AR141" s="20"/>
      <c r="AS141" s="20"/>
      <c r="AT141" s="20"/>
      <c r="AU141" s="20"/>
      <c r="AV141" s="20"/>
      <c r="AW141" s="20"/>
      <c r="AX141" s="20"/>
      <c r="AY141" s="20"/>
      <c r="AZ141" s="20"/>
      <c r="BA141" s="20"/>
      <c r="BB141" s="20"/>
      <c r="BC141" s="20"/>
      <c r="BD141" s="20"/>
      <c r="BE141" s="20"/>
      <c r="BF141" s="20"/>
      <c r="BG141" s="20"/>
      <c r="BH141" s="20"/>
      <c r="BI141" s="20"/>
      <c r="BJ141" s="20"/>
      <c r="BK141" s="20"/>
      <c r="BL141" s="20"/>
      <c r="BM141" s="20"/>
      <c r="BN141" s="20"/>
      <c r="BO141" s="20"/>
      <c r="BP141" s="20"/>
      <c r="BQ141" s="20"/>
      <c r="BR141" s="20"/>
      <c r="BS141" s="20"/>
      <c r="BT141" s="20"/>
      <c r="BU141" s="20"/>
      <c r="BV141" s="20"/>
      <c r="BW141" s="20"/>
      <c r="BX141" s="20"/>
      <c r="BY141" s="20"/>
      <c r="BZ141" s="20"/>
      <c r="CA141" s="20"/>
      <c r="CB141" s="20"/>
      <c r="CC141" s="20"/>
      <c r="CD141" s="20"/>
      <c r="CE141" s="20"/>
      <c r="CF141" s="20"/>
      <c r="CG141" s="20"/>
      <c r="CH141" s="20"/>
      <c r="CI141" s="20"/>
      <c r="CJ141" s="20"/>
      <c r="CK141" s="20"/>
      <c r="CL141" s="20"/>
      <c r="CM141" s="20"/>
      <c r="CN141" s="20"/>
      <c r="CO141" s="20"/>
      <c r="CP141" s="20"/>
      <c r="CQ141" s="20"/>
      <c r="CR141" s="20"/>
      <c r="CS141" s="20"/>
    </row>
    <row r="142" s="8" customFormat="1" spans="1:97">
      <c r="A142" s="20"/>
      <c r="B142" s="15"/>
      <c r="C142" s="24"/>
      <c r="D142" s="19" t="s">
        <v>317</v>
      </c>
      <c r="E142" s="19" t="s">
        <v>318</v>
      </c>
      <c r="F142" s="19" t="s">
        <v>287</v>
      </c>
      <c r="G142" s="19" t="s">
        <v>319</v>
      </c>
      <c r="H142" s="19" t="s">
        <v>314</v>
      </c>
      <c r="I142" s="23" t="s">
        <v>320</v>
      </c>
      <c r="J142" s="23" t="s">
        <v>321</v>
      </c>
      <c r="K142" s="24"/>
      <c r="L142" s="24"/>
      <c r="M142" s="24"/>
      <c r="N142" s="24"/>
      <c r="O142" s="24"/>
      <c r="P142" s="24"/>
      <c r="Q142" s="24"/>
      <c r="R142" s="24"/>
      <c r="S142" s="24"/>
      <c r="T142" s="24"/>
      <c r="U142" s="24"/>
      <c r="V142" s="24"/>
      <c r="W142" s="24"/>
      <c r="X142" s="24"/>
      <c r="Y142" s="24"/>
      <c r="Z142" s="24"/>
      <c r="AA142" s="24"/>
      <c r="AB142" s="24"/>
      <c r="AC142" s="24"/>
      <c r="AD142" s="24"/>
      <c r="AE142" s="24"/>
      <c r="AF142" s="24"/>
      <c r="AG142" s="24"/>
      <c r="AH142" s="24"/>
      <c r="AI142" s="24"/>
      <c r="AJ142" s="20"/>
      <c r="AK142" s="20"/>
      <c r="AL142" s="20"/>
      <c r="AM142" s="20"/>
      <c r="AN142" s="20"/>
      <c r="AO142" s="20"/>
      <c r="AP142" s="20"/>
      <c r="AQ142" s="20"/>
      <c r="AR142" s="20"/>
      <c r="AS142" s="20"/>
      <c r="AT142" s="20"/>
      <c r="AU142" s="20"/>
      <c r="AV142" s="20"/>
      <c r="AW142" s="20"/>
      <c r="AX142" s="20"/>
      <c r="AY142" s="20"/>
      <c r="AZ142" s="20"/>
      <c r="BA142" s="20"/>
      <c r="BB142" s="20"/>
      <c r="BC142" s="20"/>
      <c r="BD142" s="20"/>
      <c r="BE142" s="20"/>
      <c r="BF142" s="20"/>
      <c r="BG142" s="20"/>
      <c r="BH142" s="20"/>
      <c r="BI142" s="20"/>
      <c r="BJ142" s="20"/>
      <c r="BK142" s="20"/>
      <c r="BL142" s="20"/>
      <c r="BM142" s="20"/>
      <c r="BN142" s="20"/>
      <c r="BO142" s="20"/>
      <c r="BP142" s="20"/>
      <c r="BQ142" s="20"/>
      <c r="BR142" s="20"/>
      <c r="BS142" s="20"/>
      <c r="BT142" s="20"/>
      <c r="BU142" s="20"/>
      <c r="BV142" s="20"/>
      <c r="BW142" s="20"/>
      <c r="BX142" s="20"/>
      <c r="BY142" s="20"/>
      <c r="BZ142" s="20"/>
      <c r="CA142" s="20"/>
      <c r="CB142" s="20"/>
      <c r="CC142" s="20"/>
      <c r="CD142" s="20"/>
      <c r="CE142" s="20"/>
      <c r="CF142" s="20"/>
      <c r="CG142" s="20"/>
      <c r="CH142" s="20"/>
      <c r="CI142" s="20"/>
      <c r="CJ142" s="20"/>
      <c r="CK142" s="20"/>
      <c r="CL142" s="20"/>
      <c r="CM142" s="20"/>
      <c r="CN142" s="20"/>
      <c r="CO142" s="20"/>
      <c r="CP142" s="20"/>
      <c r="CQ142" s="20"/>
      <c r="CR142" s="20"/>
      <c r="CS142" s="20"/>
    </row>
    <row r="143" s="8" customFormat="1" spans="1:97">
      <c r="A143" s="20"/>
      <c r="B143" s="15"/>
      <c r="C143" s="24"/>
      <c r="D143" s="18"/>
      <c r="E143" s="18"/>
      <c r="F143" s="18"/>
      <c r="G143" s="18"/>
      <c r="H143" s="18"/>
      <c r="I143" s="22"/>
      <c r="J143" s="22"/>
      <c r="K143" s="24"/>
      <c r="L143" s="24"/>
      <c r="M143" s="24"/>
      <c r="N143" s="24"/>
      <c r="O143" s="24"/>
      <c r="P143" s="24"/>
      <c r="Q143" s="24"/>
      <c r="R143" s="24"/>
      <c r="S143" s="24"/>
      <c r="T143" s="24"/>
      <c r="U143" s="24"/>
      <c r="V143" s="24"/>
      <c r="W143" s="24"/>
      <c r="X143" s="24"/>
      <c r="Y143" s="24"/>
      <c r="Z143" s="24"/>
      <c r="AA143" s="24"/>
      <c r="AB143" s="24"/>
      <c r="AC143" s="24"/>
      <c r="AD143" s="24"/>
      <c r="AE143" s="24"/>
      <c r="AF143" s="24"/>
      <c r="AG143" s="24"/>
      <c r="AH143" s="24"/>
      <c r="AI143" s="24"/>
      <c r="AJ143" s="20"/>
      <c r="AK143" s="20"/>
      <c r="AL143" s="20"/>
      <c r="AM143" s="20"/>
      <c r="AN143" s="20"/>
      <c r="AO143" s="20"/>
      <c r="AP143" s="20"/>
      <c r="AQ143" s="20"/>
      <c r="AR143" s="20"/>
      <c r="AS143" s="20"/>
      <c r="AT143" s="20"/>
      <c r="AU143" s="20"/>
      <c r="AV143" s="20"/>
      <c r="AW143" s="20"/>
      <c r="AX143" s="20"/>
      <c r="AY143" s="20"/>
      <c r="AZ143" s="20"/>
      <c r="BA143" s="20"/>
      <c r="BB143" s="20"/>
      <c r="BC143" s="20"/>
      <c r="BD143" s="20"/>
      <c r="BE143" s="20"/>
      <c r="BF143" s="20"/>
      <c r="BG143" s="20"/>
      <c r="BH143" s="20"/>
      <c r="BI143" s="20"/>
      <c r="BJ143" s="20"/>
      <c r="BK143" s="20"/>
      <c r="BL143" s="20"/>
      <c r="BM143" s="20"/>
      <c r="BN143" s="20"/>
      <c r="BO143" s="20"/>
      <c r="BP143" s="20"/>
      <c r="BQ143" s="20"/>
      <c r="BR143" s="20"/>
      <c r="BS143" s="20"/>
      <c r="BT143" s="20"/>
      <c r="BU143" s="20"/>
      <c r="BV143" s="20"/>
      <c r="BW143" s="20"/>
      <c r="BX143" s="20"/>
      <c r="BY143" s="20"/>
      <c r="BZ143" s="20"/>
      <c r="CA143" s="20"/>
      <c r="CB143" s="20"/>
      <c r="CC143" s="20"/>
      <c r="CD143" s="20"/>
      <c r="CE143" s="20"/>
      <c r="CF143" s="20"/>
      <c r="CG143" s="20"/>
      <c r="CH143" s="20"/>
      <c r="CI143" s="20"/>
      <c r="CJ143" s="20"/>
      <c r="CK143" s="20"/>
      <c r="CL143" s="20"/>
      <c r="CM143" s="20"/>
      <c r="CN143" s="20"/>
      <c r="CO143" s="20"/>
      <c r="CP143" s="20"/>
      <c r="CQ143" s="20"/>
      <c r="CR143" s="20"/>
      <c r="CS143" s="20"/>
    </row>
    <row r="144" s="8" customFormat="1" spans="1:97">
      <c r="A144" s="20"/>
      <c r="B144" s="15"/>
      <c r="C144" s="24"/>
      <c r="D144" s="17"/>
      <c r="E144" s="17"/>
      <c r="F144" s="17"/>
      <c r="G144" s="17"/>
      <c r="H144" s="17"/>
      <c r="I144" s="21"/>
      <c r="J144" s="21"/>
      <c r="K144" s="24"/>
      <c r="L144" s="24"/>
      <c r="M144" s="24"/>
      <c r="N144" s="24"/>
      <c r="O144" s="24"/>
      <c r="P144" s="24"/>
      <c r="Q144" s="24"/>
      <c r="R144" s="24"/>
      <c r="S144" s="24"/>
      <c r="T144" s="24"/>
      <c r="U144" s="24"/>
      <c r="V144" s="24"/>
      <c r="W144" s="24"/>
      <c r="X144" s="24"/>
      <c r="Y144" s="24"/>
      <c r="Z144" s="24"/>
      <c r="AA144" s="24"/>
      <c r="AB144" s="24"/>
      <c r="AC144" s="24"/>
      <c r="AD144" s="24"/>
      <c r="AE144" s="24"/>
      <c r="AF144" s="24"/>
      <c r="AG144" s="24"/>
      <c r="AH144" s="24"/>
      <c r="AI144" s="24"/>
      <c r="AJ144" s="20"/>
      <c r="AK144" s="20"/>
      <c r="AL144" s="20"/>
      <c r="AM144" s="20"/>
      <c r="AN144" s="20"/>
      <c r="AO144" s="20"/>
      <c r="AP144" s="20"/>
      <c r="AQ144" s="20"/>
      <c r="AR144" s="20"/>
      <c r="AS144" s="20"/>
      <c r="AT144" s="20"/>
      <c r="AU144" s="20"/>
      <c r="AV144" s="20"/>
      <c r="AW144" s="20"/>
      <c r="AX144" s="20"/>
      <c r="AY144" s="20"/>
      <c r="AZ144" s="20"/>
      <c r="BA144" s="20"/>
      <c r="BB144" s="20"/>
      <c r="BC144" s="20"/>
      <c r="BD144" s="20"/>
      <c r="BE144" s="20"/>
      <c r="BF144" s="20"/>
      <c r="BG144" s="20"/>
      <c r="BH144" s="20"/>
      <c r="BI144" s="20"/>
      <c r="BJ144" s="20"/>
      <c r="BK144" s="20"/>
      <c r="BL144" s="20"/>
      <c r="BM144" s="20"/>
      <c r="BN144" s="20"/>
      <c r="BO144" s="20"/>
      <c r="BP144" s="20"/>
      <c r="BQ144" s="20"/>
      <c r="BR144" s="20"/>
      <c r="BS144" s="20"/>
      <c r="BT144" s="20"/>
      <c r="BU144" s="20"/>
      <c r="BV144" s="20"/>
      <c r="BW144" s="20"/>
      <c r="BX144" s="20"/>
      <c r="BY144" s="20"/>
      <c r="BZ144" s="20"/>
      <c r="CA144" s="20"/>
      <c r="CB144" s="20"/>
      <c r="CC144" s="20"/>
      <c r="CD144" s="20"/>
      <c r="CE144" s="20"/>
      <c r="CF144" s="20"/>
      <c r="CG144" s="20"/>
      <c r="CH144" s="20"/>
      <c r="CI144" s="20"/>
      <c r="CJ144" s="20"/>
      <c r="CK144" s="20"/>
      <c r="CL144" s="20"/>
      <c r="CM144" s="20"/>
      <c r="CN144" s="20"/>
      <c r="CO144" s="20"/>
      <c r="CP144" s="20"/>
      <c r="CQ144" s="20"/>
      <c r="CR144" s="20"/>
      <c r="CS144" s="20"/>
    </row>
    <row r="145" s="8" customFormat="1" spans="1:97">
      <c r="A145" s="20"/>
      <c r="B145" s="15"/>
      <c r="C145" s="24"/>
      <c r="D145" s="18" t="s">
        <v>51</v>
      </c>
      <c r="E145" s="18" t="s">
        <v>64</v>
      </c>
      <c r="F145" s="18" t="s">
        <v>55</v>
      </c>
      <c r="G145" s="18" t="s">
        <v>25</v>
      </c>
      <c r="H145" s="18" t="s">
        <v>64</v>
      </c>
      <c r="I145" s="22" t="s">
        <v>33</v>
      </c>
      <c r="J145" s="22" t="s">
        <v>50</v>
      </c>
      <c r="K145" s="24"/>
      <c r="L145" s="24"/>
      <c r="M145" s="24"/>
      <c r="N145" s="24"/>
      <c r="O145" s="24"/>
      <c r="P145" s="24"/>
      <c r="Q145" s="24"/>
      <c r="R145" s="24"/>
      <c r="S145" s="24"/>
      <c r="T145" s="24"/>
      <c r="U145" s="24"/>
      <c r="V145" s="24"/>
      <c r="W145" s="24"/>
      <c r="X145" s="24"/>
      <c r="Y145" s="24"/>
      <c r="Z145" s="24"/>
      <c r="AA145" s="24"/>
      <c r="AB145" s="24"/>
      <c r="AC145" s="24"/>
      <c r="AD145" s="24"/>
      <c r="AE145" s="24"/>
      <c r="AF145" s="24"/>
      <c r="AG145" s="24"/>
      <c r="AH145" s="24"/>
      <c r="AI145" s="24"/>
      <c r="AJ145" s="20"/>
      <c r="AK145" s="20"/>
      <c r="AL145" s="20"/>
      <c r="AM145" s="20"/>
      <c r="AN145" s="20"/>
      <c r="AO145" s="20"/>
      <c r="AP145" s="20"/>
      <c r="AQ145" s="20"/>
      <c r="AR145" s="20"/>
      <c r="AS145" s="20"/>
      <c r="AT145" s="20"/>
      <c r="AU145" s="20"/>
      <c r="AV145" s="20"/>
      <c r="AW145" s="20"/>
      <c r="AX145" s="20"/>
      <c r="AY145" s="20"/>
      <c r="AZ145" s="20"/>
      <c r="BA145" s="20"/>
      <c r="BB145" s="20"/>
      <c r="BC145" s="20"/>
      <c r="BD145" s="20"/>
      <c r="BE145" s="20"/>
      <c r="BF145" s="20"/>
      <c r="BG145" s="20"/>
      <c r="BH145" s="20"/>
      <c r="BI145" s="20"/>
      <c r="BJ145" s="20"/>
      <c r="BK145" s="20"/>
      <c r="BL145" s="20"/>
      <c r="BM145" s="20"/>
      <c r="BN145" s="20"/>
      <c r="BO145" s="20"/>
      <c r="BP145" s="20"/>
      <c r="BQ145" s="20"/>
      <c r="BR145" s="20"/>
      <c r="BS145" s="20"/>
      <c r="BT145" s="20"/>
      <c r="BU145" s="20"/>
      <c r="BV145" s="20"/>
      <c r="BW145" s="20"/>
      <c r="BX145" s="20"/>
      <c r="BY145" s="20"/>
      <c r="BZ145" s="20"/>
      <c r="CA145" s="20"/>
      <c r="CB145" s="20"/>
      <c r="CC145" s="20"/>
      <c r="CD145" s="20"/>
      <c r="CE145" s="20"/>
      <c r="CF145" s="20"/>
      <c r="CG145" s="20"/>
      <c r="CH145" s="20"/>
      <c r="CI145" s="20"/>
      <c r="CJ145" s="20"/>
      <c r="CK145" s="20"/>
      <c r="CL145" s="20"/>
      <c r="CM145" s="20"/>
      <c r="CN145" s="20"/>
      <c r="CO145" s="20"/>
      <c r="CP145" s="20"/>
      <c r="CQ145" s="20"/>
      <c r="CR145" s="20"/>
      <c r="CS145" s="20"/>
    </row>
    <row r="146" s="8" customFormat="1" spans="1:97">
      <c r="A146" s="20"/>
      <c r="B146" s="15"/>
      <c r="C146" s="24"/>
      <c r="D146" s="19" t="s">
        <v>317</v>
      </c>
      <c r="E146" s="19" t="s">
        <v>322</v>
      </c>
      <c r="F146" s="19" t="s">
        <v>323</v>
      </c>
      <c r="G146" s="19" t="s">
        <v>274</v>
      </c>
      <c r="H146" s="19" t="s">
        <v>324</v>
      </c>
      <c r="I146" s="23" t="s">
        <v>320</v>
      </c>
      <c r="J146" s="23" t="s">
        <v>325</v>
      </c>
      <c r="K146" s="24"/>
      <c r="L146" s="24"/>
      <c r="M146" s="24"/>
      <c r="N146" s="24"/>
      <c r="O146" s="24"/>
      <c r="P146" s="24"/>
      <c r="Q146" s="24"/>
      <c r="R146" s="24"/>
      <c r="S146" s="24"/>
      <c r="T146" s="24"/>
      <c r="U146" s="24"/>
      <c r="V146" s="24"/>
      <c r="W146" s="24"/>
      <c r="X146" s="24"/>
      <c r="Y146" s="24"/>
      <c r="Z146" s="24"/>
      <c r="AA146" s="24"/>
      <c r="AB146" s="24"/>
      <c r="AC146" s="24"/>
      <c r="AD146" s="24"/>
      <c r="AE146" s="24"/>
      <c r="AF146" s="24"/>
      <c r="AG146" s="24"/>
      <c r="AH146" s="24"/>
      <c r="AI146" s="24"/>
      <c r="AJ146" s="20"/>
      <c r="AK146" s="20"/>
      <c r="AL146" s="20"/>
      <c r="AM146" s="20"/>
      <c r="AN146" s="20"/>
      <c r="AO146" s="20"/>
      <c r="AP146" s="20"/>
      <c r="AQ146" s="20"/>
      <c r="AR146" s="20"/>
      <c r="AS146" s="20"/>
      <c r="AT146" s="20"/>
      <c r="AU146" s="20"/>
      <c r="AV146" s="20"/>
      <c r="AW146" s="20"/>
      <c r="AX146" s="20"/>
      <c r="AY146" s="20"/>
      <c r="AZ146" s="20"/>
      <c r="BA146" s="20"/>
      <c r="BB146" s="20"/>
      <c r="BC146" s="20"/>
      <c r="BD146" s="20"/>
      <c r="BE146" s="20"/>
      <c r="BF146" s="20"/>
      <c r="BG146" s="20"/>
      <c r="BH146" s="20"/>
      <c r="BI146" s="20"/>
      <c r="BJ146" s="20"/>
      <c r="BK146" s="20"/>
      <c r="BL146" s="20"/>
      <c r="BM146" s="20"/>
      <c r="BN146" s="20"/>
      <c r="BO146" s="20"/>
      <c r="BP146" s="20"/>
      <c r="BQ146" s="20"/>
      <c r="BR146" s="20"/>
      <c r="BS146" s="20"/>
      <c r="BT146" s="20"/>
      <c r="BU146" s="20"/>
      <c r="BV146" s="20"/>
      <c r="BW146" s="20"/>
      <c r="BX146" s="20"/>
      <c r="BY146" s="20"/>
      <c r="BZ146" s="20"/>
      <c r="CA146" s="20"/>
      <c r="CB146" s="20"/>
      <c r="CC146" s="20"/>
      <c r="CD146" s="20"/>
      <c r="CE146" s="20"/>
      <c r="CF146" s="20"/>
      <c r="CG146" s="20"/>
      <c r="CH146" s="20"/>
      <c r="CI146" s="20"/>
      <c r="CJ146" s="20"/>
      <c r="CK146" s="20"/>
      <c r="CL146" s="20"/>
      <c r="CM146" s="20"/>
      <c r="CN146" s="20"/>
      <c r="CO146" s="20"/>
      <c r="CP146" s="20"/>
      <c r="CQ146" s="20"/>
      <c r="CR146" s="20"/>
      <c r="CS146" s="20"/>
    </row>
    <row r="147" s="8" customFormat="1" spans="1:97">
      <c r="A147" s="20"/>
      <c r="B147" s="15"/>
      <c r="C147" s="24"/>
      <c r="D147" s="24"/>
      <c r="E147" s="17"/>
      <c r="F147" s="17"/>
      <c r="G147" s="17"/>
      <c r="H147" s="17"/>
      <c r="I147" s="21"/>
      <c r="J147" s="21"/>
      <c r="K147" s="24"/>
      <c r="L147" s="24"/>
      <c r="M147" s="24"/>
      <c r="N147" s="24"/>
      <c r="O147" s="24"/>
      <c r="P147" s="24"/>
      <c r="Q147" s="24"/>
      <c r="R147" s="24"/>
      <c r="S147" s="24"/>
      <c r="T147" s="24"/>
      <c r="U147" s="24"/>
      <c r="V147" s="24"/>
      <c r="W147" s="24"/>
      <c r="X147" s="24"/>
      <c r="Y147" s="24"/>
      <c r="Z147" s="24"/>
      <c r="AA147" s="24"/>
      <c r="AB147" s="24"/>
      <c r="AC147" s="24"/>
      <c r="AD147" s="24"/>
      <c r="AE147" s="24"/>
      <c r="AF147" s="24"/>
      <c r="AG147" s="24"/>
      <c r="AH147" s="24"/>
      <c r="AI147" s="24"/>
      <c r="AJ147" s="20"/>
      <c r="AK147" s="20"/>
      <c r="AL147" s="20"/>
      <c r="AM147" s="20"/>
      <c r="AN147" s="20"/>
      <c r="AO147" s="20"/>
      <c r="AP147" s="20"/>
      <c r="AQ147" s="20"/>
      <c r="AR147" s="20"/>
      <c r="AS147" s="20"/>
      <c r="AT147" s="20"/>
      <c r="AU147" s="20"/>
      <c r="AV147" s="20"/>
      <c r="AW147" s="20"/>
      <c r="AX147" s="20"/>
      <c r="AY147" s="20"/>
      <c r="AZ147" s="20"/>
      <c r="BA147" s="20"/>
      <c r="BB147" s="20"/>
      <c r="BC147" s="20"/>
      <c r="BD147" s="20"/>
      <c r="BE147" s="20"/>
      <c r="BF147" s="20"/>
      <c r="BG147" s="20"/>
      <c r="BH147" s="20"/>
      <c r="BI147" s="20"/>
      <c r="BJ147" s="20"/>
      <c r="BK147" s="20"/>
      <c r="BL147" s="20"/>
      <c r="BM147" s="20"/>
      <c r="BN147" s="20"/>
      <c r="BO147" s="20"/>
      <c r="BP147" s="20"/>
      <c r="BQ147" s="20"/>
      <c r="BR147" s="20"/>
      <c r="BS147" s="20"/>
      <c r="BT147" s="20"/>
      <c r="BU147" s="20"/>
      <c r="BV147" s="20"/>
      <c r="BW147" s="20"/>
      <c r="BX147" s="20"/>
      <c r="BY147" s="20"/>
      <c r="BZ147" s="20"/>
      <c r="CA147" s="20"/>
      <c r="CB147" s="20"/>
      <c r="CC147" s="20"/>
      <c r="CD147" s="20"/>
      <c r="CE147" s="20"/>
      <c r="CF147" s="20"/>
      <c r="CG147" s="20"/>
      <c r="CH147" s="20"/>
      <c r="CI147" s="20"/>
      <c r="CJ147" s="20"/>
      <c r="CK147" s="20"/>
      <c r="CL147" s="20"/>
      <c r="CM147" s="20"/>
      <c r="CN147" s="20"/>
      <c r="CO147" s="20"/>
      <c r="CP147" s="20"/>
      <c r="CQ147" s="20"/>
      <c r="CR147" s="20"/>
      <c r="CS147" s="20"/>
    </row>
    <row r="148" s="8" customFormat="1" spans="1:97">
      <c r="A148" s="20"/>
      <c r="B148" s="15"/>
      <c r="C148" s="24"/>
      <c r="D148" s="24"/>
      <c r="E148" s="18" t="s">
        <v>51</v>
      </c>
      <c r="F148" s="18" t="s">
        <v>51</v>
      </c>
      <c r="G148" s="18" t="s">
        <v>51</v>
      </c>
      <c r="H148" s="18" t="s">
        <v>51</v>
      </c>
      <c r="I148" s="22" t="s">
        <v>51</v>
      </c>
      <c r="J148" s="22" t="s">
        <v>51</v>
      </c>
      <c r="K148" s="24"/>
      <c r="L148" s="24"/>
      <c r="M148" s="24"/>
      <c r="N148" s="24"/>
      <c r="O148" s="24"/>
      <c r="P148" s="24"/>
      <c r="Q148" s="24"/>
      <c r="R148" s="24"/>
      <c r="S148" s="24"/>
      <c r="T148" s="24"/>
      <c r="U148" s="24"/>
      <c r="V148" s="24"/>
      <c r="W148" s="24"/>
      <c r="X148" s="24"/>
      <c r="Y148" s="24"/>
      <c r="Z148" s="24"/>
      <c r="AA148" s="24"/>
      <c r="AB148" s="24"/>
      <c r="AC148" s="24"/>
      <c r="AD148" s="24"/>
      <c r="AE148" s="24"/>
      <c r="AF148" s="24"/>
      <c r="AG148" s="24"/>
      <c r="AH148" s="24"/>
      <c r="AI148" s="24"/>
      <c r="AJ148" s="20"/>
      <c r="AK148" s="20"/>
      <c r="AL148" s="20"/>
      <c r="AM148" s="20"/>
      <c r="AN148" s="20"/>
      <c r="AO148" s="20"/>
      <c r="AP148" s="20"/>
      <c r="AQ148" s="20"/>
      <c r="AR148" s="20"/>
      <c r="AS148" s="20"/>
      <c r="AT148" s="20"/>
      <c r="AU148" s="20"/>
      <c r="AV148" s="20"/>
      <c r="AW148" s="20"/>
      <c r="AX148" s="20"/>
      <c r="AY148" s="20"/>
      <c r="AZ148" s="20"/>
      <c r="BA148" s="20"/>
      <c r="BB148" s="20"/>
      <c r="BC148" s="20"/>
      <c r="BD148" s="20"/>
      <c r="BE148" s="20"/>
      <c r="BF148" s="20"/>
      <c r="BG148" s="20"/>
      <c r="BH148" s="20"/>
      <c r="BI148" s="20"/>
      <c r="BJ148" s="20"/>
      <c r="BK148" s="20"/>
      <c r="BL148" s="20"/>
      <c r="BM148" s="20"/>
      <c r="BN148" s="20"/>
      <c r="BO148" s="20"/>
      <c r="BP148" s="20"/>
      <c r="BQ148" s="20"/>
      <c r="BR148" s="20"/>
      <c r="BS148" s="20"/>
      <c r="BT148" s="20"/>
      <c r="BU148" s="20"/>
      <c r="BV148" s="20"/>
      <c r="BW148" s="20"/>
      <c r="BX148" s="20"/>
      <c r="BY148" s="20"/>
      <c r="BZ148" s="20"/>
      <c r="CA148" s="20"/>
      <c r="CB148" s="20"/>
      <c r="CC148" s="20"/>
      <c r="CD148" s="20"/>
      <c r="CE148" s="20"/>
      <c r="CF148" s="20"/>
      <c r="CG148" s="20"/>
      <c r="CH148" s="20"/>
      <c r="CI148" s="20"/>
      <c r="CJ148" s="20"/>
      <c r="CK148" s="20"/>
      <c r="CL148" s="20"/>
      <c r="CM148" s="20"/>
      <c r="CN148" s="20"/>
      <c r="CO148" s="20"/>
      <c r="CP148" s="20"/>
      <c r="CQ148" s="20"/>
      <c r="CR148" s="20"/>
      <c r="CS148" s="20"/>
    </row>
    <row r="149" s="8" customFormat="1" spans="1:97">
      <c r="A149" s="20"/>
      <c r="B149" s="15"/>
      <c r="C149" s="24"/>
      <c r="D149" s="24"/>
      <c r="E149" s="19" t="s">
        <v>326</v>
      </c>
      <c r="F149" s="19" t="s">
        <v>323</v>
      </c>
      <c r="G149" s="19" t="s">
        <v>281</v>
      </c>
      <c r="H149" s="19" t="s">
        <v>327</v>
      </c>
      <c r="I149" s="23" t="s">
        <v>328</v>
      </c>
      <c r="J149" s="23" t="s">
        <v>329</v>
      </c>
      <c r="K149" s="24"/>
      <c r="L149" s="24"/>
      <c r="M149" s="24"/>
      <c r="N149" s="24"/>
      <c r="O149" s="24"/>
      <c r="P149" s="24"/>
      <c r="Q149" s="24"/>
      <c r="R149" s="24"/>
      <c r="S149" s="24"/>
      <c r="T149" s="24"/>
      <c r="U149" s="24"/>
      <c r="V149" s="24"/>
      <c r="W149" s="24"/>
      <c r="X149" s="24"/>
      <c r="Y149" s="24"/>
      <c r="Z149" s="24"/>
      <c r="AA149" s="24"/>
      <c r="AB149" s="24"/>
      <c r="AC149" s="24"/>
      <c r="AD149" s="24"/>
      <c r="AE149" s="24"/>
      <c r="AF149" s="24"/>
      <c r="AG149" s="24"/>
      <c r="AH149" s="24"/>
      <c r="AI149" s="24"/>
      <c r="AJ149" s="20"/>
      <c r="AK149" s="20"/>
      <c r="AL149" s="20"/>
      <c r="AM149" s="20"/>
      <c r="AN149" s="20"/>
      <c r="AO149" s="20"/>
      <c r="AP149" s="20"/>
      <c r="AQ149" s="20"/>
      <c r="AR149" s="20"/>
      <c r="AS149" s="20"/>
      <c r="AT149" s="20"/>
      <c r="AU149" s="20"/>
      <c r="AV149" s="20"/>
      <c r="AW149" s="20"/>
      <c r="AX149" s="20"/>
      <c r="AY149" s="20"/>
      <c r="AZ149" s="20"/>
      <c r="BA149" s="20"/>
      <c r="BB149" s="20"/>
      <c r="BC149" s="20"/>
      <c r="BD149" s="20"/>
      <c r="BE149" s="20"/>
      <c r="BF149" s="20"/>
      <c r="BG149" s="20"/>
      <c r="BH149" s="20"/>
      <c r="BI149" s="20"/>
      <c r="BJ149" s="20"/>
      <c r="BK149" s="20"/>
      <c r="BL149" s="20"/>
      <c r="BM149" s="20"/>
      <c r="BN149" s="20"/>
      <c r="BO149" s="20"/>
      <c r="BP149" s="20"/>
      <c r="BQ149" s="20"/>
      <c r="BR149" s="20"/>
      <c r="BS149" s="20"/>
      <c r="BT149" s="20"/>
      <c r="BU149" s="20"/>
      <c r="BV149" s="20"/>
      <c r="BW149" s="20"/>
      <c r="BX149" s="20"/>
      <c r="BY149" s="20"/>
      <c r="BZ149" s="20"/>
      <c r="CA149" s="20"/>
      <c r="CB149" s="20"/>
      <c r="CC149" s="20"/>
      <c r="CD149" s="20"/>
      <c r="CE149" s="20"/>
      <c r="CF149" s="20"/>
      <c r="CG149" s="20"/>
      <c r="CH149" s="20"/>
      <c r="CI149" s="20"/>
      <c r="CJ149" s="20"/>
      <c r="CK149" s="20"/>
      <c r="CL149" s="20"/>
      <c r="CM149" s="20"/>
      <c r="CN149" s="20"/>
      <c r="CO149" s="20"/>
      <c r="CP149" s="20"/>
      <c r="CQ149" s="20"/>
      <c r="CR149" s="20"/>
      <c r="CS149" s="20"/>
    </row>
    <row r="150" s="8" customFormat="1" spans="1:97">
      <c r="A150" s="20"/>
      <c r="B150" s="15"/>
      <c r="C150" s="24"/>
      <c r="D150" s="24"/>
      <c r="E150" s="24"/>
      <c r="F150" s="24"/>
      <c r="G150" s="24"/>
      <c r="H150" s="24"/>
      <c r="I150" s="24"/>
      <c r="J150" s="24"/>
      <c r="K150" s="24"/>
      <c r="L150" s="24"/>
      <c r="M150" s="24"/>
      <c r="N150" s="24"/>
      <c r="O150" s="24"/>
      <c r="P150" s="24"/>
      <c r="Q150" s="24"/>
      <c r="R150" s="24"/>
      <c r="S150" s="24"/>
      <c r="T150" s="24"/>
      <c r="U150" s="24"/>
      <c r="V150" s="24"/>
      <c r="W150" s="24"/>
      <c r="X150" s="24"/>
      <c r="Y150" s="24"/>
      <c r="Z150" s="24"/>
      <c r="AA150" s="24"/>
      <c r="AB150" s="24"/>
      <c r="AC150" s="24"/>
      <c r="AD150" s="24"/>
      <c r="AE150" s="24"/>
      <c r="AF150" s="24"/>
      <c r="AG150" s="24"/>
      <c r="AH150" s="24"/>
      <c r="AI150" s="24"/>
      <c r="AJ150" s="20"/>
      <c r="AK150" s="20"/>
      <c r="AL150" s="20"/>
      <c r="AM150" s="20"/>
      <c r="AN150" s="20"/>
      <c r="AO150" s="20"/>
      <c r="AP150" s="20"/>
      <c r="AQ150" s="20"/>
      <c r="AR150" s="20"/>
      <c r="AS150" s="20"/>
      <c r="AT150" s="20"/>
      <c r="AU150" s="20"/>
      <c r="AV150" s="20"/>
      <c r="AW150" s="20"/>
      <c r="AX150" s="20"/>
      <c r="AY150" s="20"/>
      <c r="AZ150" s="20"/>
      <c r="BA150" s="20"/>
      <c r="BB150" s="20"/>
      <c r="BC150" s="20"/>
      <c r="BD150" s="20"/>
      <c r="BE150" s="20"/>
      <c r="BF150" s="20"/>
      <c r="BG150" s="20"/>
      <c r="BH150" s="20"/>
      <c r="BI150" s="20"/>
      <c r="BJ150" s="20"/>
      <c r="BK150" s="20"/>
      <c r="BL150" s="20"/>
      <c r="BM150" s="20"/>
      <c r="BN150" s="20"/>
      <c r="BO150" s="20"/>
      <c r="BP150" s="20"/>
      <c r="BQ150" s="20"/>
      <c r="BR150" s="20"/>
      <c r="BS150" s="20"/>
      <c r="BT150" s="20"/>
      <c r="BU150" s="20"/>
      <c r="BV150" s="20"/>
      <c r="BW150" s="20"/>
      <c r="BX150" s="20"/>
      <c r="BY150" s="20"/>
      <c r="BZ150" s="20"/>
      <c r="CA150" s="20"/>
      <c r="CB150" s="20"/>
      <c r="CC150" s="20"/>
      <c r="CD150" s="20"/>
      <c r="CE150" s="20"/>
      <c r="CF150" s="20"/>
      <c r="CG150" s="20"/>
      <c r="CH150" s="20"/>
      <c r="CI150" s="20"/>
      <c r="CJ150" s="20"/>
      <c r="CK150" s="20"/>
      <c r="CL150" s="20"/>
      <c r="CM150" s="20"/>
      <c r="CN150" s="20"/>
      <c r="CO150" s="20"/>
      <c r="CP150" s="20"/>
      <c r="CQ150" s="20"/>
      <c r="CR150" s="20"/>
      <c r="CS150" s="20"/>
    </row>
    <row r="151" s="8" customFormat="1" spans="1:97">
      <c r="A151" s="20"/>
      <c r="B151" s="15"/>
      <c r="C151" s="24"/>
      <c r="D151" s="24"/>
      <c r="E151" s="24"/>
      <c r="F151" s="24"/>
      <c r="G151" s="24"/>
      <c r="H151" s="24"/>
      <c r="I151" s="24"/>
      <c r="J151" s="24"/>
      <c r="K151" s="24"/>
      <c r="L151" s="24"/>
      <c r="M151" s="24"/>
      <c r="N151" s="24"/>
      <c r="O151" s="24"/>
      <c r="P151" s="24"/>
      <c r="Q151" s="24"/>
      <c r="R151" s="24"/>
      <c r="S151" s="24"/>
      <c r="T151" s="24"/>
      <c r="U151" s="24"/>
      <c r="V151" s="24"/>
      <c r="W151" s="24"/>
      <c r="X151" s="24"/>
      <c r="Y151" s="24"/>
      <c r="Z151" s="24"/>
      <c r="AA151" s="24"/>
      <c r="AB151" s="24"/>
      <c r="AC151" s="24"/>
      <c r="AD151" s="24"/>
      <c r="AE151" s="24"/>
      <c r="AF151" s="24"/>
      <c r="AG151" s="24"/>
      <c r="AH151" s="24"/>
      <c r="AI151" s="24"/>
      <c r="AJ151" s="20"/>
      <c r="AK151" s="20"/>
      <c r="AL151" s="20"/>
      <c r="AM151" s="20"/>
      <c r="AN151" s="20"/>
      <c r="AO151" s="20"/>
      <c r="AP151" s="20"/>
      <c r="AQ151" s="20"/>
      <c r="AR151" s="20"/>
      <c r="AS151" s="20"/>
      <c r="AT151" s="20"/>
      <c r="AU151" s="20"/>
      <c r="AV151" s="20"/>
      <c r="AW151" s="20"/>
      <c r="AX151" s="20"/>
      <c r="AY151" s="20"/>
      <c r="AZ151" s="20"/>
      <c r="BA151" s="20"/>
      <c r="BB151" s="20"/>
      <c r="BC151" s="20"/>
      <c r="BD151" s="20"/>
      <c r="BE151" s="20"/>
      <c r="BF151" s="20"/>
      <c r="BG151" s="20"/>
      <c r="BH151" s="20"/>
      <c r="BI151" s="20"/>
      <c r="BJ151" s="20"/>
      <c r="BK151" s="20"/>
      <c r="BL151" s="20"/>
      <c r="BM151" s="20"/>
      <c r="BN151" s="20"/>
      <c r="BO151" s="20"/>
      <c r="BP151" s="20"/>
      <c r="BQ151" s="20"/>
      <c r="BR151" s="20"/>
      <c r="BS151" s="20"/>
      <c r="BT151" s="20"/>
      <c r="BU151" s="20"/>
      <c r="BV151" s="20"/>
      <c r="BW151" s="20"/>
      <c r="BX151" s="20"/>
      <c r="BY151" s="20"/>
      <c r="BZ151" s="20"/>
      <c r="CA151" s="20"/>
      <c r="CB151" s="20"/>
      <c r="CC151" s="20"/>
      <c r="CD151" s="20"/>
      <c r="CE151" s="20"/>
      <c r="CF151" s="20"/>
      <c r="CG151" s="20"/>
      <c r="CH151" s="20"/>
      <c r="CI151" s="20"/>
      <c r="CJ151" s="20"/>
      <c r="CK151" s="20"/>
      <c r="CL151" s="20"/>
      <c r="CM151" s="20"/>
      <c r="CN151" s="20"/>
      <c r="CO151" s="20"/>
      <c r="CP151" s="20"/>
      <c r="CQ151" s="20"/>
      <c r="CR151" s="20"/>
      <c r="CS151" s="20"/>
    </row>
    <row r="152" s="8" customFormat="1" spans="1:97">
      <c r="A152" s="20"/>
      <c r="B152" s="15"/>
      <c r="C152" s="24"/>
      <c r="D152" s="24"/>
      <c r="E152" s="24"/>
      <c r="F152" s="24"/>
      <c r="G152" s="24"/>
      <c r="H152" s="24"/>
      <c r="I152" s="24"/>
      <c r="J152" s="24"/>
      <c r="K152" s="24"/>
      <c r="L152" s="24"/>
      <c r="M152" s="24"/>
      <c r="N152" s="24"/>
      <c r="O152" s="24"/>
      <c r="P152" s="24"/>
      <c r="Q152" s="24"/>
      <c r="R152" s="24"/>
      <c r="S152" s="24"/>
      <c r="T152" s="24"/>
      <c r="U152" s="24"/>
      <c r="V152" s="24"/>
      <c r="W152" s="24"/>
      <c r="X152" s="24"/>
      <c r="Y152" s="24"/>
      <c r="Z152" s="24"/>
      <c r="AA152" s="24"/>
      <c r="AB152" s="24"/>
      <c r="AC152" s="24"/>
      <c r="AD152" s="24"/>
      <c r="AE152" s="24"/>
      <c r="AF152" s="24"/>
      <c r="AG152" s="24"/>
      <c r="AH152" s="24"/>
      <c r="AI152" s="24"/>
      <c r="AJ152" s="20"/>
      <c r="AK152" s="20"/>
      <c r="AL152" s="20"/>
      <c r="AM152" s="20"/>
      <c r="AN152" s="20"/>
      <c r="AO152" s="20"/>
      <c r="AP152" s="20"/>
      <c r="AQ152" s="20"/>
      <c r="AR152" s="20"/>
      <c r="AS152" s="20"/>
      <c r="AT152" s="20"/>
      <c r="AU152" s="20"/>
      <c r="AV152" s="20"/>
      <c r="AW152" s="20"/>
      <c r="AX152" s="20"/>
      <c r="AY152" s="20"/>
      <c r="AZ152" s="20"/>
      <c r="BA152" s="20"/>
      <c r="BB152" s="20"/>
      <c r="BC152" s="20"/>
      <c r="BD152" s="20"/>
      <c r="BE152" s="20"/>
      <c r="BF152" s="20"/>
      <c r="BG152" s="20"/>
      <c r="BH152" s="20"/>
      <c r="BI152" s="20"/>
      <c r="BJ152" s="20"/>
      <c r="BK152" s="20"/>
      <c r="BL152" s="20"/>
      <c r="BM152" s="20"/>
      <c r="BN152" s="20"/>
      <c r="BO152" s="20"/>
      <c r="BP152" s="20"/>
      <c r="BQ152" s="20"/>
      <c r="BR152" s="20"/>
      <c r="BS152" s="20"/>
      <c r="BT152" s="20"/>
      <c r="BU152" s="20"/>
      <c r="BV152" s="20"/>
      <c r="BW152" s="20"/>
      <c r="BX152" s="20"/>
      <c r="BY152" s="20"/>
      <c r="BZ152" s="20"/>
      <c r="CA152" s="20"/>
      <c r="CB152" s="20"/>
      <c r="CC152" s="20"/>
      <c r="CD152" s="20"/>
      <c r="CE152" s="20"/>
      <c r="CF152" s="20"/>
      <c r="CG152" s="20"/>
      <c r="CH152" s="20"/>
      <c r="CI152" s="20"/>
      <c r="CJ152" s="20"/>
      <c r="CK152" s="20"/>
      <c r="CL152" s="20"/>
      <c r="CM152" s="20"/>
      <c r="CN152" s="20"/>
      <c r="CO152" s="20"/>
      <c r="CP152" s="20"/>
      <c r="CQ152" s="20"/>
      <c r="CR152" s="20"/>
      <c r="CS152" s="20"/>
    </row>
    <row r="153" s="8" customFormat="1" spans="1:97">
      <c r="A153" s="20"/>
      <c r="B153" s="15"/>
      <c r="C153" s="24"/>
      <c r="D153" s="24"/>
      <c r="E153" s="24"/>
      <c r="F153" s="24"/>
      <c r="G153" s="24"/>
      <c r="H153" s="24"/>
      <c r="I153" s="24"/>
      <c r="J153" s="24"/>
      <c r="K153" s="24"/>
      <c r="L153" s="24"/>
      <c r="M153" s="24"/>
      <c r="N153" s="24"/>
      <c r="O153" s="24"/>
      <c r="P153" s="24"/>
      <c r="Q153" s="24"/>
      <c r="R153" s="24"/>
      <c r="S153" s="24"/>
      <c r="T153" s="24"/>
      <c r="U153" s="24"/>
      <c r="V153" s="24"/>
      <c r="W153" s="24"/>
      <c r="X153" s="24"/>
      <c r="Y153" s="24"/>
      <c r="Z153" s="24"/>
      <c r="AA153" s="24"/>
      <c r="AB153" s="24"/>
      <c r="AC153" s="24"/>
      <c r="AD153" s="24"/>
      <c r="AE153" s="24"/>
      <c r="AF153" s="24"/>
      <c r="AG153" s="24"/>
      <c r="AH153" s="24"/>
      <c r="AI153" s="24"/>
      <c r="AJ153" s="20"/>
      <c r="AK153" s="20"/>
      <c r="AL153" s="20"/>
      <c r="AM153" s="20"/>
      <c r="AN153" s="20"/>
      <c r="AO153" s="20"/>
      <c r="AP153" s="20"/>
      <c r="AQ153" s="20"/>
      <c r="AR153" s="20"/>
      <c r="AS153" s="20"/>
      <c r="AT153" s="20"/>
      <c r="AU153" s="20"/>
      <c r="AV153" s="20"/>
      <c r="AW153" s="20"/>
      <c r="AX153" s="20"/>
      <c r="AY153" s="20"/>
      <c r="AZ153" s="20"/>
      <c r="BA153" s="20"/>
      <c r="BB153" s="20"/>
      <c r="BC153" s="20"/>
      <c r="BD153" s="20"/>
      <c r="BE153" s="20"/>
      <c r="BF153" s="20"/>
      <c r="BG153" s="20"/>
      <c r="BH153" s="20"/>
      <c r="BI153" s="20"/>
      <c r="BJ153" s="20"/>
      <c r="BK153" s="20"/>
      <c r="BL153" s="20"/>
      <c r="BM153" s="20"/>
      <c r="BN153" s="20"/>
      <c r="BO153" s="20"/>
      <c r="BP153" s="20"/>
      <c r="BQ153" s="20"/>
      <c r="BR153" s="20"/>
      <c r="BS153" s="20"/>
      <c r="BT153" s="20"/>
      <c r="BU153" s="20"/>
      <c r="BV153" s="20"/>
      <c r="BW153" s="20"/>
      <c r="BX153" s="20"/>
      <c r="BY153" s="20"/>
      <c r="BZ153" s="20"/>
      <c r="CA153" s="20"/>
      <c r="CB153" s="20"/>
      <c r="CC153" s="20"/>
      <c r="CD153" s="20"/>
      <c r="CE153" s="20"/>
      <c r="CF153" s="20"/>
      <c r="CG153" s="20"/>
      <c r="CH153" s="20"/>
      <c r="CI153" s="20"/>
      <c r="CJ153" s="20"/>
      <c r="CK153" s="20"/>
      <c r="CL153" s="20"/>
      <c r="CM153" s="20"/>
      <c r="CN153" s="20"/>
      <c r="CO153" s="20"/>
      <c r="CP153" s="20"/>
      <c r="CQ153" s="20"/>
      <c r="CR153" s="20"/>
      <c r="CS153" s="20"/>
    </row>
    <row r="154" s="8" customFormat="1" spans="1:97">
      <c r="A154" s="20"/>
      <c r="B154" s="15"/>
      <c r="C154" s="24"/>
      <c r="D154" s="24"/>
      <c r="E154" s="24"/>
      <c r="F154" s="24"/>
      <c r="G154" s="24"/>
      <c r="H154" s="24"/>
      <c r="I154" s="24"/>
      <c r="J154" s="24"/>
      <c r="K154" s="24"/>
      <c r="L154" s="24"/>
      <c r="M154" s="24"/>
      <c r="N154" s="24"/>
      <c r="O154" s="24"/>
      <c r="P154" s="24"/>
      <c r="Q154" s="24"/>
      <c r="R154" s="24"/>
      <c r="S154" s="24"/>
      <c r="T154" s="24"/>
      <c r="U154" s="24"/>
      <c r="V154" s="24"/>
      <c r="W154" s="24"/>
      <c r="X154" s="24"/>
      <c r="Y154" s="24"/>
      <c r="Z154" s="24"/>
      <c r="AA154" s="24"/>
      <c r="AB154" s="24"/>
      <c r="AC154" s="24"/>
      <c r="AD154" s="24"/>
      <c r="AE154" s="24"/>
      <c r="AF154" s="24"/>
      <c r="AG154" s="24"/>
      <c r="AH154" s="24"/>
      <c r="AI154" s="24"/>
      <c r="AJ154" s="20"/>
      <c r="AK154" s="20"/>
      <c r="AL154" s="20"/>
      <c r="AM154" s="20"/>
      <c r="AN154" s="20"/>
      <c r="AO154" s="20"/>
      <c r="AP154" s="20"/>
      <c r="AQ154" s="20"/>
      <c r="AR154" s="20"/>
      <c r="AS154" s="20"/>
      <c r="AT154" s="20"/>
      <c r="AU154" s="20"/>
      <c r="AV154" s="20"/>
      <c r="AW154" s="20"/>
      <c r="AX154" s="20"/>
      <c r="AY154" s="20"/>
      <c r="AZ154" s="20"/>
      <c r="BA154" s="20"/>
      <c r="BB154" s="20"/>
      <c r="BC154" s="20"/>
      <c r="BD154" s="20"/>
      <c r="BE154" s="20"/>
      <c r="BF154" s="20"/>
      <c r="BG154" s="20"/>
      <c r="BH154" s="20"/>
      <c r="BI154" s="20"/>
      <c r="BJ154" s="20"/>
      <c r="BK154" s="20"/>
      <c r="BL154" s="20"/>
      <c r="BM154" s="20"/>
      <c r="BN154" s="20"/>
      <c r="BO154" s="20"/>
      <c r="BP154" s="20"/>
      <c r="BQ154" s="20"/>
      <c r="BR154" s="20"/>
      <c r="BS154" s="20"/>
      <c r="BT154" s="20"/>
      <c r="BU154" s="20"/>
      <c r="BV154" s="20"/>
      <c r="BW154" s="20"/>
      <c r="BX154" s="20"/>
      <c r="BY154" s="20"/>
      <c r="BZ154" s="20"/>
      <c r="CA154" s="20"/>
      <c r="CB154" s="20"/>
      <c r="CC154" s="20"/>
      <c r="CD154" s="20"/>
      <c r="CE154" s="20"/>
      <c r="CF154" s="20"/>
      <c r="CG154" s="20"/>
      <c r="CH154" s="20"/>
      <c r="CI154" s="20"/>
      <c r="CJ154" s="20"/>
      <c r="CK154" s="20"/>
      <c r="CL154" s="20"/>
      <c r="CM154" s="20"/>
      <c r="CN154" s="20"/>
      <c r="CO154" s="20"/>
      <c r="CP154" s="20"/>
      <c r="CQ154" s="20"/>
      <c r="CR154" s="20"/>
      <c r="CS154" s="20"/>
    </row>
    <row r="155" s="8" customFormat="1" spans="1:97">
      <c r="A155" s="20"/>
      <c r="B155" s="15"/>
      <c r="C155" s="24"/>
      <c r="D155" s="24"/>
      <c r="E155" s="24"/>
      <c r="F155" s="24"/>
      <c r="G155" s="24"/>
      <c r="H155" s="24"/>
      <c r="I155" s="24"/>
      <c r="J155" s="24"/>
      <c r="K155" s="24"/>
      <c r="L155" s="24"/>
      <c r="M155" s="24"/>
      <c r="N155" s="24"/>
      <c r="O155" s="24"/>
      <c r="P155" s="24"/>
      <c r="Q155" s="24"/>
      <c r="R155" s="24"/>
      <c r="S155" s="24"/>
      <c r="T155" s="24"/>
      <c r="U155" s="24"/>
      <c r="V155" s="24"/>
      <c r="W155" s="24"/>
      <c r="X155" s="24"/>
      <c r="Y155" s="24"/>
      <c r="Z155" s="24"/>
      <c r="AA155" s="24"/>
      <c r="AB155" s="24"/>
      <c r="AC155" s="24"/>
      <c r="AD155" s="24"/>
      <c r="AE155" s="24"/>
      <c r="AF155" s="24"/>
      <c r="AG155" s="24"/>
      <c r="AH155" s="24"/>
      <c r="AI155" s="24"/>
      <c r="AJ155" s="20"/>
      <c r="AK155" s="20"/>
      <c r="AL155" s="20"/>
      <c r="AM155" s="20"/>
      <c r="AN155" s="20"/>
      <c r="AO155" s="20"/>
      <c r="AP155" s="20"/>
      <c r="AQ155" s="20"/>
      <c r="AR155" s="20"/>
      <c r="AS155" s="20"/>
      <c r="AT155" s="20"/>
      <c r="AU155" s="20"/>
      <c r="AV155" s="20"/>
      <c r="AW155" s="20"/>
      <c r="AX155" s="20"/>
      <c r="AY155" s="20"/>
      <c r="AZ155" s="20"/>
      <c r="BA155" s="20"/>
      <c r="BB155" s="20"/>
      <c r="BC155" s="20"/>
      <c r="BD155" s="20"/>
      <c r="BE155" s="20"/>
      <c r="BF155" s="20"/>
      <c r="BG155" s="20"/>
      <c r="BH155" s="20"/>
      <c r="BI155" s="20"/>
      <c r="BJ155" s="20"/>
      <c r="BK155" s="20"/>
      <c r="BL155" s="20"/>
      <c r="BM155" s="20"/>
      <c r="BN155" s="20"/>
      <c r="BO155" s="20"/>
      <c r="BP155" s="20"/>
      <c r="BQ155" s="20"/>
      <c r="BR155" s="20"/>
      <c r="BS155" s="20"/>
      <c r="BT155" s="20"/>
      <c r="BU155" s="20"/>
      <c r="BV155" s="20"/>
      <c r="BW155" s="20"/>
      <c r="BX155" s="20"/>
      <c r="BY155" s="20"/>
      <c r="BZ155" s="20"/>
      <c r="CA155" s="20"/>
      <c r="CB155" s="20"/>
      <c r="CC155" s="20"/>
      <c r="CD155" s="20"/>
      <c r="CE155" s="20"/>
      <c r="CF155" s="20"/>
      <c r="CG155" s="20"/>
      <c r="CH155" s="20"/>
      <c r="CI155" s="20"/>
      <c r="CJ155" s="20"/>
      <c r="CK155" s="20"/>
      <c r="CL155" s="20"/>
      <c r="CM155" s="20"/>
      <c r="CN155" s="20"/>
      <c r="CO155" s="20"/>
      <c r="CP155" s="20"/>
      <c r="CQ155" s="20"/>
      <c r="CR155" s="20"/>
      <c r="CS155" s="20"/>
    </row>
    <row r="156" s="8" customFormat="1" spans="1:97">
      <c r="A156" s="20"/>
      <c r="B156" s="15"/>
      <c r="C156" s="24"/>
      <c r="D156" s="24"/>
      <c r="E156" s="24"/>
      <c r="F156" s="24"/>
      <c r="G156" s="24"/>
      <c r="H156" s="24"/>
      <c r="I156" s="24"/>
      <c r="J156" s="24"/>
      <c r="K156" s="24"/>
      <c r="L156" s="24"/>
      <c r="M156" s="24"/>
      <c r="N156" s="24"/>
      <c r="O156" s="24"/>
      <c r="P156" s="24"/>
      <c r="Q156" s="24"/>
      <c r="R156" s="24"/>
      <c r="S156" s="24"/>
      <c r="T156" s="24"/>
      <c r="U156" s="24"/>
      <c r="V156" s="24"/>
      <c r="W156" s="24"/>
      <c r="X156" s="24"/>
      <c r="Y156" s="24"/>
      <c r="Z156" s="24"/>
      <c r="AA156" s="24"/>
      <c r="AB156" s="24"/>
      <c r="AC156" s="24"/>
      <c r="AD156" s="24"/>
      <c r="AE156" s="24"/>
      <c r="AF156" s="24"/>
      <c r="AG156" s="24"/>
      <c r="AH156" s="24"/>
      <c r="AI156" s="24"/>
      <c r="AJ156" s="20"/>
      <c r="AK156" s="20"/>
      <c r="AL156" s="20"/>
      <c r="AM156" s="20"/>
      <c r="AN156" s="20"/>
      <c r="AO156" s="20"/>
      <c r="AP156" s="20"/>
      <c r="AQ156" s="20"/>
      <c r="AR156" s="20"/>
      <c r="AS156" s="20"/>
      <c r="AT156" s="20"/>
      <c r="AU156" s="20"/>
      <c r="AV156" s="20"/>
      <c r="AW156" s="20"/>
      <c r="AX156" s="20"/>
      <c r="AY156" s="20"/>
      <c r="AZ156" s="20"/>
      <c r="BA156" s="20"/>
      <c r="BB156" s="20"/>
      <c r="BC156" s="20"/>
      <c r="BD156" s="20"/>
      <c r="BE156" s="20"/>
      <c r="BF156" s="20"/>
      <c r="BG156" s="20"/>
      <c r="BH156" s="20"/>
      <c r="BI156" s="20"/>
      <c r="BJ156" s="20"/>
      <c r="BK156" s="20"/>
      <c r="BL156" s="20"/>
      <c r="BM156" s="20"/>
      <c r="BN156" s="20"/>
      <c r="BO156" s="20"/>
      <c r="BP156" s="20"/>
      <c r="BQ156" s="20"/>
      <c r="BR156" s="20"/>
      <c r="BS156" s="20"/>
      <c r="BT156" s="20"/>
      <c r="BU156" s="20"/>
      <c r="BV156" s="20"/>
      <c r="BW156" s="20"/>
      <c r="BX156" s="20"/>
      <c r="BY156" s="20"/>
      <c r="BZ156" s="20"/>
      <c r="CA156" s="20"/>
      <c r="CB156" s="20"/>
      <c r="CC156" s="20"/>
      <c r="CD156" s="20"/>
      <c r="CE156" s="20"/>
      <c r="CF156" s="20"/>
      <c r="CG156" s="20"/>
      <c r="CH156" s="20"/>
      <c r="CI156" s="20"/>
      <c r="CJ156" s="20"/>
      <c r="CK156" s="20"/>
      <c r="CL156" s="20"/>
      <c r="CM156" s="20"/>
      <c r="CN156" s="20"/>
      <c r="CO156" s="20"/>
      <c r="CP156" s="20"/>
      <c r="CQ156" s="20"/>
      <c r="CR156" s="20"/>
      <c r="CS156" s="20"/>
    </row>
    <row r="157" s="8" customFormat="1" spans="1:97">
      <c r="A157" s="20"/>
      <c r="B157" s="15"/>
      <c r="C157" s="24"/>
      <c r="D157" s="24"/>
      <c r="E157" s="24"/>
      <c r="F157" s="24"/>
      <c r="G157" s="24"/>
      <c r="H157" s="24"/>
      <c r="I157" s="24"/>
      <c r="J157" s="24"/>
      <c r="K157" s="24"/>
      <c r="L157" s="24"/>
      <c r="M157" s="24"/>
      <c r="N157" s="24"/>
      <c r="O157" s="24"/>
      <c r="P157" s="24"/>
      <c r="Q157" s="24"/>
      <c r="R157" s="24"/>
      <c r="S157" s="24"/>
      <c r="T157" s="24"/>
      <c r="U157" s="24"/>
      <c r="V157" s="24"/>
      <c r="W157" s="24"/>
      <c r="X157" s="24"/>
      <c r="Y157" s="24"/>
      <c r="Z157" s="24"/>
      <c r="AA157" s="24"/>
      <c r="AB157" s="24"/>
      <c r="AC157" s="24"/>
      <c r="AD157" s="24"/>
      <c r="AE157" s="24"/>
      <c r="AF157" s="24"/>
      <c r="AG157" s="24"/>
      <c r="AH157" s="24"/>
      <c r="AI157" s="24"/>
      <c r="AJ157" s="20"/>
      <c r="AK157" s="20"/>
      <c r="AL157" s="20"/>
      <c r="AM157" s="20"/>
      <c r="AN157" s="20"/>
      <c r="AO157" s="20"/>
      <c r="AP157" s="20"/>
      <c r="AQ157" s="20"/>
      <c r="AR157" s="20"/>
      <c r="AS157" s="20"/>
      <c r="AT157" s="20"/>
      <c r="AU157" s="20"/>
      <c r="AV157" s="20"/>
      <c r="AW157" s="20"/>
      <c r="AX157" s="20"/>
      <c r="AY157" s="20"/>
      <c r="AZ157" s="20"/>
      <c r="BA157" s="20"/>
      <c r="BB157" s="20"/>
      <c r="BC157" s="20"/>
      <c r="BD157" s="20"/>
      <c r="BE157" s="20"/>
      <c r="BF157" s="20"/>
      <c r="BG157" s="20"/>
      <c r="BH157" s="20"/>
      <c r="BI157" s="20"/>
      <c r="BJ157" s="20"/>
      <c r="BK157" s="20"/>
      <c r="BL157" s="20"/>
      <c r="BM157" s="20"/>
      <c r="BN157" s="20"/>
      <c r="BO157" s="20"/>
      <c r="BP157" s="20"/>
      <c r="BQ157" s="20"/>
      <c r="BR157" s="20"/>
      <c r="BS157" s="20"/>
      <c r="BT157" s="20"/>
      <c r="BU157" s="20"/>
      <c r="BV157" s="20"/>
      <c r="BW157" s="20"/>
      <c r="BX157" s="20"/>
      <c r="BY157" s="20"/>
      <c r="BZ157" s="20"/>
      <c r="CA157" s="20"/>
      <c r="CB157" s="20"/>
      <c r="CC157" s="20"/>
      <c r="CD157" s="20"/>
      <c r="CE157" s="20"/>
      <c r="CF157" s="20"/>
      <c r="CG157" s="20"/>
      <c r="CH157" s="20"/>
      <c r="CI157" s="20"/>
      <c r="CJ157" s="20"/>
      <c r="CK157" s="20"/>
      <c r="CL157" s="20"/>
      <c r="CM157" s="20"/>
      <c r="CN157" s="20"/>
      <c r="CO157" s="20"/>
      <c r="CP157" s="20"/>
      <c r="CQ157" s="20"/>
      <c r="CR157" s="20"/>
      <c r="CS157" s="20"/>
    </row>
    <row r="158" s="8" customFormat="1" spans="1:97">
      <c r="A158" s="20"/>
      <c r="B158" s="15"/>
      <c r="C158" s="24"/>
      <c r="D158" s="24"/>
      <c r="E158" s="24"/>
      <c r="F158" s="24"/>
      <c r="G158" s="24"/>
      <c r="H158" s="24"/>
      <c r="I158" s="24"/>
      <c r="J158" s="24"/>
      <c r="K158" s="24"/>
      <c r="L158" s="24"/>
      <c r="M158" s="24"/>
      <c r="N158" s="24"/>
      <c r="O158" s="24"/>
      <c r="P158" s="24"/>
      <c r="Q158" s="24"/>
      <c r="R158" s="24"/>
      <c r="S158" s="24"/>
      <c r="T158" s="24"/>
      <c r="U158" s="24"/>
      <c r="V158" s="24"/>
      <c r="W158" s="24"/>
      <c r="X158" s="24"/>
      <c r="Y158" s="24"/>
      <c r="Z158" s="24"/>
      <c r="AA158" s="24"/>
      <c r="AB158" s="24"/>
      <c r="AC158" s="24"/>
      <c r="AD158" s="24"/>
      <c r="AE158" s="24"/>
      <c r="AF158" s="24"/>
      <c r="AG158" s="24"/>
      <c r="AH158" s="24"/>
      <c r="AI158" s="24"/>
      <c r="AJ158" s="20"/>
      <c r="AK158" s="20"/>
      <c r="AL158" s="20"/>
      <c r="AM158" s="20"/>
      <c r="AN158" s="20"/>
      <c r="AO158" s="20"/>
      <c r="AP158" s="20"/>
      <c r="AQ158" s="20"/>
      <c r="AR158" s="20"/>
      <c r="AS158" s="20"/>
      <c r="AT158" s="20"/>
      <c r="AU158" s="20"/>
      <c r="AV158" s="20"/>
      <c r="AW158" s="20"/>
      <c r="AX158" s="20"/>
      <c r="AY158" s="20"/>
      <c r="AZ158" s="20"/>
      <c r="BA158" s="20"/>
      <c r="BB158" s="20"/>
      <c r="BC158" s="20"/>
      <c r="BD158" s="20"/>
      <c r="BE158" s="20"/>
      <c r="BF158" s="20"/>
      <c r="BG158" s="20"/>
      <c r="BH158" s="20"/>
      <c r="BI158" s="20"/>
      <c r="BJ158" s="20"/>
      <c r="BK158" s="20"/>
      <c r="BL158" s="20"/>
      <c r="BM158" s="20"/>
      <c r="BN158" s="20"/>
      <c r="BO158" s="20"/>
      <c r="BP158" s="20"/>
      <c r="BQ158" s="20"/>
      <c r="BR158" s="20"/>
      <c r="BS158" s="20"/>
      <c r="BT158" s="20"/>
      <c r="BU158" s="20"/>
      <c r="BV158" s="20"/>
      <c r="BW158" s="20"/>
      <c r="BX158" s="20"/>
      <c r="BY158" s="20"/>
      <c r="BZ158" s="20"/>
      <c r="CA158" s="20"/>
      <c r="CB158" s="20"/>
      <c r="CC158" s="20"/>
      <c r="CD158" s="20"/>
      <c r="CE158" s="20"/>
      <c r="CF158" s="20"/>
      <c r="CG158" s="20"/>
      <c r="CH158" s="20"/>
      <c r="CI158" s="20"/>
      <c r="CJ158" s="20"/>
      <c r="CK158" s="20"/>
      <c r="CL158" s="20"/>
      <c r="CM158" s="20"/>
      <c r="CN158" s="20"/>
      <c r="CO158" s="20"/>
      <c r="CP158" s="20"/>
      <c r="CQ158" s="20"/>
      <c r="CR158" s="20"/>
      <c r="CS158" s="20"/>
    </row>
    <row r="159" s="8" customFormat="1" spans="1:97">
      <c r="A159" s="20"/>
      <c r="B159" s="15"/>
      <c r="C159" s="24"/>
      <c r="D159" s="24"/>
      <c r="E159" s="24"/>
      <c r="F159" s="24"/>
      <c r="G159" s="24"/>
      <c r="H159" s="24"/>
      <c r="I159" s="24"/>
      <c r="J159" s="24"/>
      <c r="K159" s="24"/>
      <c r="L159" s="24"/>
      <c r="M159" s="24"/>
      <c r="N159" s="24"/>
      <c r="O159" s="24"/>
      <c r="P159" s="24"/>
      <c r="Q159" s="24"/>
      <c r="R159" s="24"/>
      <c r="S159" s="24"/>
      <c r="T159" s="24"/>
      <c r="U159" s="24"/>
      <c r="V159" s="24"/>
      <c r="W159" s="24"/>
      <c r="X159" s="24"/>
      <c r="Y159" s="24"/>
      <c r="Z159" s="24"/>
      <c r="AA159" s="24"/>
      <c r="AB159" s="24"/>
      <c r="AC159" s="24"/>
      <c r="AD159" s="24"/>
      <c r="AE159" s="24"/>
      <c r="AF159" s="24"/>
      <c r="AG159" s="24"/>
      <c r="AH159" s="24"/>
      <c r="AI159" s="24"/>
      <c r="AJ159" s="20"/>
      <c r="AK159" s="20"/>
      <c r="AL159" s="20"/>
      <c r="AM159" s="20"/>
      <c r="AN159" s="20"/>
      <c r="AO159" s="20"/>
      <c r="AP159" s="20"/>
      <c r="AQ159" s="20"/>
      <c r="AR159" s="20"/>
      <c r="AS159" s="20"/>
      <c r="AT159" s="20"/>
      <c r="AU159" s="20"/>
      <c r="AV159" s="20"/>
      <c r="AW159" s="20"/>
      <c r="AX159" s="20"/>
      <c r="AY159" s="20"/>
      <c r="AZ159" s="20"/>
      <c r="BA159" s="20"/>
      <c r="BB159" s="20"/>
      <c r="BC159" s="20"/>
      <c r="BD159" s="20"/>
      <c r="BE159" s="20"/>
      <c r="BF159" s="20"/>
      <c r="BG159" s="20"/>
      <c r="BH159" s="20"/>
      <c r="BI159" s="20"/>
      <c r="BJ159" s="20"/>
      <c r="BK159" s="20"/>
      <c r="BL159" s="20"/>
      <c r="BM159" s="20"/>
      <c r="BN159" s="20"/>
      <c r="BO159" s="20"/>
      <c r="BP159" s="20"/>
      <c r="BQ159" s="20"/>
      <c r="BR159" s="20"/>
      <c r="BS159" s="20"/>
      <c r="BT159" s="20"/>
      <c r="BU159" s="20"/>
      <c r="BV159" s="20"/>
      <c r="BW159" s="20"/>
      <c r="BX159" s="20"/>
      <c r="BY159" s="20"/>
      <c r="BZ159" s="20"/>
      <c r="CA159" s="20"/>
      <c r="CB159" s="20"/>
      <c r="CC159" s="20"/>
      <c r="CD159" s="20"/>
      <c r="CE159" s="20"/>
      <c r="CF159" s="20"/>
      <c r="CG159" s="20"/>
      <c r="CH159" s="20"/>
      <c r="CI159" s="20"/>
      <c r="CJ159" s="20"/>
      <c r="CK159" s="20"/>
      <c r="CL159" s="20"/>
      <c r="CM159" s="20"/>
      <c r="CN159" s="20"/>
      <c r="CO159" s="20"/>
      <c r="CP159" s="20"/>
      <c r="CQ159" s="20"/>
      <c r="CR159" s="20"/>
      <c r="CS159" s="20"/>
    </row>
    <row r="160" s="8" customFormat="1" spans="1:97">
      <c r="A160" s="20"/>
      <c r="B160" s="15"/>
      <c r="C160" s="24"/>
      <c r="D160" s="24"/>
      <c r="E160" s="24"/>
      <c r="F160" s="24"/>
      <c r="G160" s="24"/>
      <c r="H160" s="24"/>
      <c r="I160" s="24"/>
      <c r="J160" s="24"/>
      <c r="K160" s="24"/>
      <c r="L160" s="24"/>
      <c r="M160" s="24"/>
      <c r="N160" s="24"/>
      <c r="O160" s="24"/>
      <c r="P160" s="24"/>
      <c r="Q160" s="24"/>
      <c r="R160" s="24"/>
      <c r="S160" s="24"/>
      <c r="T160" s="24"/>
      <c r="U160" s="24"/>
      <c r="V160" s="24"/>
      <c r="W160" s="24"/>
      <c r="X160" s="24"/>
      <c r="Y160" s="24"/>
      <c r="Z160" s="24"/>
      <c r="AA160" s="24"/>
      <c r="AB160" s="24"/>
      <c r="AC160" s="24"/>
      <c r="AD160" s="24"/>
      <c r="AE160" s="24"/>
      <c r="AF160" s="24"/>
      <c r="AG160" s="24"/>
      <c r="AH160" s="24"/>
      <c r="AI160" s="24"/>
      <c r="AJ160" s="20"/>
      <c r="AK160" s="20"/>
      <c r="AL160" s="20"/>
      <c r="AM160" s="20"/>
      <c r="AN160" s="20"/>
      <c r="AO160" s="20"/>
      <c r="AP160" s="20"/>
      <c r="AQ160" s="20"/>
      <c r="AR160" s="20"/>
      <c r="AS160" s="20"/>
      <c r="AT160" s="20"/>
      <c r="AU160" s="20"/>
      <c r="AV160" s="20"/>
      <c r="AW160" s="20"/>
      <c r="AX160" s="20"/>
      <c r="AY160" s="20"/>
      <c r="AZ160" s="20"/>
      <c r="BA160" s="20"/>
      <c r="BB160" s="20"/>
      <c r="BC160" s="20"/>
      <c r="BD160" s="20"/>
      <c r="BE160" s="20"/>
      <c r="BF160" s="20"/>
      <c r="BG160" s="20"/>
      <c r="BH160" s="20"/>
      <c r="BI160" s="20"/>
      <c r="BJ160" s="20"/>
      <c r="BK160" s="20"/>
      <c r="BL160" s="20"/>
      <c r="BM160" s="20"/>
      <c r="BN160" s="20"/>
      <c r="BO160" s="20"/>
      <c r="BP160" s="20"/>
      <c r="BQ160" s="20"/>
      <c r="BR160" s="20"/>
      <c r="BS160" s="20"/>
      <c r="BT160" s="20"/>
      <c r="BU160" s="20"/>
      <c r="BV160" s="20"/>
      <c r="BW160" s="20"/>
      <c r="BX160" s="20"/>
      <c r="BY160" s="20"/>
      <c r="BZ160" s="20"/>
      <c r="CA160" s="20"/>
      <c r="CB160" s="20"/>
      <c r="CC160" s="20"/>
      <c r="CD160" s="20"/>
      <c r="CE160" s="20"/>
      <c r="CF160" s="20"/>
      <c r="CG160" s="20"/>
      <c r="CH160" s="20"/>
      <c r="CI160" s="20"/>
      <c r="CJ160" s="20"/>
      <c r="CK160" s="20"/>
      <c r="CL160" s="20"/>
      <c r="CM160" s="20"/>
      <c r="CN160" s="20"/>
      <c r="CO160" s="20"/>
      <c r="CP160" s="20"/>
      <c r="CQ160" s="20"/>
      <c r="CR160" s="20"/>
      <c r="CS160" s="20"/>
    </row>
    <row r="161" s="8" customFormat="1" spans="1:97">
      <c r="A161" s="20"/>
      <c r="B161" s="15"/>
      <c r="C161" s="24"/>
      <c r="D161" s="24"/>
      <c r="E161" s="24"/>
      <c r="F161" s="24"/>
      <c r="G161" s="24"/>
      <c r="H161" s="24"/>
      <c r="I161" s="24"/>
      <c r="J161" s="24"/>
      <c r="K161" s="24"/>
      <c r="L161" s="24"/>
      <c r="M161" s="24"/>
      <c r="N161" s="24"/>
      <c r="O161" s="24"/>
      <c r="P161" s="24"/>
      <c r="Q161" s="24"/>
      <c r="R161" s="24"/>
      <c r="S161" s="24"/>
      <c r="T161" s="24"/>
      <c r="U161" s="24"/>
      <c r="V161" s="24"/>
      <c r="W161" s="24"/>
      <c r="X161" s="24"/>
      <c r="Y161" s="24"/>
      <c r="Z161" s="24"/>
      <c r="AA161" s="24"/>
      <c r="AB161" s="24"/>
      <c r="AC161" s="24"/>
      <c r="AD161" s="24"/>
      <c r="AE161" s="24"/>
      <c r="AF161" s="24"/>
      <c r="AG161" s="24"/>
      <c r="AH161" s="24"/>
      <c r="AI161" s="24"/>
      <c r="AJ161" s="20"/>
      <c r="AK161" s="20"/>
      <c r="AL161" s="20"/>
      <c r="AM161" s="20"/>
      <c r="AN161" s="20"/>
      <c r="AO161" s="20"/>
      <c r="AP161" s="20"/>
      <c r="AQ161" s="20"/>
      <c r="AR161" s="20"/>
      <c r="AS161" s="20"/>
      <c r="AT161" s="20"/>
      <c r="AU161" s="20"/>
      <c r="AV161" s="20"/>
      <c r="AW161" s="20"/>
      <c r="AX161" s="20"/>
      <c r="AY161" s="20"/>
      <c r="AZ161" s="20"/>
      <c r="BA161" s="20"/>
      <c r="BB161" s="20"/>
      <c r="BC161" s="20"/>
      <c r="BD161" s="20"/>
      <c r="BE161" s="20"/>
      <c r="BF161" s="20"/>
      <c r="BG161" s="20"/>
      <c r="BH161" s="20"/>
      <c r="BI161" s="20"/>
      <c r="BJ161" s="20"/>
      <c r="BK161" s="20"/>
      <c r="BL161" s="20"/>
      <c r="BM161" s="20"/>
      <c r="BN161" s="20"/>
      <c r="BO161" s="20"/>
      <c r="BP161" s="20"/>
      <c r="BQ161" s="20"/>
      <c r="BR161" s="20"/>
      <c r="BS161" s="20"/>
      <c r="BT161" s="20"/>
      <c r="BU161" s="20"/>
      <c r="BV161" s="20"/>
      <c r="BW161" s="20"/>
      <c r="BX161" s="20"/>
      <c r="BY161" s="20"/>
      <c r="BZ161" s="20"/>
      <c r="CA161" s="20"/>
      <c r="CB161" s="20"/>
      <c r="CC161" s="20"/>
      <c r="CD161" s="20"/>
      <c r="CE161" s="20"/>
      <c r="CF161" s="20"/>
      <c r="CG161" s="20"/>
      <c r="CH161" s="20"/>
      <c r="CI161" s="20"/>
      <c r="CJ161" s="20"/>
      <c r="CK161" s="20"/>
      <c r="CL161" s="20"/>
      <c r="CM161" s="20"/>
      <c r="CN161" s="20"/>
      <c r="CO161" s="20"/>
      <c r="CP161" s="20"/>
      <c r="CQ161" s="20"/>
      <c r="CR161" s="20"/>
      <c r="CS161" s="20"/>
    </row>
    <row r="162" s="8" customFormat="1" spans="1:97">
      <c r="A162" s="20"/>
      <c r="B162" s="15"/>
      <c r="C162" s="24"/>
      <c r="D162" s="24"/>
      <c r="E162" s="24"/>
      <c r="F162" s="24"/>
      <c r="G162" s="24"/>
      <c r="H162" s="24"/>
      <c r="I162" s="24"/>
      <c r="J162" s="24"/>
      <c r="K162" s="24"/>
      <c r="L162" s="24"/>
      <c r="M162" s="24"/>
      <c r="N162" s="24"/>
      <c r="O162" s="24"/>
      <c r="P162" s="24"/>
      <c r="Q162" s="24"/>
      <c r="R162" s="24"/>
      <c r="S162" s="24"/>
      <c r="T162" s="24"/>
      <c r="U162" s="24"/>
      <c r="V162" s="24"/>
      <c r="W162" s="24"/>
      <c r="X162" s="24"/>
      <c r="Y162" s="24"/>
      <c r="Z162" s="24"/>
      <c r="AA162" s="24"/>
      <c r="AB162" s="24"/>
      <c r="AC162" s="24"/>
      <c r="AD162" s="24"/>
      <c r="AE162" s="24"/>
      <c r="AF162" s="24"/>
      <c r="AG162" s="24"/>
      <c r="AH162" s="24"/>
      <c r="AI162" s="24"/>
      <c r="AJ162" s="20"/>
      <c r="AK162" s="20"/>
      <c r="AL162" s="20"/>
      <c r="AM162" s="20"/>
      <c r="AN162" s="20"/>
      <c r="AO162" s="20"/>
      <c r="AP162" s="20"/>
      <c r="AQ162" s="20"/>
      <c r="AR162" s="20"/>
      <c r="AS162" s="20"/>
      <c r="AT162" s="20"/>
      <c r="AU162" s="20"/>
      <c r="AV162" s="20"/>
      <c r="AW162" s="20"/>
      <c r="AX162" s="20"/>
      <c r="AY162" s="20"/>
      <c r="AZ162" s="20"/>
      <c r="BA162" s="20"/>
      <c r="BB162" s="20"/>
      <c r="BC162" s="20"/>
      <c r="BD162" s="20"/>
      <c r="BE162" s="20"/>
      <c r="BF162" s="20"/>
      <c r="BG162" s="20"/>
      <c r="BH162" s="20"/>
      <c r="BI162" s="20"/>
      <c r="BJ162" s="20"/>
      <c r="BK162" s="20"/>
      <c r="BL162" s="20"/>
      <c r="BM162" s="20"/>
      <c r="BN162" s="20"/>
      <c r="BO162" s="20"/>
      <c r="BP162" s="20"/>
      <c r="BQ162" s="20"/>
      <c r="BR162" s="20"/>
      <c r="BS162" s="20"/>
      <c r="BT162" s="20"/>
      <c r="BU162" s="20"/>
      <c r="BV162" s="20"/>
      <c r="BW162" s="20"/>
      <c r="BX162" s="20"/>
      <c r="BY162" s="20"/>
      <c r="BZ162" s="20"/>
      <c r="CA162" s="20"/>
      <c r="CB162" s="20"/>
      <c r="CC162" s="20"/>
      <c r="CD162" s="20"/>
      <c r="CE162" s="20"/>
      <c r="CF162" s="20"/>
      <c r="CG162" s="20"/>
      <c r="CH162" s="20"/>
      <c r="CI162" s="20"/>
      <c r="CJ162" s="20"/>
      <c r="CK162" s="20"/>
      <c r="CL162" s="20"/>
      <c r="CM162" s="20"/>
      <c r="CN162" s="20"/>
      <c r="CO162" s="20"/>
      <c r="CP162" s="20"/>
      <c r="CQ162" s="20"/>
      <c r="CR162" s="20"/>
      <c r="CS162" s="20"/>
    </row>
    <row r="163" s="8" customFormat="1" spans="1:97">
      <c r="A163" s="20"/>
      <c r="B163" s="15"/>
      <c r="C163" s="24"/>
      <c r="D163" s="24"/>
      <c r="E163" s="24"/>
      <c r="F163" s="24"/>
      <c r="G163" s="24"/>
      <c r="H163" s="24"/>
      <c r="I163" s="24"/>
      <c r="J163" s="24"/>
      <c r="K163" s="24"/>
      <c r="L163" s="24"/>
      <c r="M163" s="24"/>
      <c r="N163" s="24"/>
      <c r="O163" s="24"/>
      <c r="P163" s="24"/>
      <c r="Q163" s="24"/>
      <c r="R163" s="24"/>
      <c r="S163" s="24"/>
      <c r="T163" s="24"/>
      <c r="U163" s="24"/>
      <c r="V163" s="24"/>
      <c r="W163" s="24"/>
      <c r="X163" s="24"/>
      <c r="Y163" s="24"/>
      <c r="Z163" s="24"/>
      <c r="AA163" s="24"/>
      <c r="AB163" s="24"/>
      <c r="AC163" s="24"/>
      <c r="AD163" s="24"/>
      <c r="AE163" s="24"/>
      <c r="AF163" s="24"/>
      <c r="AG163" s="24"/>
      <c r="AH163" s="24"/>
      <c r="AI163" s="24"/>
      <c r="AJ163" s="20"/>
      <c r="AK163" s="20"/>
      <c r="AL163" s="20"/>
      <c r="AM163" s="20"/>
      <c r="AN163" s="20"/>
      <c r="AO163" s="20"/>
      <c r="AP163" s="20"/>
      <c r="AQ163" s="20"/>
      <c r="AR163" s="20"/>
      <c r="AS163" s="20"/>
      <c r="AT163" s="20"/>
      <c r="AU163" s="20"/>
      <c r="AV163" s="20"/>
      <c r="AW163" s="20"/>
      <c r="AX163" s="20"/>
      <c r="AY163" s="20"/>
      <c r="AZ163" s="20"/>
      <c r="BA163" s="20"/>
      <c r="BB163" s="20"/>
      <c r="BC163" s="20"/>
      <c r="BD163" s="20"/>
      <c r="BE163" s="20"/>
      <c r="BF163" s="20"/>
      <c r="BG163" s="20"/>
      <c r="BH163" s="20"/>
      <c r="BI163" s="20"/>
      <c r="BJ163" s="20"/>
      <c r="BK163" s="20"/>
      <c r="BL163" s="20"/>
      <c r="BM163" s="20"/>
      <c r="BN163" s="20"/>
      <c r="BO163" s="20"/>
      <c r="BP163" s="20"/>
      <c r="BQ163" s="20"/>
      <c r="BR163" s="20"/>
      <c r="BS163" s="20"/>
      <c r="BT163" s="20"/>
      <c r="BU163" s="20"/>
      <c r="BV163" s="20"/>
      <c r="BW163" s="20"/>
      <c r="BX163" s="20"/>
      <c r="BY163" s="20"/>
      <c r="BZ163" s="20"/>
      <c r="CA163" s="20"/>
      <c r="CB163" s="20"/>
      <c r="CC163" s="20"/>
      <c r="CD163" s="20"/>
      <c r="CE163" s="20"/>
      <c r="CF163" s="20"/>
      <c r="CG163" s="20"/>
      <c r="CH163" s="20"/>
      <c r="CI163" s="20"/>
      <c r="CJ163" s="20"/>
      <c r="CK163" s="20"/>
      <c r="CL163" s="20"/>
      <c r="CM163" s="20"/>
      <c r="CN163" s="20"/>
      <c r="CO163" s="20"/>
      <c r="CP163" s="20"/>
      <c r="CQ163" s="20"/>
      <c r="CR163" s="20"/>
      <c r="CS163" s="20"/>
    </row>
    <row r="164" s="8" customFormat="1" spans="1:97">
      <c r="A164" s="20"/>
      <c r="B164" s="15"/>
      <c r="C164" s="24"/>
      <c r="D164" s="24"/>
      <c r="E164" s="24"/>
      <c r="F164" s="24"/>
      <c r="G164" s="24"/>
      <c r="H164" s="24"/>
      <c r="I164" s="24"/>
      <c r="J164" s="24"/>
      <c r="K164" s="24"/>
      <c r="L164" s="24"/>
      <c r="M164" s="24"/>
      <c r="N164" s="24"/>
      <c r="O164" s="24"/>
      <c r="P164" s="24"/>
      <c r="Q164" s="24"/>
      <c r="R164" s="24"/>
      <c r="S164" s="24"/>
      <c r="T164" s="24"/>
      <c r="U164" s="24"/>
      <c r="V164" s="24"/>
      <c r="W164" s="24"/>
      <c r="X164" s="24"/>
      <c r="Y164" s="24"/>
      <c r="Z164" s="24"/>
      <c r="AA164" s="24"/>
      <c r="AB164" s="24"/>
      <c r="AC164" s="24"/>
      <c r="AD164" s="24"/>
      <c r="AE164" s="24"/>
      <c r="AF164" s="24"/>
      <c r="AG164" s="24"/>
      <c r="AH164" s="24"/>
      <c r="AI164" s="24"/>
      <c r="AJ164" s="20"/>
      <c r="AK164" s="20"/>
      <c r="AL164" s="20"/>
      <c r="AM164" s="20"/>
      <c r="AN164" s="20"/>
      <c r="AO164" s="20"/>
      <c r="AP164" s="20"/>
      <c r="AQ164" s="20"/>
      <c r="AR164" s="20"/>
      <c r="AS164" s="20"/>
      <c r="AT164" s="20"/>
      <c r="AU164" s="20"/>
      <c r="AV164" s="20"/>
      <c r="AW164" s="20"/>
      <c r="AX164" s="20"/>
      <c r="AY164" s="20"/>
      <c r="AZ164" s="20"/>
      <c r="BA164" s="20"/>
      <c r="BB164" s="20"/>
      <c r="BC164" s="20"/>
      <c r="BD164" s="20"/>
      <c r="BE164" s="20"/>
      <c r="BF164" s="20"/>
      <c r="BG164" s="20"/>
      <c r="BH164" s="20"/>
      <c r="BI164" s="20"/>
      <c r="BJ164" s="20"/>
      <c r="BK164" s="20"/>
      <c r="BL164" s="20"/>
      <c r="BM164" s="20"/>
      <c r="BN164" s="20"/>
      <c r="BO164" s="20"/>
      <c r="BP164" s="20"/>
      <c r="BQ164" s="20"/>
      <c r="BR164" s="20"/>
      <c r="BS164" s="20"/>
      <c r="BT164" s="20"/>
      <c r="BU164" s="20"/>
      <c r="BV164" s="20"/>
      <c r="BW164" s="20"/>
      <c r="BX164" s="20"/>
      <c r="BY164" s="20"/>
      <c r="BZ164" s="20"/>
      <c r="CA164" s="20"/>
      <c r="CB164" s="20"/>
      <c r="CC164" s="20"/>
      <c r="CD164" s="20"/>
      <c r="CE164" s="20"/>
      <c r="CF164" s="20"/>
      <c r="CG164" s="20"/>
      <c r="CH164" s="20"/>
      <c r="CI164" s="20"/>
      <c r="CJ164" s="20"/>
      <c r="CK164" s="20"/>
      <c r="CL164" s="20"/>
      <c r="CM164" s="20"/>
      <c r="CN164" s="20"/>
      <c r="CO164" s="20"/>
      <c r="CP164" s="20"/>
      <c r="CQ164" s="20"/>
      <c r="CR164" s="20"/>
      <c r="CS164" s="20"/>
    </row>
    <row r="165" s="8" customFormat="1" spans="1:97">
      <c r="A165" s="20"/>
      <c r="B165" s="15"/>
      <c r="C165" s="24"/>
      <c r="D165" s="24"/>
      <c r="E165" s="24"/>
      <c r="F165" s="24"/>
      <c r="G165" s="24"/>
      <c r="H165" s="24"/>
      <c r="I165" s="24"/>
      <c r="J165" s="24"/>
      <c r="K165" s="24"/>
      <c r="L165" s="24"/>
      <c r="M165" s="24"/>
      <c r="N165" s="24"/>
      <c r="O165" s="24"/>
      <c r="P165" s="24"/>
      <c r="Q165" s="24"/>
      <c r="R165" s="24"/>
      <c r="S165" s="24"/>
      <c r="T165" s="24"/>
      <c r="U165" s="24"/>
      <c r="V165" s="24"/>
      <c r="W165" s="24"/>
      <c r="X165" s="24"/>
      <c r="Y165" s="24"/>
      <c r="Z165" s="24"/>
      <c r="AA165" s="24"/>
      <c r="AB165" s="24"/>
      <c r="AC165" s="24"/>
      <c r="AD165" s="24"/>
      <c r="AE165" s="24"/>
      <c r="AF165" s="24"/>
      <c r="AG165" s="24"/>
      <c r="AH165" s="24"/>
      <c r="AI165" s="24"/>
      <c r="AJ165" s="20"/>
      <c r="AK165" s="20"/>
      <c r="AL165" s="20"/>
      <c r="AM165" s="20"/>
      <c r="AN165" s="20"/>
      <c r="AO165" s="20"/>
      <c r="AP165" s="20"/>
      <c r="AQ165" s="20"/>
      <c r="AR165" s="20"/>
      <c r="AS165" s="20"/>
      <c r="AT165" s="20"/>
      <c r="AU165" s="20"/>
      <c r="AV165" s="20"/>
      <c r="AW165" s="20"/>
      <c r="AX165" s="20"/>
      <c r="AY165" s="20"/>
      <c r="AZ165" s="20"/>
      <c r="BA165" s="20"/>
      <c r="BB165" s="20"/>
      <c r="BC165" s="20"/>
      <c r="BD165" s="20"/>
      <c r="BE165" s="20"/>
      <c r="BF165" s="20"/>
      <c r="BG165" s="20"/>
      <c r="BH165" s="20"/>
      <c r="BI165" s="20"/>
      <c r="BJ165" s="20"/>
      <c r="BK165" s="20"/>
      <c r="BL165" s="20"/>
      <c r="BM165" s="20"/>
      <c r="BN165" s="20"/>
      <c r="BO165" s="20"/>
      <c r="BP165" s="20"/>
      <c r="BQ165" s="20"/>
      <c r="BR165" s="20"/>
      <c r="BS165" s="20"/>
      <c r="BT165" s="20"/>
      <c r="BU165" s="20"/>
      <c r="BV165" s="20"/>
      <c r="BW165" s="20"/>
      <c r="BX165" s="20"/>
      <c r="BY165" s="20"/>
      <c r="BZ165" s="20"/>
      <c r="CA165" s="20"/>
      <c r="CB165" s="20"/>
      <c r="CC165" s="20"/>
      <c r="CD165" s="20"/>
      <c r="CE165" s="20"/>
      <c r="CF165" s="20"/>
      <c r="CG165" s="20"/>
      <c r="CH165" s="20"/>
      <c r="CI165" s="20"/>
      <c r="CJ165" s="20"/>
      <c r="CK165" s="20"/>
      <c r="CL165" s="20"/>
      <c r="CM165" s="20"/>
      <c r="CN165" s="20"/>
      <c r="CO165" s="20"/>
      <c r="CP165" s="20"/>
      <c r="CQ165" s="20"/>
      <c r="CR165" s="20"/>
      <c r="CS165" s="20"/>
    </row>
    <row r="166" s="8" customFormat="1" spans="1:97">
      <c r="A166" s="20"/>
      <c r="B166" s="15"/>
      <c r="C166" s="24"/>
      <c r="D166" s="24"/>
      <c r="E166" s="24"/>
      <c r="F166" s="24"/>
      <c r="G166" s="24"/>
      <c r="H166" s="24"/>
      <c r="I166" s="24"/>
      <c r="J166" s="24"/>
      <c r="K166" s="24"/>
      <c r="L166" s="24"/>
      <c r="M166" s="24"/>
      <c r="N166" s="24"/>
      <c r="O166" s="24"/>
      <c r="P166" s="24"/>
      <c r="Q166" s="24"/>
      <c r="R166" s="24"/>
      <c r="S166" s="24"/>
      <c r="T166" s="24"/>
      <c r="U166" s="24"/>
      <c r="V166" s="24"/>
      <c r="W166" s="24"/>
      <c r="X166" s="24"/>
      <c r="Y166" s="24"/>
      <c r="Z166" s="24"/>
      <c r="AA166" s="24"/>
      <c r="AB166" s="24"/>
      <c r="AC166" s="24"/>
      <c r="AD166" s="24"/>
      <c r="AE166" s="24"/>
      <c r="AF166" s="24"/>
      <c r="AG166" s="24"/>
      <c r="AH166" s="24"/>
      <c r="AI166" s="24"/>
      <c r="AJ166" s="20"/>
      <c r="AK166" s="20"/>
      <c r="AL166" s="20"/>
      <c r="AM166" s="20"/>
      <c r="AN166" s="20"/>
      <c r="AO166" s="20"/>
      <c r="AP166" s="20"/>
      <c r="AQ166" s="20"/>
      <c r="AR166" s="20"/>
      <c r="AS166" s="20"/>
      <c r="AT166" s="20"/>
      <c r="AU166" s="20"/>
      <c r="AV166" s="20"/>
      <c r="AW166" s="20"/>
      <c r="AX166" s="20"/>
      <c r="AY166" s="20"/>
      <c r="AZ166" s="20"/>
      <c r="BA166" s="20"/>
      <c r="BB166" s="20"/>
      <c r="BC166" s="20"/>
      <c r="BD166" s="20"/>
      <c r="BE166" s="20"/>
      <c r="BF166" s="20"/>
      <c r="BG166" s="20"/>
      <c r="BH166" s="20"/>
      <c r="BI166" s="20"/>
      <c r="BJ166" s="20"/>
      <c r="BK166" s="20"/>
      <c r="BL166" s="20"/>
      <c r="BM166" s="20"/>
      <c r="BN166" s="20"/>
      <c r="BO166" s="20"/>
      <c r="BP166" s="20"/>
      <c r="BQ166" s="20"/>
      <c r="BR166" s="20"/>
      <c r="BS166" s="20"/>
      <c r="BT166" s="20"/>
      <c r="BU166" s="20"/>
      <c r="BV166" s="20"/>
      <c r="BW166" s="20"/>
      <c r="BX166" s="20"/>
      <c r="BY166" s="20"/>
      <c r="BZ166" s="20"/>
      <c r="CA166" s="20"/>
      <c r="CB166" s="20"/>
      <c r="CC166" s="20"/>
      <c r="CD166" s="20"/>
      <c r="CE166" s="20"/>
      <c r="CF166" s="20"/>
      <c r="CG166" s="20"/>
      <c r="CH166" s="20"/>
      <c r="CI166" s="20"/>
      <c r="CJ166" s="20"/>
      <c r="CK166" s="20"/>
      <c r="CL166" s="20"/>
      <c r="CM166" s="20"/>
      <c r="CN166" s="20"/>
      <c r="CO166" s="20"/>
      <c r="CP166" s="20"/>
      <c r="CQ166" s="20"/>
      <c r="CR166" s="20"/>
      <c r="CS166" s="20"/>
    </row>
    <row r="167" s="8" customFormat="1" spans="1:97">
      <c r="A167" s="20"/>
      <c r="B167" s="15"/>
      <c r="C167" s="24"/>
      <c r="D167" s="24"/>
      <c r="E167" s="24"/>
      <c r="F167" s="24"/>
      <c r="G167" s="24"/>
      <c r="H167" s="24"/>
      <c r="I167" s="24"/>
      <c r="J167" s="24"/>
      <c r="K167" s="24"/>
      <c r="L167" s="24"/>
      <c r="M167" s="24"/>
      <c r="N167" s="24"/>
      <c r="O167" s="24"/>
      <c r="P167" s="24"/>
      <c r="Q167" s="24"/>
      <c r="R167" s="24"/>
      <c r="S167" s="24"/>
      <c r="T167" s="24"/>
      <c r="U167" s="24"/>
      <c r="V167" s="24"/>
      <c r="W167" s="24"/>
      <c r="X167" s="24"/>
      <c r="Y167" s="24"/>
      <c r="Z167" s="24"/>
      <c r="AA167" s="24"/>
      <c r="AB167" s="24"/>
      <c r="AC167" s="24"/>
      <c r="AD167" s="24"/>
      <c r="AE167" s="24"/>
      <c r="AF167" s="24"/>
      <c r="AG167" s="24"/>
      <c r="AH167" s="24"/>
      <c r="AI167" s="24"/>
      <c r="AJ167" s="20"/>
      <c r="AK167" s="20"/>
      <c r="AL167" s="20"/>
      <c r="AM167" s="20"/>
      <c r="AN167" s="20"/>
      <c r="AO167" s="20"/>
      <c r="AP167" s="20"/>
      <c r="AQ167" s="20"/>
      <c r="AR167" s="20"/>
      <c r="AS167" s="20"/>
      <c r="AT167" s="20"/>
      <c r="AU167" s="20"/>
      <c r="AV167" s="20"/>
      <c r="AW167" s="20"/>
      <c r="AX167" s="20"/>
      <c r="AY167" s="20"/>
      <c r="AZ167" s="20"/>
      <c r="BA167" s="20"/>
      <c r="BB167" s="20"/>
      <c r="BC167" s="20"/>
      <c r="BD167" s="20"/>
      <c r="BE167" s="20"/>
      <c r="BF167" s="20"/>
      <c r="BG167" s="20"/>
      <c r="BH167" s="20"/>
      <c r="BI167" s="20"/>
      <c r="BJ167" s="20"/>
      <c r="BK167" s="20"/>
      <c r="BL167" s="20"/>
      <c r="BM167" s="20"/>
      <c r="BN167" s="20"/>
      <c r="BO167" s="20"/>
      <c r="BP167" s="20"/>
      <c r="BQ167" s="20"/>
      <c r="BR167" s="20"/>
      <c r="BS167" s="20"/>
      <c r="BT167" s="20"/>
      <c r="BU167" s="20"/>
      <c r="BV167" s="20"/>
      <c r="BW167" s="20"/>
      <c r="BX167" s="20"/>
      <c r="BY167" s="20"/>
      <c r="BZ167" s="20"/>
      <c r="CA167" s="20"/>
      <c r="CB167" s="20"/>
      <c r="CC167" s="20"/>
      <c r="CD167" s="20"/>
      <c r="CE167" s="20"/>
      <c r="CF167" s="20"/>
      <c r="CG167" s="20"/>
      <c r="CH167" s="20"/>
      <c r="CI167" s="20"/>
      <c r="CJ167" s="20"/>
      <c r="CK167" s="20"/>
      <c r="CL167" s="20"/>
      <c r="CM167" s="20"/>
      <c r="CN167" s="20"/>
      <c r="CO167" s="20"/>
      <c r="CP167" s="20"/>
      <c r="CQ167" s="20"/>
      <c r="CR167" s="20"/>
      <c r="CS167" s="20"/>
    </row>
    <row r="168" s="8" customFormat="1" spans="1:97">
      <c r="A168" s="20"/>
      <c r="B168" s="15"/>
      <c r="C168" s="24"/>
      <c r="D168" s="24"/>
      <c r="E168" s="24"/>
      <c r="F168" s="24"/>
      <c r="G168" s="24"/>
      <c r="H168" s="24"/>
      <c r="I168" s="24"/>
      <c r="J168" s="24"/>
      <c r="K168" s="24"/>
      <c r="L168" s="24"/>
      <c r="M168" s="24"/>
      <c r="N168" s="24"/>
      <c r="O168" s="24"/>
      <c r="P168" s="24"/>
      <c r="Q168" s="24"/>
      <c r="R168" s="24"/>
      <c r="S168" s="24"/>
      <c r="T168" s="24"/>
      <c r="U168" s="24"/>
      <c r="V168" s="24"/>
      <c r="W168" s="24"/>
      <c r="X168" s="24"/>
      <c r="Y168" s="24"/>
      <c r="Z168" s="24"/>
      <c r="AA168" s="24"/>
      <c r="AB168" s="24"/>
      <c r="AC168" s="24"/>
      <c r="AD168" s="24"/>
      <c r="AE168" s="24"/>
      <c r="AF168" s="24"/>
      <c r="AG168" s="24"/>
      <c r="AH168" s="24"/>
      <c r="AI168" s="24"/>
      <c r="AJ168" s="20"/>
      <c r="AK168" s="20"/>
      <c r="AL168" s="20"/>
      <c r="AM168" s="20"/>
      <c r="AN168" s="20"/>
      <c r="AO168" s="20"/>
      <c r="AP168" s="20"/>
      <c r="AQ168" s="20"/>
      <c r="AR168" s="20"/>
      <c r="AS168" s="20"/>
      <c r="AT168" s="20"/>
      <c r="AU168" s="20"/>
      <c r="AV168" s="20"/>
      <c r="AW168" s="20"/>
      <c r="AX168" s="20"/>
      <c r="AY168" s="20"/>
      <c r="AZ168" s="20"/>
      <c r="BA168" s="20"/>
      <c r="BB168" s="20"/>
      <c r="BC168" s="20"/>
      <c r="BD168" s="20"/>
      <c r="BE168" s="20"/>
      <c r="BF168" s="20"/>
      <c r="BG168" s="20"/>
      <c r="BH168" s="20"/>
      <c r="BI168" s="20"/>
      <c r="BJ168" s="20"/>
      <c r="BK168" s="20"/>
      <c r="BL168" s="20"/>
      <c r="BM168" s="20"/>
      <c r="BN168" s="20"/>
      <c r="BO168" s="20"/>
      <c r="BP168" s="20"/>
      <c r="BQ168" s="20"/>
      <c r="BR168" s="20"/>
      <c r="BS168" s="20"/>
      <c r="BT168" s="20"/>
      <c r="BU168" s="20"/>
      <c r="BV168" s="20"/>
      <c r="BW168" s="20"/>
      <c r="BX168" s="20"/>
      <c r="BY168" s="20"/>
      <c r="BZ168" s="20"/>
      <c r="CA168" s="20"/>
      <c r="CB168" s="20"/>
      <c r="CC168" s="20"/>
      <c r="CD168" s="20"/>
      <c r="CE168" s="20"/>
      <c r="CF168" s="20"/>
      <c r="CG168" s="20"/>
      <c r="CH168" s="20"/>
      <c r="CI168" s="20"/>
      <c r="CJ168" s="20"/>
      <c r="CK168" s="20"/>
      <c r="CL168" s="20"/>
      <c r="CM168" s="20"/>
      <c r="CN168" s="20"/>
      <c r="CO168" s="20"/>
      <c r="CP168" s="20"/>
      <c r="CQ168" s="20"/>
      <c r="CR168" s="20"/>
      <c r="CS168" s="20"/>
    </row>
    <row r="169" s="8" customFormat="1" spans="1:97">
      <c r="A169" s="20"/>
      <c r="B169" s="15"/>
      <c r="C169" s="24"/>
      <c r="D169" s="24"/>
      <c r="E169" s="24"/>
      <c r="F169" s="24"/>
      <c r="G169" s="24"/>
      <c r="H169" s="24"/>
      <c r="I169" s="24"/>
      <c r="J169" s="24"/>
      <c r="K169" s="24"/>
      <c r="L169" s="24"/>
      <c r="M169" s="24"/>
      <c r="N169" s="24"/>
      <c r="O169" s="24"/>
      <c r="P169" s="24"/>
      <c r="Q169" s="24"/>
      <c r="R169" s="24"/>
      <c r="S169" s="24"/>
      <c r="T169" s="24"/>
      <c r="U169" s="24"/>
      <c r="V169" s="24"/>
      <c r="W169" s="24"/>
      <c r="X169" s="24"/>
      <c r="Y169" s="24"/>
      <c r="Z169" s="24"/>
      <c r="AA169" s="24"/>
      <c r="AB169" s="24"/>
      <c r="AC169" s="24"/>
      <c r="AD169" s="24"/>
      <c r="AE169" s="24"/>
      <c r="AF169" s="24"/>
      <c r="AG169" s="24"/>
      <c r="AH169" s="24"/>
      <c r="AI169" s="24"/>
      <c r="AJ169" s="20"/>
      <c r="AK169" s="20"/>
      <c r="AL169" s="20"/>
      <c r="AM169" s="20"/>
      <c r="AN169" s="20"/>
      <c r="AO169" s="20"/>
      <c r="AP169" s="20"/>
      <c r="AQ169" s="20"/>
      <c r="AR169" s="20"/>
      <c r="AS169" s="20"/>
      <c r="AT169" s="20"/>
      <c r="AU169" s="20"/>
      <c r="AV169" s="20"/>
      <c r="AW169" s="20"/>
      <c r="AX169" s="20"/>
      <c r="AY169" s="20"/>
      <c r="AZ169" s="20"/>
      <c r="BA169" s="20"/>
      <c r="BB169" s="20"/>
      <c r="BC169" s="20"/>
      <c r="BD169" s="20"/>
      <c r="BE169" s="20"/>
      <c r="BF169" s="20"/>
      <c r="BG169" s="20"/>
      <c r="BH169" s="20"/>
      <c r="BI169" s="20"/>
      <c r="BJ169" s="20"/>
      <c r="BK169" s="20"/>
      <c r="BL169" s="20"/>
      <c r="BM169" s="20"/>
      <c r="BN169" s="20"/>
      <c r="BO169" s="20"/>
      <c r="BP169" s="20"/>
      <c r="BQ169" s="20"/>
      <c r="BR169" s="20"/>
      <c r="BS169" s="20"/>
      <c r="BT169" s="20"/>
      <c r="BU169" s="20"/>
      <c r="BV169" s="20"/>
      <c r="BW169" s="20"/>
      <c r="BX169" s="20"/>
      <c r="BY169" s="20"/>
      <c r="BZ169" s="20"/>
      <c r="CA169" s="20"/>
      <c r="CB169" s="20"/>
      <c r="CC169" s="20"/>
      <c r="CD169" s="20"/>
      <c r="CE169" s="20"/>
      <c r="CF169" s="20"/>
      <c r="CG169" s="20"/>
      <c r="CH169" s="20"/>
      <c r="CI169" s="20"/>
      <c r="CJ169" s="20"/>
      <c r="CK169" s="20"/>
      <c r="CL169" s="20"/>
      <c r="CM169" s="20"/>
      <c r="CN169" s="20"/>
      <c r="CO169" s="20"/>
      <c r="CP169" s="20"/>
      <c r="CQ169" s="20"/>
      <c r="CR169" s="20"/>
      <c r="CS169" s="20"/>
    </row>
    <row r="170" s="8" customFormat="1" spans="1:97">
      <c r="A170" s="20"/>
      <c r="B170" s="15"/>
      <c r="C170" s="24"/>
      <c r="D170" s="24"/>
      <c r="E170" s="24"/>
      <c r="F170" s="24"/>
      <c r="G170" s="24"/>
      <c r="H170" s="24"/>
      <c r="I170" s="24"/>
      <c r="J170" s="24"/>
      <c r="K170" s="24"/>
      <c r="L170" s="24"/>
      <c r="M170" s="24"/>
      <c r="N170" s="24"/>
      <c r="O170" s="24"/>
      <c r="P170" s="24"/>
      <c r="Q170" s="24"/>
      <c r="R170" s="24"/>
      <c r="S170" s="24"/>
      <c r="T170" s="24"/>
      <c r="U170" s="24"/>
      <c r="V170" s="24"/>
      <c r="W170" s="24"/>
      <c r="X170" s="24"/>
      <c r="Y170" s="24"/>
      <c r="Z170" s="24"/>
      <c r="AA170" s="24"/>
      <c r="AB170" s="24"/>
      <c r="AC170" s="24"/>
      <c r="AD170" s="24"/>
      <c r="AE170" s="24"/>
      <c r="AF170" s="24"/>
      <c r="AG170" s="24"/>
      <c r="AH170" s="24"/>
      <c r="AI170" s="24"/>
      <c r="AJ170" s="20"/>
      <c r="AK170" s="20"/>
      <c r="AL170" s="20"/>
      <c r="AM170" s="20"/>
      <c r="AN170" s="20"/>
      <c r="AO170" s="20"/>
      <c r="AP170" s="20"/>
      <c r="AQ170" s="20"/>
      <c r="AR170" s="20"/>
      <c r="AS170" s="20"/>
      <c r="AT170" s="20"/>
      <c r="AU170" s="20"/>
      <c r="AV170" s="20"/>
      <c r="AW170" s="20"/>
      <c r="AX170" s="20"/>
      <c r="AY170" s="20"/>
      <c r="AZ170" s="20"/>
      <c r="BA170" s="20"/>
      <c r="BB170" s="20"/>
      <c r="BC170" s="20"/>
      <c r="BD170" s="20"/>
      <c r="BE170" s="20"/>
      <c r="BF170" s="20"/>
      <c r="BG170" s="20"/>
      <c r="BH170" s="20"/>
      <c r="BI170" s="20"/>
      <c r="BJ170" s="20"/>
      <c r="BK170" s="20"/>
      <c r="BL170" s="20"/>
      <c r="BM170" s="20"/>
      <c r="BN170" s="20"/>
      <c r="BO170" s="20"/>
      <c r="BP170" s="20"/>
      <c r="BQ170" s="20"/>
      <c r="BR170" s="20"/>
      <c r="BS170" s="20"/>
      <c r="BT170" s="20"/>
      <c r="BU170" s="20"/>
      <c r="BV170" s="20"/>
      <c r="BW170" s="20"/>
      <c r="BX170" s="20"/>
      <c r="BY170" s="20"/>
      <c r="BZ170" s="20"/>
      <c r="CA170" s="20"/>
      <c r="CB170" s="20"/>
      <c r="CC170" s="20"/>
      <c r="CD170" s="20"/>
      <c r="CE170" s="20"/>
      <c r="CF170" s="20"/>
      <c r="CG170" s="20"/>
      <c r="CH170" s="20"/>
      <c r="CI170" s="20"/>
      <c r="CJ170" s="20"/>
      <c r="CK170" s="20"/>
      <c r="CL170" s="20"/>
      <c r="CM170" s="20"/>
      <c r="CN170" s="20"/>
      <c r="CO170" s="20"/>
      <c r="CP170" s="20"/>
      <c r="CQ170" s="20"/>
      <c r="CR170" s="20"/>
      <c r="CS170" s="20"/>
    </row>
    <row r="171" s="8" customFormat="1" spans="1:97">
      <c r="A171" s="20"/>
      <c r="B171" s="15"/>
      <c r="C171" s="24"/>
      <c r="D171" s="24"/>
      <c r="E171" s="24"/>
      <c r="F171" s="24"/>
      <c r="G171" s="24"/>
      <c r="H171" s="24"/>
      <c r="I171" s="24"/>
      <c r="J171" s="24"/>
      <c r="K171" s="24"/>
      <c r="L171" s="24"/>
      <c r="M171" s="24"/>
      <c r="N171" s="24"/>
      <c r="O171" s="24"/>
      <c r="P171" s="24"/>
      <c r="Q171" s="24"/>
      <c r="R171" s="24"/>
      <c r="S171" s="24"/>
      <c r="T171" s="24"/>
      <c r="U171" s="24"/>
      <c r="V171" s="24"/>
      <c r="W171" s="24"/>
      <c r="X171" s="24"/>
      <c r="Y171" s="24"/>
      <c r="Z171" s="24"/>
      <c r="AA171" s="24"/>
      <c r="AB171" s="24"/>
      <c r="AC171" s="24"/>
      <c r="AD171" s="24"/>
      <c r="AE171" s="24"/>
      <c r="AF171" s="24"/>
      <c r="AG171" s="24"/>
      <c r="AH171" s="24"/>
      <c r="AI171" s="24"/>
      <c r="AJ171" s="20"/>
      <c r="AK171" s="20"/>
      <c r="AL171" s="20"/>
      <c r="AM171" s="20"/>
      <c r="AN171" s="20"/>
      <c r="AO171" s="20"/>
      <c r="AP171" s="20"/>
      <c r="AQ171" s="20"/>
      <c r="AR171" s="20"/>
      <c r="AS171" s="20"/>
      <c r="AT171" s="20"/>
      <c r="AU171" s="20"/>
      <c r="AV171" s="20"/>
      <c r="AW171" s="20"/>
      <c r="AX171" s="20"/>
      <c r="AY171" s="20"/>
      <c r="AZ171" s="20"/>
      <c r="BA171" s="20"/>
      <c r="BB171" s="20"/>
      <c r="BC171" s="20"/>
      <c r="BD171" s="20"/>
      <c r="BE171" s="20"/>
      <c r="BF171" s="20"/>
      <c r="BG171" s="20"/>
      <c r="BH171" s="20"/>
      <c r="BI171" s="20"/>
      <c r="BJ171" s="20"/>
      <c r="BK171" s="20"/>
      <c r="BL171" s="20"/>
      <c r="BM171" s="20"/>
      <c r="BN171" s="20"/>
      <c r="BO171" s="20"/>
      <c r="BP171" s="20"/>
      <c r="BQ171" s="20"/>
      <c r="BR171" s="20"/>
      <c r="BS171" s="20"/>
      <c r="BT171" s="20"/>
      <c r="BU171" s="20"/>
      <c r="BV171" s="20"/>
      <c r="BW171" s="20"/>
      <c r="BX171" s="20"/>
      <c r="BY171" s="20"/>
      <c r="BZ171" s="20"/>
      <c r="CA171" s="20"/>
      <c r="CB171" s="20"/>
      <c r="CC171" s="20"/>
      <c r="CD171" s="20"/>
      <c r="CE171" s="20"/>
      <c r="CF171" s="20"/>
      <c r="CG171" s="20"/>
      <c r="CH171" s="20"/>
      <c r="CI171" s="20"/>
      <c r="CJ171" s="20"/>
      <c r="CK171" s="20"/>
      <c r="CL171" s="20"/>
      <c r="CM171" s="20"/>
      <c r="CN171" s="20"/>
      <c r="CO171" s="20"/>
      <c r="CP171" s="20"/>
      <c r="CQ171" s="20"/>
      <c r="CR171" s="20"/>
      <c r="CS171" s="20"/>
    </row>
    <row r="172" s="8" customFormat="1" spans="1:97">
      <c r="A172" s="20"/>
      <c r="B172" s="15"/>
      <c r="C172" s="24"/>
      <c r="D172" s="24"/>
      <c r="E172" s="24"/>
      <c r="F172" s="24"/>
      <c r="G172" s="24"/>
      <c r="H172" s="24"/>
      <c r="I172" s="24"/>
      <c r="J172" s="24"/>
      <c r="K172" s="24"/>
      <c r="L172" s="24"/>
      <c r="M172" s="24"/>
      <c r="N172" s="24"/>
      <c r="O172" s="24"/>
      <c r="P172" s="24"/>
      <c r="Q172" s="24"/>
      <c r="R172" s="24"/>
      <c r="S172" s="24"/>
      <c r="T172" s="24"/>
      <c r="U172" s="24"/>
      <c r="V172" s="24"/>
      <c r="W172" s="24"/>
      <c r="X172" s="24"/>
      <c r="Y172" s="24"/>
      <c r="Z172" s="24"/>
      <c r="AA172" s="24"/>
      <c r="AB172" s="24"/>
      <c r="AC172" s="24"/>
      <c r="AD172" s="24"/>
      <c r="AE172" s="24"/>
      <c r="AF172" s="24"/>
      <c r="AG172" s="24"/>
      <c r="AH172" s="24"/>
      <c r="AI172" s="24"/>
      <c r="AJ172" s="20"/>
      <c r="AK172" s="20"/>
      <c r="AL172" s="20"/>
      <c r="AM172" s="20"/>
      <c r="AN172" s="20"/>
      <c r="AO172" s="20"/>
      <c r="AP172" s="20"/>
      <c r="AQ172" s="20"/>
      <c r="AR172" s="20"/>
      <c r="AS172" s="20"/>
      <c r="AT172" s="20"/>
      <c r="AU172" s="20"/>
      <c r="AV172" s="20"/>
      <c r="AW172" s="20"/>
      <c r="AX172" s="20"/>
      <c r="AY172" s="20"/>
      <c r="AZ172" s="20"/>
      <c r="BA172" s="20"/>
      <c r="BB172" s="20"/>
      <c r="BC172" s="20"/>
      <c r="BD172" s="20"/>
      <c r="BE172" s="20"/>
      <c r="BF172" s="20"/>
      <c r="BG172" s="20"/>
      <c r="BH172" s="20"/>
      <c r="BI172" s="20"/>
      <c r="BJ172" s="20"/>
      <c r="BK172" s="20"/>
      <c r="BL172" s="20"/>
      <c r="BM172" s="20"/>
      <c r="BN172" s="20"/>
      <c r="BO172" s="20"/>
      <c r="BP172" s="20"/>
      <c r="BQ172" s="20"/>
      <c r="BR172" s="20"/>
      <c r="BS172" s="20"/>
      <c r="BT172" s="20"/>
      <c r="BU172" s="20"/>
      <c r="BV172" s="20"/>
      <c r="BW172" s="20"/>
      <c r="BX172" s="20"/>
      <c r="BY172" s="20"/>
      <c r="BZ172" s="20"/>
      <c r="CA172" s="20"/>
      <c r="CB172" s="20"/>
      <c r="CC172" s="20"/>
      <c r="CD172" s="20"/>
      <c r="CE172" s="20"/>
      <c r="CF172" s="20"/>
      <c r="CG172" s="20"/>
      <c r="CH172" s="20"/>
      <c r="CI172" s="20"/>
      <c r="CJ172" s="20"/>
      <c r="CK172" s="20"/>
      <c r="CL172" s="20"/>
      <c r="CM172" s="20"/>
      <c r="CN172" s="20"/>
      <c r="CO172" s="20"/>
      <c r="CP172" s="20"/>
      <c r="CQ172" s="20"/>
      <c r="CR172" s="20"/>
      <c r="CS172" s="20"/>
    </row>
    <row r="173" s="8" customFormat="1" spans="1:97">
      <c r="A173" s="20"/>
      <c r="B173" s="15"/>
      <c r="C173" s="24"/>
      <c r="D173" s="24"/>
      <c r="E173" s="24"/>
      <c r="F173" s="24"/>
      <c r="G173" s="24"/>
      <c r="H173" s="24"/>
      <c r="I173" s="24"/>
      <c r="J173" s="24"/>
      <c r="K173" s="24"/>
      <c r="L173" s="24"/>
      <c r="M173" s="24"/>
      <c r="N173" s="24"/>
      <c r="O173" s="24"/>
      <c r="P173" s="24"/>
      <c r="Q173" s="24"/>
      <c r="R173" s="24"/>
      <c r="S173" s="24"/>
      <c r="T173" s="24"/>
      <c r="U173" s="24"/>
      <c r="V173" s="24"/>
      <c r="W173" s="24"/>
      <c r="X173" s="24"/>
      <c r="Y173" s="24"/>
      <c r="Z173" s="24"/>
      <c r="AA173" s="24"/>
      <c r="AB173" s="24"/>
      <c r="AC173" s="24"/>
      <c r="AD173" s="24"/>
      <c r="AE173" s="24"/>
      <c r="AF173" s="24"/>
      <c r="AG173" s="24"/>
      <c r="AH173" s="24"/>
      <c r="AI173" s="24"/>
      <c r="AJ173" s="20"/>
      <c r="AK173" s="20"/>
      <c r="AL173" s="20"/>
      <c r="AM173" s="20"/>
      <c r="AN173" s="20"/>
      <c r="AO173" s="20"/>
      <c r="AP173" s="20"/>
      <c r="AQ173" s="20"/>
      <c r="AR173" s="20"/>
      <c r="AS173" s="20"/>
      <c r="AT173" s="20"/>
      <c r="AU173" s="20"/>
      <c r="AV173" s="20"/>
      <c r="AW173" s="20"/>
      <c r="AX173" s="20"/>
      <c r="AY173" s="20"/>
      <c r="AZ173" s="20"/>
      <c r="BA173" s="20"/>
      <c r="BB173" s="20"/>
      <c r="BC173" s="20"/>
      <c r="BD173" s="20"/>
      <c r="BE173" s="20"/>
      <c r="BF173" s="20"/>
      <c r="BG173" s="20"/>
      <c r="BH173" s="20"/>
      <c r="BI173" s="20"/>
      <c r="BJ173" s="20"/>
      <c r="BK173" s="20"/>
      <c r="BL173" s="20"/>
      <c r="BM173" s="20"/>
      <c r="BN173" s="20"/>
      <c r="BO173" s="20"/>
      <c r="BP173" s="20"/>
      <c r="BQ173" s="20"/>
      <c r="BR173" s="20"/>
      <c r="BS173" s="20"/>
      <c r="BT173" s="20"/>
      <c r="BU173" s="20"/>
      <c r="BV173" s="20"/>
      <c r="BW173" s="20"/>
      <c r="BX173" s="20"/>
      <c r="BY173" s="20"/>
      <c r="BZ173" s="20"/>
      <c r="CA173" s="20"/>
      <c r="CB173" s="20"/>
      <c r="CC173" s="20"/>
      <c r="CD173" s="20"/>
      <c r="CE173" s="20"/>
      <c r="CF173" s="20"/>
      <c r="CG173" s="20"/>
      <c r="CH173" s="20"/>
      <c r="CI173" s="20"/>
      <c r="CJ173" s="20"/>
      <c r="CK173" s="20"/>
      <c r="CL173" s="20"/>
      <c r="CM173" s="20"/>
      <c r="CN173" s="20"/>
      <c r="CO173" s="20"/>
      <c r="CP173" s="20"/>
      <c r="CQ173" s="20"/>
      <c r="CR173" s="20"/>
      <c r="CS173" s="20"/>
    </row>
    <row r="174" s="8" customFormat="1" spans="1:97">
      <c r="A174" s="20"/>
      <c r="B174" s="15"/>
      <c r="C174" s="24"/>
      <c r="D174" s="24"/>
      <c r="E174" s="24"/>
      <c r="F174" s="24"/>
      <c r="G174" s="24"/>
      <c r="H174" s="24"/>
      <c r="I174" s="24"/>
      <c r="J174" s="24"/>
      <c r="K174" s="24"/>
      <c r="L174" s="24"/>
      <c r="M174" s="24"/>
      <c r="N174" s="24"/>
      <c r="O174" s="24"/>
      <c r="P174" s="24"/>
      <c r="Q174" s="24"/>
      <c r="R174" s="24"/>
      <c r="S174" s="24"/>
      <c r="T174" s="24"/>
      <c r="U174" s="24"/>
      <c r="V174" s="24"/>
      <c r="W174" s="24"/>
      <c r="X174" s="24"/>
      <c r="Y174" s="24"/>
      <c r="Z174" s="24"/>
      <c r="AA174" s="24"/>
      <c r="AB174" s="24"/>
      <c r="AC174" s="24"/>
      <c r="AD174" s="24"/>
      <c r="AE174" s="24"/>
      <c r="AF174" s="24"/>
      <c r="AG174" s="24"/>
      <c r="AH174" s="24"/>
      <c r="AI174" s="24"/>
      <c r="AJ174" s="20"/>
      <c r="AK174" s="20"/>
      <c r="AL174" s="20"/>
      <c r="AM174" s="20"/>
      <c r="AN174" s="20"/>
      <c r="AO174" s="20"/>
      <c r="AP174" s="20"/>
      <c r="AQ174" s="20"/>
      <c r="AR174" s="20"/>
      <c r="AS174" s="20"/>
      <c r="AT174" s="20"/>
      <c r="AU174" s="20"/>
      <c r="AV174" s="20"/>
      <c r="AW174" s="20"/>
      <c r="AX174" s="20"/>
      <c r="AY174" s="20"/>
      <c r="AZ174" s="20"/>
      <c r="BA174" s="20"/>
      <c r="BB174" s="20"/>
      <c r="BC174" s="20"/>
      <c r="BD174" s="20"/>
      <c r="BE174" s="20"/>
      <c r="BF174" s="20"/>
      <c r="BG174" s="20"/>
      <c r="BH174" s="20"/>
      <c r="BI174" s="20"/>
      <c r="BJ174" s="20"/>
      <c r="BK174" s="20"/>
      <c r="BL174" s="20"/>
      <c r="BM174" s="20"/>
      <c r="BN174" s="20"/>
      <c r="BO174" s="20"/>
      <c r="BP174" s="20"/>
      <c r="BQ174" s="20"/>
      <c r="BR174" s="20"/>
      <c r="BS174" s="20"/>
      <c r="BT174" s="20"/>
      <c r="BU174" s="20"/>
      <c r="BV174" s="20"/>
      <c r="BW174" s="20"/>
      <c r="BX174" s="20"/>
      <c r="BY174" s="20"/>
      <c r="BZ174" s="20"/>
      <c r="CA174" s="20"/>
      <c r="CB174" s="20"/>
      <c r="CC174" s="20"/>
      <c r="CD174" s="20"/>
      <c r="CE174" s="20"/>
      <c r="CF174" s="20"/>
      <c r="CG174" s="20"/>
      <c r="CH174" s="20"/>
      <c r="CI174" s="20"/>
      <c r="CJ174" s="20"/>
      <c r="CK174" s="20"/>
      <c r="CL174" s="20"/>
      <c r="CM174" s="20"/>
      <c r="CN174" s="20"/>
      <c r="CO174" s="20"/>
      <c r="CP174" s="20"/>
      <c r="CQ174" s="20"/>
      <c r="CR174" s="20"/>
      <c r="CS174" s="20"/>
    </row>
    <row r="175" s="8" customFormat="1" spans="1:97">
      <c r="A175" s="20"/>
      <c r="B175" s="15"/>
      <c r="C175" s="24"/>
      <c r="D175" s="24"/>
      <c r="E175" s="24"/>
      <c r="F175" s="24"/>
      <c r="G175" s="24"/>
      <c r="H175" s="24"/>
      <c r="I175" s="24"/>
      <c r="J175" s="24"/>
      <c r="K175" s="24"/>
      <c r="L175" s="24"/>
      <c r="M175" s="24"/>
      <c r="N175" s="24"/>
      <c r="O175" s="24"/>
      <c r="P175" s="24"/>
      <c r="Q175" s="24"/>
      <c r="R175" s="24"/>
      <c r="S175" s="24"/>
      <c r="T175" s="24"/>
      <c r="U175" s="24"/>
      <c r="V175" s="24"/>
      <c r="W175" s="24"/>
      <c r="X175" s="24"/>
      <c r="Y175" s="24"/>
      <c r="Z175" s="24"/>
      <c r="AA175" s="24"/>
      <c r="AB175" s="24"/>
      <c r="AC175" s="24"/>
      <c r="AD175" s="24"/>
      <c r="AE175" s="24"/>
      <c r="AF175" s="24"/>
      <c r="AG175" s="24"/>
      <c r="AH175" s="24"/>
      <c r="AI175" s="24"/>
      <c r="AJ175" s="20"/>
      <c r="AK175" s="20"/>
      <c r="AL175" s="20"/>
      <c r="AM175" s="20"/>
      <c r="AN175" s="20"/>
      <c r="AO175" s="20"/>
      <c r="AP175" s="20"/>
      <c r="AQ175" s="20"/>
      <c r="AR175" s="20"/>
      <c r="AS175" s="20"/>
      <c r="AT175" s="20"/>
      <c r="AU175" s="20"/>
      <c r="AV175" s="20"/>
      <c r="AW175" s="20"/>
      <c r="AX175" s="20"/>
      <c r="AY175" s="20"/>
      <c r="AZ175" s="20"/>
      <c r="BA175" s="20"/>
      <c r="BB175" s="20"/>
      <c r="BC175" s="20"/>
      <c r="BD175" s="20"/>
      <c r="BE175" s="20"/>
      <c r="BF175" s="20"/>
      <c r="BG175" s="20"/>
      <c r="BH175" s="20"/>
      <c r="BI175" s="20"/>
      <c r="BJ175" s="20"/>
      <c r="BK175" s="20"/>
      <c r="BL175" s="20"/>
      <c r="BM175" s="20"/>
      <c r="BN175" s="20"/>
      <c r="BO175" s="20"/>
      <c r="BP175" s="20"/>
      <c r="BQ175" s="20"/>
      <c r="BR175" s="20"/>
      <c r="BS175" s="20"/>
      <c r="BT175" s="20"/>
      <c r="BU175" s="20"/>
      <c r="BV175" s="20"/>
      <c r="BW175" s="20"/>
      <c r="BX175" s="20"/>
      <c r="BY175" s="20"/>
      <c r="BZ175" s="20"/>
      <c r="CA175" s="20"/>
      <c r="CB175" s="20"/>
      <c r="CC175" s="20"/>
      <c r="CD175" s="20"/>
      <c r="CE175" s="20"/>
      <c r="CF175" s="20"/>
      <c r="CG175" s="20"/>
      <c r="CH175" s="20"/>
      <c r="CI175" s="20"/>
      <c r="CJ175" s="20"/>
      <c r="CK175" s="20"/>
      <c r="CL175" s="20"/>
      <c r="CM175" s="20"/>
      <c r="CN175" s="20"/>
      <c r="CO175" s="20"/>
      <c r="CP175" s="20"/>
      <c r="CQ175" s="20"/>
      <c r="CR175" s="20"/>
      <c r="CS175" s="20"/>
    </row>
    <row r="176" s="8" customFormat="1" spans="1:97">
      <c r="A176" s="20"/>
      <c r="B176" s="15"/>
      <c r="C176" s="24"/>
      <c r="D176" s="24"/>
      <c r="E176" s="24"/>
      <c r="F176" s="24"/>
      <c r="G176" s="24"/>
      <c r="H176" s="24"/>
      <c r="I176" s="24"/>
      <c r="J176" s="24"/>
      <c r="K176" s="24"/>
      <c r="L176" s="24"/>
      <c r="M176" s="24"/>
      <c r="N176" s="24"/>
      <c r="O176" s="24"/>
      <c r="P176" s="24"/>
      <c r="Q176" s="24"/>
      <c r="R176" s="24"/>
      <c r="S176" s="24"/>
      <c r="T176" s="24"/>
      <c r="U176" s="24"/>
      <c r="V176" s="24"/>
      <c r="W176" s="24"/>
      <c r="X176" s="24"/>
      <c r="Y176" s="24"/>
      <c r="Z176" s="24"/>
      <c r="AA176" s="24"/>
      <c r="AB176" s="24"/>
      <c r="AC176" s="24"/>
      <c r="AD176" s="24"/>
      <c r="AE176" s="24"/>
      <c r="AF176" s="24"/>
      <c r="AG176" s="24"/>
      <c r="AH176" s="24"/>
      <c r="AI176" s="24"/>
      <c r="AJ176" s="20"/>
      <c r="AK176" s="20"/>
      <c r="AL176" s="20"/>
      <c r="AM176" s="20"/>
      <c r="AN176" s="20"/>
      <c r="AO176" s="20"/>
      <c r="AP176" s="20"/>
      <c r="AQ176" s="20"/>
      <c r="AR176" s="20"/>
      <c r="AS176" s="20"/>
      <c r="AT176" s="20"/>
      <c r="AU176" s="20"/>
      <c r="AV176" s="20"/>
      <c r="AW176" s="20"/>
      <c r="AX176" s="20"/>
      <c r="AY176" s="20"/>
      <c r="AZ176" s="20"/>
      <c r="BA176" s="20"/>
      <c r="BB176" s="20"/>
      <c r="BC176" s="20"/>
      <c r="BD176" s="20"/>
      <c r="BE176" s="20"/>
      <c r="BF176" s="20"/>
      <c r="BG176" s="20"/>
      <c r="BH176" s="20"/>
      <c r="BI176" s="20"/>
      <c r="BJ176" s="20"/>
      <c r="BK176" s="20"/>
      <c r="BL176" s="20"/>
      <c r="BM176" s="20"/>
      <c r="BN176" s="20"/>
      <c r="BO176" s="20"/>
      <c r="BP176" s="20"/>
      <c r="BQ176" s="20"/>
      <c r="BR176" s="20"/>
      <c r="BS176" s="20"/>
      <c r="BT176" s="20"/>
      <c r="BU176" s="20"/>
      <c r="BV176" s="20"/>
      <c r="BW176" s="20"/>
      <c r="BX176" s="20"/>
      <c r="BY176" s="20"/>
      <c r="BZ176" s="20"/>
      <c r="CA176" s="20"/>
      <c r="CB176" s="20"/>
      <c r="CC176" s="20"/>
      <c r="CD176" s="20"/>
      <c r="CE176" s="20"/>
      <c r="CF176" s="20"/>
      <c r="CG176" s="20"/>
      <c r="CH176" s="20"/>
      <c r="CI176" s="20"/>
      <c r="CJ176" s="20"/>
      <c r="CK176" s="20"/>
      <c r="CL176" s="20"/>
      <c r="CM176" s="20"/>
      <c r="CN176" s="20"/>
      <c r="CO176" s="20"/>
      <c r="CP176" s="20"/>
      <c r="CQ176" s="20"/>
      <c r="CR176" s="20"/>
      <c r="CS176" s="20"/>
    </row>
    <row r="177" s="8" customFormat="1" spans="1:97">
      <c r="A177" s="20"/>
      <c r="B177" s="15"/>
      <c r="C177" s="24"/>
      <c r="D177" s="24"/>
      <c r="E177" s="24"/>
      <c r="F177" s="24"/>
      <c r="G177" s="24"/>
      <c r="H177" s="24"/>
      <c r="I177" s="24"/>
      <c r="J177" s="24"/>
      <c r="K177" s="24"/>
      <c r="L177" s="24"/>
      <c r="M177" s="24"/>
      <c r="N177" s="24"/>
      <c r="O177" s="24"/>
      <c r="P177" s="24"/>
      <c r="Q177" s="24"/>
      <c r="R177" s="24"/>
      <c r="S177" s="24"/>
      <c r="T177" s="24"/>
      <c r="U177" s="24"/>
      <c r="V177" s="24"/>
      <c r="W177" s="24"/>
      <c r="X177" s="24"/>
      <c r="Y177" s="24"/>
      <c r="Z177" s="24"/>
      <c r="AA177" s="24"/>
      <c r="AB177" s="24"/>
      <c r="AC177" s="24"/>
      <c r="AD177" s="24"/>
      <c r="AE177" s="24"/>
      <c r="AF177" s="24"/>
      <c r="AG177" s="24"/>
      <c r="AH177" s="24"/>
      <c r="AI177" s="24"/>
      <c r="AJ177" s="20"/>
      <c r="AK177" s="20"/>
      <c r="AL177" s="20"/>
      <c r="AM177" s="20"/>
      <c r="AN177" s="20"/>
      <c r="AO177" s="20"/>
      <c r="AP177" s="20"/>
      <c r="AQ177" s="20"/>
      <c r="AR177" s="20"/>
      <c r="AS177" s="20"/>
      <c r="AT177" s="20"/>
      <c r="AU177" s="20"/>
      <c r="AV177" s="20"/>
      <c r="AW177" s="20"/>
      <c r="AX177" s="20"/>
      <c r="AY177" s="20"/>
      <c r="AZ177" s="20"/>
      <c r="BA177" s="20"/>
      <c r="BB177" s="20"/>
      <c r="BC177" s="20"/>
      <c r="BD177" s="20"/>
      <c r="BE177" s="20"/>
      <c r="BF177" s="20"/>
      <c r="BG177" s="20"/>
      <c r="BH177" s="20"/>
      <c r="BI177" s="20"/>
      <c r="BJ177" s="20"/>
      <c r="BK177" s="20"/>
      <c r="BL177" s="20"/>
      <c r="BM177" s="20"/>
      <c r="BN177" s="20"/>
      <c r="BO177" s="20"/>
      <c r="BP177" s="20"/>
      <c r="BQ177" s="20"/>
      <c r="BR177" s="20"/>
      <c r="BS177" s="20"/>
      <c r="BT177" s="20"/>
      <c r="BU177" s="20"/>
      <c r="BV177" s="20"/>
      <c r="BW177" s="20"/>
      <c r="BX177" s="20"/>
      <c r="BY177" s="20"/>
      <c r="BZ177" s="20"/>
      <c r="CA177" s="20"/>
      <c r="CB177" s="20"/>
      <c r="CC177" s="20"/>
      <c r="CD177" s="20"/>
      <c r="CE177" s="20"/>
      <c r="CF177" s="20"/>
      <c r="CG177" s="20"/>
      <c r="CH177" s="20"/>
      <c r="CI177" s="20"/>
      <c r="CJ177" s="20"/>
      <c r="CK177" s="20"/>
      <c r="CL177" s="20"/>
      <c r="CM177" s="20"/>
      <c r="CN177" s="20"/>
      <c r="CO177" s="20"/>
      <c r="CP177" s="20"/>
      <c r="CQ177" s="20"/>
      <c r="CR177" s="20"/>
      <c r="CS177" s="20"/>
    </row>
    <row r="178" s="8" customFormat="1" spans="1:97">
      <c r="A178" s="20"/>
      <c r="B178" s="15"/>
      <c r="C178" s="24"/>
      <c r="D178" s="24"/>
      <c r="E178" s="24"/>
      <c r="F178" s="24"/>
      <c r="G178" s="24"/>
      <c r="H178" s="24"/>
      <c r="I178" s="24"/>
      <c r="J178" s="24"/>
      <c r="K178" s="24"/>
      <c r="L178" s="24"/>
      <c r="M178" s="24"/>
      <c r="N178" s="24"/>
      <c r="O178" s="24"/>
      <c r="P178" s="24"/>
      <c r="Q178" s="24"/>
      <c r="R178" s="24"/>
      <c r="S178" s="24"/>
      <c r="T178" s="24"/>
      <c r="U178" s="24"/>
      <c r="V178" s="24"/>
      <c r="W178" s="24"/>
      <c r="X178" s="24"/>
      <c r="Y178" s="24"/>
      <c r="Z178" s="24"/>
      <c r="AA178" s="24"/>
      <c r="AB178" s="24"/>
      <c r="AC178" s="24"/>
      <c r="AD178" s="24"/>
      <c r="AE178" s="24"/>
      <c r="AF178" s="24"/>
      <c r="AG178" s="24"/>
      <c r="AH178" s="24"/>
      <c r="AI178" s="24"/>
      <c r="AJ178" s="20"/>
      <c r="AK178" s="20"/>
      <c r="AL178" s="20"/>
      <c r="AM178" s="20"/>
      <c r="AN178" s="20"/>
      <c r="AO178" s="20"/>
      <c r="AP178" s="20"/>
      <c r="AQ178" s="20"/>
      <c r="AR178" s="20"/>
      <c r="AS178" s="20"/>
      <c r="AT178" s="20"/>
      <c r="AU178" s="20"/>
      <c r="AV178" s="20"/>
      <c r="AW178" s="20"/>
      <c r="AX178" s="20"/>
      <c r="AY178" s="20"/>
      <c r="AZ178" s="20"/>
      <c r="BA178" s="20"/>
      <c r="BB178" s="20"/>
      <c r="BC178" s="20"/>
      <c r="BD178" s="20"/>
      <c r="BE178" s="20"/>
      <c r="BF178" s="20"/>
      <c r="BG178" s="20"/>
      <c r="BH178" s="20"/>
      <c r="BI178" s="20"/>
      <c r="BJ178" s="20"/>
      <c r="BK178" s="20"/>
      <c r="BL178" s="20"/>
      <c r="BM178" s="20"/>
      <c r="BN178" s="20"/>
      <c r="BO178" s="20"/>
      <c r="BP178" s="20"/>
      <c r="BQ178" s="20"/>
      <c r="BR178" s="20"/>
      <c r="BS178" s="20"/>
      <c r="BT178" s="20"/>
      <c r="BU178" s="20"/>
      <c r="BV178" s="20"/>
      <c r="BW178" s="20"/>
      <c r="BX178" s="20"/>
      <c r="BY178" s="20"/>
      <c r="BZ178" s="20"/>
      <c r="CA178" s="20"/>
      <c r="CB178" s="20"/>
      <c r="CC178" s="20"/>
      <c r="CD178" s="20"/>
      <c r="CE178" s="20"/>
      <c r="CF178" s="20"/>
      <c r="CG178" s="20"/>
      <c r="CH178" s="20"/>
      <c r="CI178" s="20"/>
      <c r="CJ178" s="20"/>
      <c r="CK178" s="20"/>
      <c r="CL178" s="20"/>
      <c r="CM178" s="20"/>
      <c r="CN178" s="20"/>
      <c r="CO178" s="20"/>
      <c r="CP178" s="20"/>
      <c r="CQ178" s="20"/>
      <c r="CR178" s="20"/>
      <c r="CS178" s="20"/>
    </row>
    <row r="179" s="8" customFormat="1" spans="1:97">
      <c r="A179" s="20"/>
      <c r="B179" s="15"/>
      <c r="C179" s="24"/>
      <c r="D179" s="24"/>
      <c r="E179" s="24"/>
      <c r="F179" s="24"/>
      <c r="G179" s="24"/>
      <c r="H179" s="24"/>
      <c r="I179" s="24"/>
      <c r="J179" s="24"/>
      <c r="K179" s="24"/>
      <c r="L179" s="24"/>
      <c r="M179" s="24"/>
      <c r="N179" s="24"/>
      <c r="O179" s="24"/>
      <c r="P179" s="24"/>
      <c r="Q179" s="24"/>
      <c r="R179" s="24"/>
      <c r="S179" s="24"/>
      <c r="T179" s="24"/>
      <c r="U179" s="24"/>
      <c r="V179" s="24"/>
      <c r="W179" s="24"/>
      <c r="X179" s="24"/>
      <c r="Y179" s="24"/>
      <c r="Z179" s="24"/>
      <c r="AA179" s="24"/>
      <c r="AB179" s="24"/>
      <c r="AC179" s="24"/>
      <c r="AD179" s="24"/>
      <c r="AE179" s="24"/>
      <c r="AF179" s="24"/>
      <c r="AG179" s="24"/>
      <c r="AH179" s="24"/>
      <c r="AI179" s="24"/>
      <c r="AJ179" s="20"/>
      <c r="AK179" s="20"/>
      <c r="AL179" s="20"/>
      <c r="AM179" s="20"/>
      <c r="AN179" s="20"/>
      <c r="AO179" s="20"/>
      <c r="AP179" s="20"/>
      <c r="AQ179" s="20"/>
      <c r="AR179" s="20"/>
      <c r="AS179" s="20"/>
      <c r="AT179" s="20"/>
      <c r="AU179" s="20"/>
      <c r="AV179" s="20"/>
      <c r="AW179" s="20"/>
      <c r="AX179" s="20"/>
      <c r="AY179" s="20"/>
      <c r="AZ179" s="20"/>
      <c r="BA179" s="20"/>
      <c r="BB179" s="20"/>
      <c r="BC179" s="20"/>
      <c r="BD179" s="20"/>
      <c r="BE179" s="20"/>
      <c r="BF179" s="20"/>
      <c r="BG179" s="20"/>
      <c r="BH179" s="20"/>
      <c r="BI179" s="20"/>
      <c r="BJ179" s="20"/>
      <c r="BK179" s="20"/>
      <c r="BL179" s="20"/>
      <c r="BM179" s="20"/>
      <c r="BN179" s="20"/>
      <c r="BO179" s="20"/>
      <c r="BP179" s="20"/>
      <c r="BQ179" s="20"/>
      <c r="BR179" s="20"/>
      <c r="BS179" s="20"/>
      <c r="BT179" s="20"/>
      <c r="BU179" s="20"/>
      <c r="BV179" s="20"/>
      <c r="BW179" s="20"/>
      <c r="BX179" s="20"/>
      <c r="BY179" s="20"/>
      <c r="BZ179" s="20"/>
      <c r="CA179" s="20"/>
      <c r="CB179" s="20"/>
      <c r="CC179" s="20"/>
      <c r="CD179" s="20"/>
      <c r="CE179" s="20"/>
      <c r="CF179" s="20"/>
      <c r="CG179" s="20"/>
      <c r="CH179" s="20"/>
      <c r="CI179" s="20"/>
      <c r="CJ179" s="20"/>
      <c r="CK179" s="20"/>
      <c r="CL179" s="20"/>
      <c r="CM179" s="20"/>
      <c r="CN179" s="20"/>
      <c r="CO179" s="20"/>
      <c r="CP179" s="20"/>
      <c r="CQ179" s="20"/>
      <c r="CR179" s="20"/>
      <c r="CS179" s="20"/>
    </row>
    <row r="180" s="8" customFormat="1" spans="1:97">
      <c r="A180" s="20"/>
      <c r="B180" s="15"/>
      <c r="C180" s="24"/>
      <c r="D180" s="24"/>
      <c r="E180" s="24"/>
      <c r="F180" s="24"/>
      <c r="G180" s="24"/>
      <c r="H180" s="24"/>
      <c r="I180" s="24"/>
      <c r="J180" s="24"/>
      <c r="K180" s="24"/>
      <c r="L180" s="24"/>
      <c r="M180" s="24"/>
      <c r="N180" s="24"/>
      <c r="O180" s="24"/>
      <c r="P180" s="24"/>
      <c r="Q180" s="24"/>
      <c r="R180" s="24"/>
      <c r="S180" s="24"/>
      <c r="T180" s="24"/>
      <c r="U180" s="24"/>
      <c r="V180" s="24"/>
      <c r="W180" s="24"/>
      <c r="X180" s="24"/>
      <c r="Y180" s="24"/>
      <c r="Z180" s="24"/>
      <c r="AA180" s="24"/>
      <c r="AB180" s="24"/>
      <c r="AC180" s="24"/>
      <c r="AD180" s="24"/>
      <c r="AE180" s="24"/>
      <c r="AF180" s="24"/>
      <c r="AG180" s="24"/>
      <c r="AH180" s="24"/>
      <c r="AI180" s="24"/>
      <c r="AJ180" s="20"/>
      <c r="AK180" s="20"/>
      <c r="AL180" s="20"/>
      <c r="AM180" s="20"/>
      <c r="AN180" s="20"/>
      <c r="AO180" s="20"/>
      <c r="AP180" s="20"/>
      <c r="AQ180" s="20"/>
      <c r="AR180" s="20"/>
      <c r="AS180" s="20"/>
      <c r="AT180" s="20"/>
      <c r="AU180" s="20"/>
      <c r="AV180" s="20"/>
      <c r="AW180" s="20"/>
      <c r="AX180" s="20"/>
      <c r="AY180" s="20"/>
      <c r="AZ180" s="20"/>
      <c r="BA180" s="20"/>
      <c r="BB180" s="20"/>
      <c r="BC180" s="20"/>
      <c r="BD180" s="20"/>
      <c r="BE180" s="20"/>
      <c r="BF180" s="20"/>
      <c r="BG180" s="20"/>
      <c r="BH180" s="20"/>
      <c r="BI180" s="20"/>
      <c r="BJ180" s="20"/>
      <c r="BK180" s="20"/>
      <c r="BL180" s="20"/>
      <c r="BM180" s="20"/>
      <c r="BN180" s="20"/>
      <c r="BO180" s="20"/>
      <c r="BP180" s="20"/>
      <c r="BQ180" s="20"/>
      <c r="BR180" s="20"/>
      <c r="BS180" s="20"/>
      <c r="BT180" s="20"/>
      <c r="BU180" s="20"/>
      <c r="BV180" s="20"/>
      <c r="BW180" s="20"/>
      <c r="BX180" s="20"/>
      <c r="BY180" s="20"/>
      <c r="BZ180" s="20"/>
      <c r="CA180" s="20"/>
      <c r="CB180" s="20"/>
      <c r="CC180" s="20"/>
      <c r="CD180" s="20"/>
      <c r="CE180" s="20"/>
      <c r="CF180" s="20"/>
      <c r="CG180" s="20"/>
      <c r="CH180" s="20"/>
      <c r="CI180" s="20"/>
      <c r="CJ180" s="20"/>
      <c r="CK180" s="20"/>
      <c r="CL180" s="20"/>
      <c r="CM180" s="20"/>
      <c r="CN180" s="20"/>
      <c r="CO180" s="20"/>
      <c r="CP180" s="20"/>
      <c r="CQ180" s="20"/>
      <c r="CR180" s="20"/>
      <c r="CS180" s="20"/>
    </row>
    <row r="181" s="8" customFormat="1" spans="1:97">
      <c r="A181" s="20"/>
      <c r="B181" s="15"/>
      <c r="C181" s="24"/>
      <c r="D181" s="24"/>
      <c r="E181" s="24"/>
      <c r="F181" s="24"/>
      <c r="G181" s="24"/>
      <c r="H181" s="24"/>
      <c r="I181" s="24"/>
      <c r="J181" s="24"/>
      <c r="K181" s="24"/>
      <c r="L181" s="24"/>
      <c r="M181" s="24"/>
      <c r="N181" s="24"/>
      <c r="O181" s="24"/>
      <c r="P181" s="24"/>
      <c r="Q181" s="24"/>
      <c r="R181" s="24"/>
      <c r="S181" s="24"/>
      <c r="T181" s="24"/>
      <c r="U181" s="24"/>
      <c r="V181" s="24"/>
      <c r="W181" s="24"/>
      <c r="X181" s="24"/>
      <c r="Y181" s="24"/>
      <c r="Z181" s="24"/>
      <c r="AA181" s="24"/>
      <c r="AB181" s="24"/>
      <c r="AC181" s="24"/>
      <c r="AD181" s="24"/>
      <c r="AE181" s="24"/>
      <c r="AF181" s="24"/>
      <c r="AG181" s="24"/>
      <c r="AH181" s="24"/>
      <c r="AI181" s="24"/>
      <c r="AJ181" s="20"/>
      <c r="AK181" s="20"/>
      <c r="AL181" s="20"/>
      <c r="AM181" s="20"/>
      <c r="AN181" s="20"/>
      <c r="AO181" s="20"/>
      <c r="AP181" s="20"/>
      <c r="AQ181" s="20"/>
      <c r="AR181" s="20"/>
      <c r="AS181" s="20"/>
      <c r="AT181" s="20"/>
      <c r="AU181" s="20"/>
      <c r="AV181" s="20"/>
      <c r="AW181" s="20"/>
      <c r="AX181" s="20"/>
      <c r="AY181" s="20"/>
      <c r="AZ181" s="20"/>
      <c r="BA181" s="20"/>
      <c r="BB181" s="20"/>
      <c r="BC181" s="20"/>
      <c r="BD181" s="20"/>
      <c r="BE181" s="20"/>
      <c r="BF181" s="20"/>
      <c r="BG181" s="20"/>
      <c r="BH181" s="20"/>
      <c r="BI181" s="20"/>
      <c r="BJ181" s="20"/>
      <c r="BK181" s="20"/>
      <c r="BL181" s="20"/>
      <c r="BM181" s="20"/>
      <c r="BN181" s="20"/>
      <c r="BO181" s="20"/>
      <c r="BP181" s="20"/>
      <c r="BQ181" s="20"/>
      <c r="BR181" s="20"/>
      <c r="BS181" s="20"/>
      <c r="BT181" s="20"/>
      <c r="BU181" s="20"/>
      <c r="BV181" s="20"/>
      <c r="BW181" s="20"/>
      <c r="BX181" s="20"/>
      <c r="BY181" s="20"/>
      <c r="BZ181" s="20"/>
      <c r="CA181" s="20"/>
      <c r="CB181" s="20"/>
      <c r="CC181" s="20"/>
      <c r="CD181" s="20"/>
      <c r="CE181" s="20"/>
      <c r="CF181" s="20"/>
      <c r="CG181" s="20"/>
      <c r="CH181" s="20"/>
      <c r="CI181" s="20"/>
      <c r="CJ181" s="20"/>
      <c r="CK181" s="20"/>
      <c r="CL181" s="20"/>
      <c r="CM181" s="20"/>
      <c r="CN181" s="20"/>
      <c r="CO181" s="20"/>
      <c r="CP181" s="20"/>
      <c r="CQ181" s="20"/>
      <c r="CR181" s="20"/>
      <c r="CS181" s="20"/>
    </row>
    <row r="182" s="8" customFormat="1" spans="1:97">
      <c r="A182" s="20"/>
      <c r="B182" s="15"/>
      <c r="C182" s="24"/>
      <c r="D182" s="24"/>
      <c r="E182" s="24"/>
      <c r="F182" s="24"/>
      <c r="G182" s="24"/>
      <c r="H182" s="24"/>
      <c r="I182" s="24"/>
      <c r="J182" s="24"/>
      <c r="K182" s="24"/>
      <c r="L182" s="24"/>
      <c r="M182" s="24"/>
      <c r="N182" s="24"/>
      <c r="O182" s="24"/>
      <c r="P182" s="24"/>
      <c r="Q182" s="24"/>
      <c r="R182" s="24"/>
      <c r="S182" s="24"/>
      <c r="T182" s="24"/>
      <c r="U182" s="24"/>
      <c r="V182" s="24"/>
      <c r="W182" s="24"/>
      <c r="X182" s="24"/>
      <c r="Y182" s="24"/>
      <c r="Z182" s="24"/>
      <c r="AA182" s="24"/>
      <c r="AB182" s="24"/>
      <c r="AC182" s="24"/>
      <c r="AD182" s="24"/>
      <c r="AE182" s="24"/>
      <c r="AF182" s="24"/>
      <c r="AG182" s="24"/>
      <c r="AH182" s="24"/>
      <c r="AI182" s="24"/>
      <c r="AJ182" s="20"/>
      <c r="AK182" s="20"/>
      <c r="AL182" s="20"/>
      <c r="AM182" s="20"/>
      <c r="AN182" s="20"/>
      <c r="AO182" s="20"/>
      <c r="AP182" s="20"/>
      <c r="AQ182" s="20"/>
      <c r="AR182" s="20"/>
      <c r="AS182" s="20"/>
      <c r="AT182" s="20"/>
      <c r="AU182" s="20"/>
      <c r="AV182" s="20"/>
      <c r="AW182" s="20"/>
      <c r="AX182" s="20"/>
      <c r="AY182" s="20"/>
      <c r="AZ182" s="20"/>
      <c r="BA182" s="20"/>
      <c r="BB182" s="20"/>
      <c r="BC182" s="20"/>
      <c r="BD182" s="20"/>
      <c r="BE182" s="20"/>
      <c r="BF182" s="20"/>
      <c r="BG182" s="20"/>
      <c r="BH182" s="20"/>
      <c r="BI182" s="20"/>
      <c r="BJ182" s="20"/>
      <c r="BK182" s="20"/>
      <c r="BL182" s="20"/>
      <c r="BM182" s="20"/>
      <c r="BN182" s="20"/>
      <c r="BO182" s="20"/>
      <c r="BP182" s="20"/>
      <c r="BQ182" s="20"/>
      <c r="BR182" s="20"/>
      <c r="BS182" s="20"/>
      <c r="BT182" s="20"/>
      <c r="BU182" s="20"/>
      <c r="BV182" s="20"/>
      <c r="BW182" s="20"/>
      <c r="BX182" s="20"/>
      <c r="BY182" s="20"/>
      <c r="BZ182" s="20"/>
      <c r="CA182" s="20"/>
      <c r="CB182" s="20"/>
      <c r="CC182" s="20"/>
      <c r="CD182" s="20"/>
      <c r="CE182" s="20"/>
      <c r="CF182" s="20"/>
      <c r="CG182" s="20"/>
      <c r="CH182" s="20"/>
      <c r="CI182" s="20"/>
      <c r="CJ182" s="20"/>
      <c r="CK182" s="20"/>
      <c r="CL182" s="20"/>
      <c r="CM182" s="20"/>
      <c r="CN182" s="20"/>
      <c r="CO182" s="20"/>
      <c r="CP182" s="20"/>
      <c r="CQ182" s="20"/>
      <c r="CR182" s="20"/>
      <c r="CS182" s="20"/>
    </row>
    <row r="183" s="8" customFormat="1" spans="1:97">
      <c r="A183" s="20"/>
      <c r="B183" s="15"/>
      <c r="C183" s="24"/>
      <c r="D183" s="24"/>
      <c r="E183" s="24"/>
      <c r="F183" s="24"/>
      <c r="G183" s="24"/>
      <c r="H183" s="24"/>
      <c r="I183" s="24"/>
      <c r="J183" s="24"/>
      <c r="K183" s="24"/>
      <c r="L183" s="24"/>
      <c r="M183" s="24"/>
      <c r="N183" s="24"/>
      <c r="O183" s="24"/>
      <c r="P183" s="24"/>
      <c r="Q183" s="24"/>
      <c r="R183" s="24"/>
      <c r="S183" s="24"/>
      <c r="T183" s="24"/>
      <c r="U183" s="24"/>
      <c r="V183" s="24"/>
      <c r="W183" s="24"/>
      <c r="X183" s="24"/>
      <c r="Y183" s="24"/>
      <c r="Z183" s="24"/>
      <c r="AA183" s="24"/>
      <c r="AB183" s="24"/>
      <c r="AC183" s="24"/>
      <c r="AD183" s="24"/>
      <c r="AE183" s="24"/>
      <c r="AF183" s="24"/>
      <c r="AG183" s="24"/>
      <c r="AH183" s="24"/>
      <c r="AI183" s="24"/>
      <c r="AJ183" s="20"/>
      <c r="AK183" s="20"/>
      <c r="AL183" s="20"/>
      <c r="AM183" s="20"/>
      <c r="AN183" s="20"/>
      <c r="AO183" s="20"/>
      <c r="AP183" s="20"/>
      <c r="AQ183" s="20"/>
      <c r="AR183" s="20"/>
      <c r="AS183" s="20"/>
      <c r="AT183" s="20"/>
      <c r="AU183" s="20"/>
      <c r="AV183" s="20"/>
      <c r="AW183" s="20"/>
      <c r="AX183" s="20"/>
      <c r="AY183" s="20"/>
      <c r="AZ183" s="20"/>
      <c r="BA183" s="20"/>
      <c r="BB183" s="20"/>
      <c r="BC183" s="20"/>
      <c r="BD183" s="20"/>
      <c r="BE183" s="20"/>
      <c r="BF183" s="20"/>
      <c r="BG183" s="20"/>
      <c r="BH183" s="20"/>
      <c r="BI183" s="20"/>
      <c r="BJ183" s="20"/>
      <c r="BK183" s="20"/>
      <c r="BL183" s="20"/>
      <c r="BM183" s="20"/>
      <c r="BN183" s="20"/>
      <c r="BO183" s="20"/>
      <c r="BP183" s="20"/>
      <c r="BQ183" s="20"/>
      <c r="BR183" s="20"/>
      <c r="BS183" s="20"/>
      <c r="BT183" s="20"/>
      <c r="BU183" s="20"/>
      <c r="BV183" s="20"/>
      <c r="BW183" s="20"/>
      <c r="BX183" s="20"/>
      <c r="BY183" s="20"/>
      <c r="BZ183" s="20"/>
      <c r="CA183" s="20"/>
      <c r="CB183" s="20"/>
      <c r="CC183" s="20"/>
      <c r="CD183" s="20"/>
      <c r="CE183" s="20"/>
      <c r="CF183" s="20"/>
      <c r="CG183" s="20"/>
      <c r="CH183" s="20"/>
      <c r="CI183" s="20"/>
      <c r="CJ183" s="20"/>
      <c r="CK183" s="20"/>
      <c r="CL183" s="20"/>
      <c r="CM183" s="20"/>
      <c r="CN183" s="20"/>
      <c r="CO183" s="20"/>
      <c r="CP183" s="20"/>
      <c r="CQ183" s="20"/>
      <c r="CR183" s="20"/>
      <c r="CS183" s="20"/>
    </row>
    <row r="184" s="8" customFormat="1" spans="1:97">
      <c r="A184" s="20"/>
      <c r="B184" s="15"/>
      <c r="C184" s="24"/>
      <c r="D184" s="24"/>
      <c r="E184" s="24"/>
      <c r="F184" s="24"/>
      <c r="G184" s="24"/>
      <c r="H184" s="24"/>
      <c r="I184" s="24"/>
      <c r="J184" s="24"/>
      <c r="K184" s="24"/>
      <c r="L184" s="24"/>
      <c r="M184" s="24"/>
      <c r="N184" s="24"/>
      <c r="O184" s="24"/>
      <c r="P184" s="24"/>
      <c r="Q184" s="24"/>
      <c r="R184" s="24"/>
      <c r="S184" s="24"/>
      <c r="T184" s="24"/>
      <c r="U184" s="24"/>
      <c r="V184" s="24"/>
      <c r="W184" s="24"/>
      <c r="X184" s="24"/>
      <c r="Y184" s="24"/>
      <c r="Z184" s="24"/>
      <c r="AA184" s="24"/>
      <c r="AB184" s="24"/>
      <c r="AC184" s="24"/>
      <c r="AD184" s="24"/>
      <c r="AE184" s="24"/>
      <c r="AF184" s="24"/>
      <c r="AG184" s="24"/>
      <c r="AH184" s="24"/>
      <c r="AI184" s="24"/>
      <c r="AJ184" s="20"/>
      <c r="AK184" s="20"/>
      <c r="AL184" s="20"/>
      <c r="AM184" s="20"/>
      <c r="AN184" s="20"/>
      <c r="AO184" s="20"/>
      <c r="AP184" s="20"/>
      <c r="AQ184" s="20"/>
      <c r="AR184" s="20"/>
      <c r="AS184" s="20"/>
      <c r="AT184" s="20"/>
      <c r="AU184" s="20"/>
      <c r="AV184" s="20"/>
      <c r="AW184" s="20"/>
      <c r="AX184" s="20"/>
      <c r="AY184" s="20"/>
      <c r="AZ184" s="20"/>
      <c r="BA184" s="20"/>
      <c r="BB184" s="20"/>
      <c r="BC184" s="20"/>
      <c r="BD184" s="20"/>
      <c r="BE184" s="20"/>
      <c r="BF184" s="20"/>
      <c r="BG184" s="20"/>
      <c r="BH184" s="20"/>
      <c r="BI184" s="20"/>
      <c r="BJ184" s="20"/>
      <c r="BK184" s="20"/>
      <c r="BL184" s="20"/>
      <c r="BM184" s="20"/>
      <c r="BN184" s="20"/>
      <c r="BO184" s="20"/>
      <c r="BP184" s="20"/>
      <c r="BQ184" s="20"/>
      <c r="BR184" s="20"/>
      <c r="BS184" s="20"/>
      <c r="BT184" s="20"/>
      <c r="BU184" s="20"/>
      <c r="BV184" s="20"/>
      <c r="BW184" s="20"/>
      <c r="BX184" s="20"/>
      <c r="BY184" s="20"/>
      <c r="BZ184" s="20"/>
      <c r="CA184" s="20"/>
      <c r="CB184" s="20"/>
      <c r="CC184" s="20"/>
      <c r="CD184" s="20"/>
      <c r="CE184" s="20"/>
      <c r="CF184" s="20"/>
      <c r="CG184" s="20"/>
      <c r="CH184" s="20"/>
      <c r="CI184" s="20"/>
      <c r="CJ184" s="20"/>
      <c r="CK184" s="20"/>
      <c r="CL184" s="20"/>
      <c r="CM184" s="20"/>
      <c r="CN184" s="20"/>
      <c r="CO184" s="20"/>
      <c r="CP184" s="20"/>
      <c r="CQ184" s="20"/>
      <c r="CR184" s="20"/>
      <c r="CS184" s="20"/>
    </row>
    <row r="185" s="8" customFormat="1" spans="1:97">
      <c r="A185" s="20"/>
      <c r="B185" s="15"/>
      <c r="C185" s="24"/>
      <c r="D185" s="24"/>
      <c r="E185" s="24"/>
      <c r="F185" s="24"/>
      <c r="G185" s="24"/>
      <c r="H185" s="24"/>
      <c r="I185" s="24"/>
      <c r="J185" s="24"/>
      <c r="K185" s="24"/>
      <c r="L185" s="24"/>
      <c r="M185" s="24"/>
      <c r="N185" s="24"/>
      <c r="O185" s="24"/>
      <c r="P185" s="24"/>
      <c r="Q185" s="24"/>
      <c r="R185" s="24"/>
      <c r="S185" s="24"/>
      <c r="T185" s="24"/>
      <c r="U185" s="24"/>
      <c r="V185" s="24"/>
      <c r="W185" s="24"/>
      <c r="X185" s="24"/>
      <c r="Y185" s="24"/>
      <c r="Z185" s="24"/>
      <c r="AA185" s="24"/>
      <c r="AB185" s="24"/>
      <c r="AC185" s="24"/>
      <c r="AD185" s="24"/>
      <c r="AE185" s="24"/>
      <c r="AF185" s="24"/>
      <c r="AG185" s="24"/>
      <c r="AH185" s="24"/>
      <c r="AI185" s="24"/>
      <c r="AJ185" s="20"/>
      <c r="AK185" s="20"/>
      <c r="AL185" s="20"/>
      <c r="AM185" s="20"/>
      <c r="AN185" s="20"/>
      <c r="AO185" s="20"/>
      <c r="AP185" s="20"/>
      <c r="AQ185" s="20"/>
      <c r="AR185" s="20"/>
      <c r="AS185" s="20"/>
      <c r="AT185" s="20"/>
      <c r="AU185" s="20"/>
      <c r="AV185" s="20"/>
      <c r="AW185" s="20"/>
      <c r="AX185" s="20"/>
      <c r="AY185" s="20"/>
      <c r="AZ185" s="20"/>
      <c r="BA185" s="20"/>
      <c r="BB185" s="20"/>
      <c r="BC185" s="20"/>
      <c r="BD185" s="20"/>
      <c r="BE185" s="20"/>
      <c r="BF185" s="20"/>
      <c r="BG185" s="20"/>
      <c r="BH185" s="20"/>
      <c r="BI185" s="20"/>
      <c r="BJ185" s="20"/>
      <c r="BK185" s="20"/>
      <c r="BL185" s="20"/>
      <c r="BM185" s="20"/>
      <c r="BN185" s="20"/>
      <c r="BO185" s="20"/>
      <c r="BP185" s="20"/>
      <c r="BQ185" s="20"/>
      <c r="BR185" s="20"/>
      <c r="BS185" s="20"/>
      <c r="BT185" s="20"/>
      <c r="BU185" s="20"/>
      <c r="BV185" s="20"/>
      <c r="BW185" s="20"/>
      <c r="BX185" s="20"/>
      <c r="BY185" s="20"/>
      <c r="BZ185" s="20"/>
      <c r="CA185" s="20"/>
      <c r="CB185" s="20"/>
      <c r="CC185" s="20"/>
      <c r="CD185" s="20"/>
      <c r="CE185" s="20"/>
      <c r="CF185" s="20"/>
      <c r="CG185" s="20"/>
      <c r="CH185" s="20"/>
      <c r="CI185" s="20"/>
      <c r="CJ185" s="20"/>
      <c r="CK185" s="20"/>
      <c r="CL185" s="20"/>
      <c r="CM185" s="20"/>
      <c r="CN185" s="20"/>
      <c r="CO185" s="20"/>
      <c r="CP185" s="20"/>
      <c r="CQ185" s="20"/>
      <c r="CR185" s="20"/>
      <c r="CS185" s="20"/>
    </row>
    <row r="186" s="8" customFormat="1" spans="1:97">
      <c r="A186" s="20"/>
      <c r="B186" s="15"/>
      <c r="C186" s="24"/>
      <c r="D186" s="24"/>
      <c r="E186" s="24"/>
      <c r="F186" s="24"/>
      <c r="G186" s="24"/>
      <c r="H186" s="24"/>
      <c r="I186" s="24"/>
      <c r="J186" s="24"/>
      <c r="K186" s="24"/>
      <c r="L186" s="24"/>
      <c r="M186" s="24"/>
      <c r="N186" s="24"/>
      <c r="O186" s="24"/>
      <c r="P186" s="24"/>
      <c r="Q186" s="24"/>
      <c r="R186" s="24"/>
      <c r="S186" s="24"/>
      <c r="T186" s="24"/>
      <c r="U186" s="24"/>
      <c r="V186" s="24"/>
      <c r="W186" s="24"/>
      <c r="X186" s="24"/>
      <c r="Y186" s="24"/>
      <c r="Z186" s="24"/>
      <c r="AA186" s="24"/>
      <c r="AB186" s="24"/>
      <c r="AC186" s="24"/>
      <c r="AD186" s="24"/>
      <c r="AE186" s="24"/>
      <c r="AF186" s="24"/>
      <c r="AG186" s="24"/>
      <c r="AH186" s="24"/>
      <c r="AI186" s="24"/>
      <c r="AJ186" s="20"/>
      <c r="AK186" s="20"/>
      <c r="AL186" s="20"/>
      <c r="AM186" s="20"/>
      <c r="AN186" s="20"/>
      <c r="AO186" s="20"/>
      <c r="AP186" s="20"/>
      <c r="AQ186" s="20"/>
      <c r="AR186" s="20"/>
      <c r="AS186" s="20"/>
      <c r="AT186" s="20"/>
      <c r="AU186" s="20"/>
      <c r="AV186" s="20"/>
      <c r="AW186" s="20"/>
      <c r="AX186" s="20"/>
      <c r="AY186" s="20"/>
      <c r="AZ186" s="20"/>
      <c r="BA186" s="20"/>
      <c r="BB186" s="20"/>
      <c r="BC186" s="20"/>
      <c r="BD186" s="20"/>
      <c r="BE186" s="20"/>
      <c r="BF186" s="20"/>
      <c r="BG186" s="20"/>
      <c r="BH186" s="20"/>
      <c r="BI186" s="20"/>
      <c r="BJ186" s="20"/>
      <c r="BK186" s="20"/>
      <c r="BL186" s="20"/>
      <c r="BM186" s="20"/>
      <c r="BN186" s="20"/>
      <c r="BO186" s="20"/>
      <c r="BP186" s="20"/>
      <c r="BQ186" s="20"/>
      <c r="BR186" s="20"/>
      <c r="BS186" s="20"/>
      <c r="BT186" s="20"/>
      <c r="BU186" s="20"/>
      <c r="BV186" s="20"/>
      <c r="BW186" s="20"/>
      <c r="BX186" s="20"/>
      <c r="BY186" s="20"/>
      <c r="BZ186" s="20"/>
      <c r="CA186" s="20"/>
      <c r="CB186" s="20"/>
      <c r="CC186" s="20"/>
      <c r="CD186" s="20"/>
      <c r="CE186" s="20"/>
      <c r="CF186" s="20"/>
      <c r="CG186" s="20"/>
      <c r="CH186" s="20"/>
      <c r="CI186" s="20"/>
      <c r="CJ186" s="20"/>
      <c r="CK186" s="20"/>
      <c r="CL186" s="20"/>
      <c r="CM186" s="20"/>
      <c r="CN186" s="20"/>
      <c r="CO186" s="20"/>
      <c r="CP186" s="20"/>
      <c r="CQ186" s="20"/>
      <c r="CR186" s="20"/>
      <c r="CS186" s="20"/>
    </row>
    <row r="187" s="8" customFormat="1" spans="1:97">
      <c r="A187" s="20"/>
      <c r="B187" s="15"/>
      <c r="C187" s="24"/>
      <c r="D187" s="24"/>
      <c r="E187" s="24"/>
      <c r="F187" s="24"/>
      <c r="G187" s="24"/>
      <c r="H187" s="24"/>
      <c r="I187" s="24"/>
      <c r="J187" s="24"/>
      <c r="K187" s="24"/>
      <c r="L187" s="24"/>
      <c r="M187" s="24"/>
      <c r="N187" s="24"/>
      <c r="O187" s="24"/>
      <c r="P187" s="24"/>
      <c r="Q187" s="24"/>
      <c r="R187" s="24"/>
      <c r="S187" s="24"/>
      <c r="T187" s="24"/>
      <c r="U187" s="24"/>
      <c r="V187" s="24"/>
      <c r="W187" s="24"/>
      <c r="X187" s="24"/>
      <c r="Y187" s="24"/>
      <c r="Z187" s="24"/>
      <c r="AA187" s="24"/>
      <c r="AB187" s="24"/>
      <c r="AC187" s="24"/>
      <c r="AD187" s="24"/>
      <c r="AE187" s="24"/>
      <c r="AF187" s="24"/>
      <c r="AG187" s="24"/>
      <c r="AH187" s="24"/>
      <c r="AI187" s="24"/>
      <c r="AJ187" s="20"/>
      <c r="AK187" s="20"/>
      <c r="AL187" s="20"/>
      <c r="AM187" s="20"/>
      <c r="AN187" s="20"/>
      <c r="AO187" s="20"/>
      <c r="AP187" s="20"/>
      <c r="AQ187" s="20"/>
      <c r="AR187" s="20"/>
      <c r="AS187" s="20"/>
      <c r="AT187" s="20"/>
      <c r="AU187" s="20"/>
      <c r="AV187" s="20"/>
      <c r="AW187" s="20"/>
      <c r="AX187" s="20"/>
      <c r="AY187" s="20"/>
      <c r="AZ187" s="20"/>
      <c r="BA187" s="20"/>
      <c r="BB187" s="20"/>
      <c r="BC187" s="20"/>
      <c r="BD187" s="20"/>
      <c r="BE187" s="20"/>
      <c r="BF187" s="20"/>
      <c r="BG187" s="20"/>
      <c r="BH187" s="20"/>
      <c r="BI187" s="20"/>
      <c r="BJ187" s="20"/>
      <c r="BK187" s="20"/>
      <c r="BL187" s="20"/>
      <c r="BM187" s="20"/>
      <c r="BN187" s="20"/>
      <c r="BO187" s="20"/>
      <c r="BP187" s="20"/>
      <c r="BQ187" s="20"/>
      <c r="BR187" s="20"/>
      <c r="BS187" s="20"/>
      <c r="BT187" s="20"/>
      <c r="BU187" s="20"/>
      <c r="BV187" s="20"/>
      <c r="BW187" s="20"/>
      <c r="BX187" s="20"/>
      <c r="BY187" s="20"/>
      <c r="BZ187" s="20"/>
      <c r="CA187" s="20"/>
      <c r="CB187" s="20"/>
      <c r="CC187" s="20"/>
      <c r="CD187" s="20"/>
      <c r="CE187" s="20"/>
      <c r="CF187" s="20"/>
      <c r="CG187" s="20"/>
      <c r="CH187" s="20"/>
      <c r="CI187" s="20"/>
      <c r="CJ187" s="20"/>
      <c r="CK187" s="20"/>
      <c r="CL187" s="20"/>
      <c r="CM187" s="20"/>
      <c r="CN187" s="20"/>
      <c r="CO187" s="20"/>
      <c r="CP187" s="20"/>
      <c r="CQ187" s="20"/>
      <c r="CR187" s="20"/>
      <c r="CS187" s="20"/>
    </row>
    <row r="188" s="8" customFormat="1" spans="1:97">
      <c r="A188" s="20"/>
      <c r="B188" s="15"/>
      <c r="C188" s="24"/>
      <c r="D188" s="24"/>
      <c r="E188" s="24"/>
      <c r="F188" s="24"/>
      <c r="G188" s="24"/>
      <c r="H188" s="24"/>
      <c r="I188" s="24"/>
      <c r="J188" s="24"/>
      <c r="K188" s="24"/>
      <c r="L188" s="24"/>
      <c r="M188" s="24"/>
      <c r="N188" s="24"/>
      <c r="O188" s="24"/>
      <c r="P188" s="24"/>
      <c r="Q188" s="24"/>
      <c r="R188" s="24"/>
      <c r="S188" s="24"/>
      <c r="T188" s="24"/>
      <c r="U188" s="24"/>
      <c r="V188" s="24"/>
      <c r="W188" s="24"/>
      <c r="X188" s="24"/>
      <c r="Y188" s="24"/>
      <c r="Z188" s="24"/>
      <c r="AA188" s="24"/>
      <c r="AB188" s="24"/>
      <c r="AC188" s="24"/>
      <c r="AD188" s="24"/>
      <c r="AE188" s="24"/>
      <c r="AF188" s="24"/>
      <c r="AG188" s="24"/>
      <c r="AH188" s="24"/>
      <c r="AI188" s="24"/>
      <c r="AJ188" s="20"/>
      <c r="AK188" s="20"/>
      <c r="AL188" s="20"/>
      <c r="AM188" s="20"/>
      <c r="AN188" s="20"/>
      <c r="AO188" s="20"/>
      <c r="AP188" s="20"/>
      <c r="AQ188" s="20"/>
      <c r="AR188" s="20"/>
      <c r="AS188" s="20"/>
      <c r="AT188" s="20"/>
      <c r="AU188" s="20"/>
      <c r="AV188" s="20"/>
      <c r="AW188" s="20"/>
      <c r="AX188" s="20"/>
      <c r="AY188" s="20"/>
      <c r="AZ188" s="20"/>
      <c r="BA188" s="20"/>
      <c r="BB188" s="20"/>
      <c r="BC188" s="20"/>
      <c r="BD188" s="20"/>
      <c r="BE188" s="20"/>
      <c r="BF188" s="20"/>
      <c r="BG188" s="20"/>
      <c r="BH188" s="20"/>
      <c r="BI188" s="20"/>
      <c r="BJ188" s="20"/>
      <c r="BK188" s="20"/>
      <c r="BL188" s="20"/>
      <c r="BM188" s="20"/>
      <c r="BN188" s="20"/>
      <c r="BO188" s="20"/>
      <c r="BP188" s="20"/>
      <c r="BQ188" s="20"/>
      <c r="BR188" s="20"/>
      <c r="BS188" s="20"/>
      <c r="BT188" s="20"/>
      <c r="BU188" s="20"/>
      <c r="BV188" s="20"/>
      <c r="BW188" s="20"/>
      <c r="BX188" s="20"/>
      <c r="BY188" s="20"/>
      <c r="BZ188" s="20"/>
      <c r="CA188" s="20"/>
      <c r="CB188" s="20"/>
      <c r="CC188" s="20"/>
      <c r="CD188" s="20"/>
      <c r="CE188" s="20"/>
      <c r="CF188" s="20"/>
      <c r="CG188" s="20"/>
      <c r="CH188" s="20"/>
      <c r="CI188" s="20"/>
      <c r="CJ188" s="20"/>
      <c r="CK188" s="20"/>
      <c r="CL188" s="20"/>
      <c r="CM188" s="20"/>
      <c r="CN188" s="20"/>
      <c r="CO188" s="20"/>
      <c r="CP188" s="20"/>
      <c r="CQ188" s="20"/>
      <c r="CR188" s="20"/>
      <c r="CS188" s="20"/>
    </row>
    <row r="189" s="8" customFormat="1" spans="1:97">
      <c r="A189" s="20"/>
      <c r="B189" s="15"/>
      <c r="C189" s="24"/>
      <c r="D189" s="24"/>
      <c r="E189" s="24"/>
      <c r="F189" s="24"/>
      <c r="G189" s="24"/>
      <c r="H189" s="24"/>
      <c r="I189" s="24"/>
      <c r="J189" s="24"/>
      <c r="K189" s="24"/>
      <c r="L189" s="24"/>
      <c r="M189" s="24"/>
      <c r="N189" s="24"/>
      <c r="O189" s="24"/>
      <c r="P189" s="24"/>
      <c r="Q189" s="24"/>
      <c r="R189" s="24"/>
      <c r="S189" s="24"/>
      <c r="T189" s="24"/>
      <c r="U189" s="24"/>
      <c r="V189" s="24"/>
      <c r="W189" s="24"/>
      <c r="X189" s="24"/>
      <c r="Y189" s="24"/>
      <c r="Z189" s="24"/>
      <c r="AA189" s="24"/>
      <c r="AB189" s="24"/>
      <c r="AC189" s="24"/>
      <c r="AD189" s="24"/>
      <c r="AE189" s="24"/>
      <c r="AF189" s="24"/>
      <c r="AG189" s="24"/>
      <c r="AH189" s="24"/>
      <c r="AI189" s="24"/>
      <c r="AJ189" s="20"/>
      <c r="AK189" s="20"/>
      <c r="AL189" s="20"/>
      <c r="AM189" s="20"/>
      <c r="AN189" s="20"/>
      <c r="AO189" s="20"/>
      <c r="AP189" s="20"/>
      <c r="AQ189" s="20"/>
      <c r="AR189" s="20"/>
      <c r="AS189" s="20"/>
      <c r="AT189" s="20"/>
      <c r="AU189" s="20"/>
      <c r="AV189" s="20"/>
      <c r="AW189" s="20"/>
      <c r="AX189" s="20"/>
      <c r="AY189" s="20"/>
      <c r="AZ189" s="20"/>
      <c r="BA189" s="20"/>
      <c r="BB189" s="20"/>
      <c r="BC189" s="20"/>
      <c r="BD189" s="20"/>
      <c r="BE189" s="20"/>
      <c r="BF189" s="20"/>
      <c r="BG189" s="20"/>
      <c r="BH189" s="20"/>
      <c r="BI189" s="20"/>
      <c r="BJ189" s="20"/>
      <c r="BK189" s="20"/>
      <c r="BL189" s="20"/>
      <c r="BM189" s="20"/>
      <c r="BN189" s="20"/>
      <c r="BO189" s="20"/>
      <c r="BP189" s="20"/>
      <c r="BQ189" s="20"/>
      <c r="BR189" s="20"/>
      <c r="BS189" s="20"/>
      <c r="BT189" s="20"/>
      <c r="BU189" s="20"/>
      <c r="BV189" s="20"/>
      <c r="BW189" s="20"/>
      <c r="BX189" s="20"/>
      <c r="BY189" s="20"/>
      <c r="BZ189" s="20"/>
      <c r="CA189" s="20"/>
      <c r="CB189" s="20"/>
      <c r="CC189" s="20"/>
      <c r="CD189" s="20"/>
      <c r="CE189" s="20"/>
      <c r="CF189" s="20"/>
      <c r="CG189" s="20"/>
      <c r="CH189" s="20"/>
      <c r="CI189" s="20"/>
      <c r="CJ189" s="20"/>
      <c r="CK189" s="20"/>
      <c r="CL189" s="20"/>
      <c r="CM189" s="20"/>
      <c r="CN189" s="20"/>
      <c r="CO189" s="20"/>
      <c r="CP189" s="20"/>
      <c r="CQ189" s="20"/>
      <c r="CR189" s="20"/>
      <c r="CS189" s="20"/>
    </row>
    <row r="190" s="8" customFormat="1" spans="1:97">
      <c r="A190" s="20"/>
      <c r="B190" s="15"/>
      <c r="C190" s="24"/>
      <c r="D190" s="24"/>
      <c r="E190" s="24"/>
      <c r="F190" s="24"/>
      <c r="G190" s="24"/>
      <c r="H190" s="24"/>
      <c r="I190" s="24"/>
      <c r="J190" s="24"/>
      <c r="K190" s="24"/>
      <c r="L190" s="24"/>
      <c r="M190" s="24"/>
      <c r="N190" s="24"/>
      <c r="O190" s="24"/>
      <c r="P190" s="24"/>
      <c r="Q190" s="24"/>
      <c r="R190" s="24"/>
      <c r="S190" s="24"/>
      <c r="T190" s="24"/>
      <c r="U190" s="24"/>
      <c r="V190" s="24"/>
      <c r="W190" s="24"/>
      <c r="X190" s="24"/>
      <c r="Y190" s="24"/>
      <c r="Z190" s="24"/>
      <c r="AA190" s="24"/>
      <c r="AB190" s="24"/>
      <c r="AC190" s="24"/>
      <c r="AD190" s="24"/>
      <c r="AE190" s="24"/>
      <c r="AF190" s="24"/>
      <c r="AG190" s="24"/>
      <c r="AH190" s="24"/>
      <c r="AI190" s="24"/>
      <c r="AJ190" s="20"/>
      <c r="AK190" s="20"/>
      <c r="AL190" s="20"/>
      <c r="AM190" s="20"/>
      <c r="AN190" s="20"/>
      <c r="AO190" s="20"/>
      <c r="AP190" s="20"/>
      <c r="AQ190" s="20"/>
      <c r="AR190" s="20"/>
      <c r="AS190" s="20"/>
      <c r="AT190" s="20"/>
      <c r="AU190" s="20"/>
      <c r="AV190" s="20"/>
      <c r="AW190" s="20"/>
      <c r="AX190" s="20"/>
      <c r="AY190" s="20"/>
      <c r="AZ190" s="20"/>
      <c r="BA190" s="20"/>
      <c r="BB190" s="20"/>
      <c r="BC190" s="20"/>
      <c r="BD190" s="20"/>
      <c r="BE190" s="20"/>
      <c r="BF190" s="20"/>
      <c r="BG190" s="20"/>
      <c r="BH190" s="20"/>
      <c r="BI190" s="20"/>
      <c r="BJ190" s="20"/>
      <c r="BK190" s="20"/>
      <c r="BL190" s="20"/>
      <c r="BM190" s="20"/>
      <c r="BN190" s="20"/>
      <c r="BO190" s="20"/>
      <c r="BP190" s="20"/>
      <c r="BQ190" s="20"/>
      <c r="BR190" s="20"/>
      <c r="BS190" s="20"/>
      <c r="BT190" s="20"/>
      <c r="BU190" s="20"/>
      <c r="BV190" s="20"/>
      <c r="BW190" s="20"/>
      <c r="BX190" s="20"/>
      <c r="BY190" s="20"/>
      <c r="BZ190" s="20"/>
      <c r="CA190" s="20"/>
      <c r="CB190" s="20"/>
      <c r="CC190" s="20"/>
      <c r="CD190" s="20"/>
      <c r="CE190" s="20"/>
      <c r="CF190" s="20"/>
      <c r="CG190" s="20"/>
      <c r="CH190" s="20"/>
      <c r="CI190" s="20"/>
      <c r="CJ190" s="20"/>
      <c r="CK190" s="20"/>
      <c r="CL190" s="20"/>
      <c r="CM190" s="20"/>
      <c r="CN190" s="20"/>
      <c r="CO190" s="20"/>
      <c r="CP190" s="20"/>
      <c r="CQ190" s="20"/>
      <c r="CR190" s="20"/>
      <c r="CS190" s="20"/>
    </row>
    <row r="191" s="8" customFormat="1" spans="1:97">
      <c r="A191" s="20"/>
      <c r="B191" s="15"/>
      <c r="C191" s="24"/>
      <c r="D191" s="24"/>
      <c r="E191" s="24"/>
      <c r="F191" s="24"/>
      <c r="G191" s="24"/>
      <c r="H191" s="24"/>
      <c r="I191" s="24"/>
      <c r="J191" s="24"/>
      <c r="K191" s="24"/>
      <c r="L191" s="24"/>
      <c r="M191" s="24"/>
      <c r="N191" s="24"/>
      <c r="O191" s="24"/>
      <c r="P191" s="24"/>
      <c r="Q191" s="24"/>
      <c r="R191" s="24"/>
      <c r="S191" s="24"/>
      <c r="T191" s="24"/>
      <c r="U191" s="24"/>
      <c r="V191" s="24"/>
      <c r="W191" s="24"/>
      <c r="X191" s="24"/>
      <c r="Y191" s="24"/>
      <c r="Z191" s="24"/>
      <c r="AA191" s="24"/>
      <c r="AB191" s="24"/>
      <c r="AC191" s="24"/>
      <c r="AD191" s="24"/>
      <c r="AE191" s="24"/>
      <c r="AF191" s="24"/>
      <c r="AG191" s="24"/>
      <c r="AH191" s="24"/>
      <c r="AI191" s="24"/>
      <c r="AJ191" s="20"/>
      <c r="AK191" s="20"/>
      <c r="AL191" s="20"/>
      <c r="AM191" s="20"/>
      <c r="AN191" s="20"/>
      <c r="AO191" s="20"/>
      <c r="AP191" s="20"/>
      <c r="AQ191" s="20"/>
      <c r="AR191" s="20"/>
      <c r="AS191" s="20"/>
      <c r="AT191" s="20"/>
      <c r="AU191" s="20"/>
      <c r="AV191" s="20"/>
      <c r="AW191" s="20"/>
      <c r="AX191" s="20"/>
      <c r="AY191" s="20"/>
      <c r="AZ191" s="20"/>
      <c r="BA191" s="20"/>
      <c r="BB191" s="20"/>
      <c r="BC191" s="20"/>
      <c r="BD191" s="20"/>
      <c r="BE191" s="20"/>
      <c r="BF191" s="20"/>
      <c r="BG191" s="20"/>
      <c r="BH191" s="20"/>
      <c r="BI191" s="20"/>
      <c r="BJ191" s="20"/>
      <c r="BK191" s="20"/>
      <c r="BL191" s="20"/>
      <c r="BM191" s="20"/>
      <c r="BN191" s="20"/>
      <c r="BO191" s="20"/>
      <c r="BP191" s="20"/>
      <c r="BQ191" s="20"/>
      <c r="BR191" s="20"/>
      <c r="BS191" s="20"/>
      <c r="BT191" s="20"/>
      <c r="BU191" s="20"/>
      <c r="BV191" s="20"/>
      <c r="BW191" s="20"/>
      <c r="BX191" s="20"/>
      <c r="BY191" s="20"/>
      <c r="BZ191" s="20"/>
      <c r="CA191" s="20"/>
      <c r="CB191" s="20"/>
      <c r="CC191" s="20"/>
      <c r="CD191" s="20"/>
      <c r="CE191" s="20"/>
      <c r="CF191" s="20"/>
      <c r="CG191" s="20"/>
      <c r="CH191" s="20"/>
      <c r="CI191" s="20"/>
      <c r="CJ191" s="20"/>
      <c r="CK191" s="20"/>
      <c r="CL191" s="20"/>
      <c r="CM191" s="20"/>
      <c r="CN191" s="20"/>
      <c r="CO191" s="20"/>
      <c r="CP191" s="20"/>
      <c r="CQ191" s="20"/>
      <c r="CR191" s="20"/>
      <c r="CS191" s="20"/>
    </row>
    <row r="192" s="8" customFormat="1" spans="1:97">
      <c r="A192" s="20"/>
      <c r="B192" s="15"/>
      <c r="C192" s="24"/>
      <c r="D192" s="24"/>
      <c r="E192" s="24"/>
      <c r="F192" s="24"/>
      <c r="G192" s="24"/>
      <c r="H192" s="24"/>
      <c r="I192" s="24"/>
      <c r="J192" s="24"/>
      <c r="K192" s="24"/>
      <c r="L192" s="24"/>
      <c r="M192" s="24"/>
      <c r="N192" s="24"/>
      <c r="O192" s="24"/>
      <c r="P192" s="24"/>
      <c r="Q192" s="24"/>
      <c r="R192" s="24"/>
      <c r="S192" s="24"/>
      <c r="T192" s="24"/>
      <c r="U192" s="24"/>
      <c r="V192" s="24"/>
      <c r="W192" s="24"/>
      <c r="X192" s="24"/>
      <c r="Y192" s="24"/>
      <c r="Z192" s="24"/>
      <c r="AA192" s="24"/>
      <c r="AB192" s="24"/>
      <c r="AC192" s="24"/>
      <c r="AD192" s="24"/>
      <c r="AE192" s="24"/>
      <c r="AF192" s="24"/>
      <c r="AG192" s="24"/>
      <c r="AH192" s="24"/>
      <c r="AI192" s="24"/>
      <c r="AJ192" s="20"/>
      <c r="AK192" s="20"/>
      <c r="AL192" s="20"/>
      <c r="AM192" s="20"/>
      <c r="AN192" s="20"/>
      <c r="AO192" s="20"/>
      <c r="AP192" s="20"/>
      <c r="AQ192" s="20"/>
      <c r="AR192" s="20"/>
      <c r="AS192" s="20"/>
      <c r="AT192" s="20"/>
      <c r="AU192" s="20"/>
      <c r="AV192" s="20"/>
      <c r="AW192" s="20"/>
      <c r="AX192" s="20"/>
      <c r="AY192" s="20"/>
      <c r="AZ192" s="20"/>
      <c r="BA192" s="20"/>
      <c r="BB192" s="20"/>
      <c r="BC192" s="20"/>
      <c r="BD192" s="20"/>
      <c r="BE192" s="20"/>
      <c r="BF192" s="20"/>
      <c r="BG192" s="20"/>
      <c r="BH192" s="20"/>
      <c r="BI192" s="20"/>
      <c r="BJ192" s="20"/>
      <c r="BK192" s="20"/>
      <c r="BL192" s="20"/>
      <c r="BM192" s="20"/>
      <c r="BN192" s="20"/>
      <c r="BO192" s="20"/>
      <c r="BP192" s="20"/>
      <c r="BQ192" s="20"/>
      <c r="BR192" s="20"/>
      <c r="BS192" s="20"/>
      <c r="BT192" s="20"/>
      <c r="BU192" s="20"/>
      <c r="BV192" s="20"/>
      <c r="BW192" s="20"/>
      <c r="BX192" s="20"/>
      <c r="BY192" s="20"/>
      <c r="BZ192" s="20"/>
      <c r="CA192" s="20"/>
      <c r="CB192" s="20"/>
      <c r="CC192" s="20"/>
      <c r="CD192" s="20"/>
      <c r="CE192" s="20"/>
      <c r="CF192" s="20"/>
      <c r="CG192" s="20"/>
      <c r="CH192" s="20"/>
      <c r="CI192" s="20"/>
      <c r="CJ192" s="20"/>
      <c r="CK192" s="20"/>
      <c r="CL192" s="20"/>
      <c r="CM192" s="20"/>
      <c r="CN192" s="20"/>
      <c r="CO192" s="20"/>
      <c r="CP192" s="20"/>
      <c r="CQ192" s="20"/>
      <c r="CR192" s="20"/>
      <c r="CS192" s="20"/>
    </row>
    <row r="193" s="8" customFormat="1" spans="1:97">
      <c r="A193" s="20"/>
      <c r="B193" s="15"/>
      <c r="C193" s="24"/>
      <c r="D193" s="24"/>
      <c r="E193" s="24"/>
      <c r="F193" s="24"/>
      <c r="G193" s="24"/>
      <c r="H193" s="24"/>
      <c r="I193" s="24"/>
      <c r="J193" s="24"/>
      <c r="K193" s="24"/>
      <c r="L193" s="24"/>
      <c r="M193" s="24"/>
      <c r="N193" s="24"/>
      <c r="O193" s="24"/>
      <c r="P193" s="24"/>
      <c r="Q193" s="24"/>
      <c r="R193" s="24"/>
      <c r="S193" s="24"/>
      <c r="T193" s="24"/>
      <c r="U193" s="24"/>
      <c r="V193" s="24"/>
      <c r="W193" s="24"/>
      <c r="X193" s="24"/>
      <c r="Y193" s="24"/>
      <c r="Z193" s="24"/>
      <c r="AA193" s="24"/>
      <c r="AB193" s="24"/>
      <c r="AC193" s="24"/>
      <c r="AD193" s="24"/>
      <c r="AE193" s="24"/>
      <c r="AF193" s="24"/>
      <c r="AG193" s="24"/>
      <c r="AH193" s="24"/>
      <c r="AI193" s="24"/>
      <c r="AJ193" s="20"/>
      <c r="AK193" s="20"/>
      <c r="AL193" s="20"/>
      <c r="AM193" s="20"/>
      <c r="AN193" s="20"/>
      <c r="AO193" s="20"/>
      <c r="AP193" s="20"/>
      <c r="AQ193" s="20"/>
      <c r="AR193" s="20"/>
      <c r="AS193" s="20"/>
      <c r="AT193" s="20"/>
      <c r="AU193" s="20"/>
      <c r="AV193" s="20"/>
      <c r="AW193" s="20"/>
      <c r="AX193" s="20"/>
      <c r="AY193" s="20"/>
      <c r="AZ193" s="20"/>
      <c r="BA193" s="20"/>
      <c r="BB193" s="20"/>
      <c r="BC193" s="20"/>
      <c r="BD193" s="20"/>
      <c r="BE193" s="20"/>
      <c r="BF193" s="20"/>
      <c r="BG193" s="20"/>
      <c r="BH193" s="20"/>
      <c r="BI193" s="20"/>
      <c r="BJ193" s="20"/>
      <c r="BK193" s="20"/>
      <c r="BL193" s="20"/>
      <c r="BM193" s="20"/>
      <c r="BN193" s="20"/>
      <c r="BO193" s="20"/>
      <c r="BP193" s="20"/>
      <c r="BQ193" s="20"/>
      <c r="BR193" s="20"/>
      <c r="BS193" s="20"/>
      <c r="BT193" s="20"/>
      <c r="BU193" s="20"/>
      <c r="BV193" s="20"/>
      <c r="BW193" s="20"/>
      <c r="BX193" s="20"/>
      <c r="BY193" s="20"/>
      <c r="BZ193" s="20"/>
      <c r="CA193" s="20"/>
      <c r="CB193" s="20"/>
      <c r="CC193" s="20"/>
      <c r="CD193" s="20"/>
      <c r="CE193" s="20"/>
      <c r="CF193" s="20"/>
      <c r="CG193" s="20"/>
      <c r="CH193" s="20"/>
      <c r="CI193" s="20"/>
      <c r="CJ193" s="20"/>
      <c r="CK193" s="20"/>
      <c r="CL193" s="20"/>
      <c r="CM193" s="20"/>
      <c r="CN193" s="20"/>
      <c r="CO193" s="20"/>
      <c r="CP193" s="20"/>
      <c r="CQ193" s="20"/>
      <c r="CR193" s="20"/>
      <c r="CS193" s="20"/>
    </row>
    <row r="194" s="8" customFormat="1" spans="1:97">
      <c r="A194" s="20"/>
      <c r="B194" s="15"/>
      <c r="C194" s="24"/>
      <c r="D194" s="24"/>
      <c r="E194" s="24"/>
      <c r="F194" s="24"/>
      <c r="G194" s="24"/>
      <c r="H194" s="24"/>
      <c r="I194" s="24"/>
      <c r="J194" s="24"/>
      <c r="K194" s="24"/>
      <c r="L194" s="24"/>
      <c r="M194" s="24"/>
      <c r="N194" s="24"/>
      <c r="O194" s="24"/>
      <c r="P194" s="24"/>
      <c r="Q194" s="24"/>
      <c r="R194" s="24"/>
      <c r="S194" s="24"/>
      <c r="T194" s="24"/>
      <c r="U194" s="24"/>
      <c r="V194" s="24"/>
      <c r="W194" s="24"/>
      <c r="X194" s="24"/>
      <c r="Y194" s="24"/>
      <c r="Z194" s="24"/>
      <c r="AA194" s="24"/>
      <c r="AB194" s="24"/>
      <c r="AC194" s="24"/>
      <c r="AD194" s="24"/>
      <c r="AE194" s="24"/>
      <c r="AF194" s="24"/>
      <c r="AG194" s="24"/>
      <c r="AH194" s="24"/>
      <c r="AI194" s="24"/>
      <c r="AJ194" s="20"/>
      <c r="AK194" s="20"/>
      <c r="AL194" s="20"/>
      <c r="AM194" s="20"/>
      <c r="AN194" s="20"/>
      <c r="AO194" s="20"/>
      <c r="AP194" s="20"/>
      <c r="AQ194" s="20"/>
      <c r="AR194" s="20"/>
      <c r="AS194" s="20"/>
      <c r="AT194" s="20"/>
      <c r="AU194" s="20"/>
      <c r="AV194" s="20"/>
      <c r="AW194" s="20"/>
      <c r="AX194" s="20"/>
      <c r="AY194" s="20"/>
      <c r="AZ194" s="20"/>
      <c r="BA194" s="20"/>
      <c r="BB194" s="20"/>
      <c r="BC194" s="20"/>
      <c r="BD194" s="20"/>
      <c r="BE194" s="20"/>
      <c r="BF194" s="20"/>
      <c r="BG194" s="20"/>
      <c r="BH194" s="20"/>
      <c r="BI194" s="20"/>
      <c r="BJ194" s="20"/>
      <c r="BK194" s="20"/>
      <c r="BL194" s="20"/>
      <c r="BM194" s="20"/>
      <c r="BN194" s="20"/>
      <c r="BO194" s="20"/>
      <c r="BP194" s="20"/>
      <c r="BQ194" s="20"/>
      <c r="BR194" s="20"/>
      <c r="BS194" s="20"/>
      <c r="BT194" s="20"/>
      <c r="BU194" s="20"/>
      <c r="BV194" s="20"/>
      <c r="BW194" s="20"/>
      <c r="BX194" s="20"/>
      <c r="BY194" s="20"/>
      <c r="BZ194" s="20"/>
      <c r="CA194" s="20"/>
      <c r="CB194" s="20"/>
      <c r="CC194" s="20"/>
      <c r="CD194" s="20"/>
      <c r="CE194" s="20"/>
      <c r="CF194" s="20"/>
      <c r="CG194" s="20"/>
      <c r="CH194" s="20"/>
      <c r="CI194" s="20"/>
      <c r="CJ194" s="20"/>
      <c r="CK194" s="20"/>
      <c r="CL194" s="20"/>
      <c r="CM194" s="20"/>
      <c r="CN194" s="20"/>
      <c r="CO194" s="20"/>
      <c r="CP194" s="20"/>
      <c r="CQ194" s="20"/>
      <c r="CR194" s="20"/>
      <c r="CS194" s="20"/>
    </row>
    <row r="195" s="8" customFormat="1" spans="1:97">
      <c r="A195" s="20"/>
      <c r="B195" s="15"/>
      <c r="C195" s="24"/>
      <c r="D195" s="24"/>
      <c r="E195" s="24"/>
      <c r="F195" s="24"/>
      <c r="G195" s="24"/>
      <c r="H195" s="24"/>
      <c r="I195" s="24"/>
      <c r="J195" s="24"/>
      <c r="K195" s="24"/>
      <c r="L195" s="24"/>
      <c r="M195" s="24"/>
      <c r="N195" s="24"/>
      <c r="O195" s="24"/>
      <c r="P195" s="24"/>
      <c r="Q195" s="24"/>
      <c r="R195" s="24"/>
      <c r="S195" s="24"/>
      <c r="T195" s="24"/>
      <c r="U195" s="24"/>
      <c r="V195" s="24"/>
      <c r="W195" s="24"/>
      <c r="X195" s="24"/>
      <c r="Y195" s="24"/>
      <c r="Z195" s="24"/>
      <c r="AA195" s="24"/>
      <c r="AB195" s="24"/>
      <c r="AC195" s="24"/>
      <c r="AD195" s="24"/>
      <c r="AE195" s="24"/>
      <c r="AF195" s="24"/>
      <c r="AG195" s="24"/>
      <c r="AH195" s="24"/>
      <c r="AI195" s="24"/>
      <c r="AJ195" s="20"/>
      <c r="AK195" s="20"/>
      <c r="AL195" s="20"/>
      <c r="AM195" s="20"/>
      <c r="AN195" s="20"/>
      <c r="AO195" s="20"/>
      <c r="AP195" s="20"/>
      <c r="AQ195" s="20"/>
      <c r="AR195" s="20"/>
      <c r="AS195" s="20"/>
      <c r="AT195" s="20"/>
      <c r="AU195" s="20"/>
      <c r="AV195" s="20"/>
      <c r="AW195" s="20"/>
      <c r="AX195" s="20"/>
      <c r="AY195" s="20"/>
      <c r="AZ195" s="20"/>
      <c r="BA195" s="20"/>
      <c r="BB195" s="20"/>
      <c r="BC195" s="20"/>
      <c r="BD195" s="20"/>
      <c r="BE195" s="20"/>
      <c r="BF195" s="20"/>
      <c r="BG195" s="20"/>
      <c r="BH195" s="20"/>
      <c r="BI195" s="20"/>
      <c r="BJ195" s="20"/>
      <c r="BK195" s="20"/>
      <c r="BL195" s="20"/>
      <c r="BM195" s="20"/>
      <c r="BN195" s="20"/>
      <c r="BO195" s="20"/>
      <c r="BP195" s="20"/>
      <c r="BQ195" s="20"/>
      <c r="BR195" s="20"/>
      <c r="BS195" s="20"/>
      <c r="BT195" s="20"/>
      <c r="BU195" s="20"/>
      <c r="BV195" s="20"/>
      <c r="BW195" s="20"/>
      <c r="BX195" s="20"/>
      <c r="BY195" s="20"/>
      <c r="BZ195" s="20"/>
      <c r="CA195" s="20"/>
      <c r="CB195" s="20"/>
      <c r="CC195" s="20"/>
      <c r="CD195" s="20"/>
      <c r="CE195" s="20"/>
      <c r="CF195" s="20"/>
      <c r="CG195" s="20"/>
      <c r="CH195" s="20"/>
      <c r="CI195" s="20"/>
      <c r="CJ195" s="20"/>
      <c r="CK195" s="20"/>
      <c r="CL195" s="20"/>
      <c r="CM195" s="20"/>
      <c r="CN195" s="20"/>
      <c r="CO195" s="20"/>
      <c r="CP195" s="20"/>
      <c r="CQ195" s="20"/>
      <c r="CR195" s="20"/>
      <c r="CS195" s="20"/>
    </row>
    <row r="196" s="8" customFormat="1" spans="1:97">
      <c r="A196" s="20"/>
      <c r="B196" s="15"/>
      <c r="C196" s="24"/>
      <c r="D196" s="24"/>
      <c r="E196" s="24"/>
      <c r="F196" s="24"/>
      <c r="G196" s="24"/>
      <c r="H196" s="24"/>
      <c r="I196" s="24"/>
      <c r="J196" s="24"/>
      <c r="K196" s="24"/>
      <c r="L196" s="24"/>
      <c r="M196" s="24"/>
      <c r="N196" s="24"/>
      <c r="O196" s="24"/>
      <c r="P196" s="24"/>
      <c r="Q196" s="24"/>
      <c r="R196" s="24"/>
      <c r="S196" s="24"/>
      <c r="T196" s="24"/>
      <c r="U196" s="24"/>
      <c r="V196" s="24"/>
      <c r="W196" s="24"/>
      <c r="X196" s="24"/>
      <c r="Y196" s="24"/>
      <c r="Z196" s="24"/>
      <c r="AA196" s="24"/>
      <c r="AB196" s="24"/>
      <c r="AC196" s="24"/>
      <c r="AD196" s="24"/>
      <c r="AE196" s="24"/>
      <c r="AF196" s="24"/>
      <c r="AG196" s="24"/>
      <c r="AH196" s="24"/>
      <c r="AI196" s="24"/>
      <c r="AJ196" s="20"/>
      <c r="AK196" s="20"/>
      <c r="AL196" s="20"/>
      <c r="AM196" s="20"/>
      <c r="AN196" s="20"/>
      <c r="AO196" s="20"/>
      <c r="AP196" s="20"/>
      <c r="AQ196" s="20"/>
      <c r="AR196" s="20"/>
      <c r="AS196" s="20"/>
      <c r="AT196" s="20"/>
      <c r="AU196" s="20"/>
      <c r="AV196" s="20"/>
      <c r="AW196" s="20"/>
      <c r="AX196" s="20"/>
      <c r="AY196" s="20"/>
      <c r="AZ196" s="20"/>
      <c r="BA196" s="20"/>
      <c r="BB196" s="20"/>
      <c r="BC196" s="20"/>
      <c r="BD196" s="20"/>
      <c r="BE196" s="20"/>
      <c r="BF196" s="20"/>
      <c r="BG196" s="20"/>
      <c r="BH196" s="20"/>
      <c r="BI196" s="20"/>
      <c r="BJ196" s="20"/>
      <c r="BK196" s="20"/>
      <c r="BL196" s="20"/>
      <c r="BM196" s="20"/>
      <c r="BN196" s="20"/>
      <c r="BO196" s="20"/>
      <c r="BP196" s="20"/>
      <c r="BQ196" s="20"/>
      <c r="BR196" s="20"/>
      <c r="BS196" s="20"/>
      <c r="BT196" s="20"/>
      <c r="BU196" s="20"/>
      <c r="BV196" s="20"/>
      <c r="BW196" s="20"/>
      <c r="BX196" s="20"/>
      <c r="BY196" s="20"/>
      <c r="BZ196" s="20"/>
      <c r="CA196" s="20"/>
      <c r="CB196" s="20"/>
      <c r="CC196" s="20"/>
      <c r="CD196" s="20"/>
      <c r="CE196" s="20"/>
      <c r="CF196" s="20"/>
      <c r="CG196" s="20"/>
      <c r="CH196" s="20"/>
      <c r="CI196" s="20"/>
      <c r="CJ196" s="20"/>
      <c r="CK196" s="20"/>
      <c r="CL196" s="20"/>
      <c r="CM196" s="20"/>
      <c r="CN196" s="20"/>
      <c r="CO196" s="20"/>
      <c r="CP196" s="20"/>
      <c r="CQ196" s="20"/>
      <c r="CR196" s="20"/>
      <c r="CS196" s="20"/>
    </row>
    <row r="197" s="8" customFormat="1" spans="1:97">
      <c r="A197" s="20"/>
      <c r="B197" s="15"/>
      <c r="C197" s="24"/>
      <c r="D197" s="24"/>
      <c r="E197" s="24"/>
      <c r="F197" s="24"/>
      <c r="G197" s="24"/>
      <c r="H197" s="24"/>
      <c r="I197" s="24"/>
      <c r="J197" s="24"/>
      <c r="K197" s="24"/>
      <c r="L197" s="24"/>
      <c r="M197" s="24"/>
      <c r="N197" s="24"/>
      <c r="O197" s="24"/>
      <c r="P197" s="24"/>
      <c r="Q197" s="24"/>
      <c r="R197" s="24"/>
      <c r="S197" s="24"/>
      <c r="T197" s="24"/>
      <c r="U197" s="24"/>
      <c r="V197" s="24"/>
      <c r="W197" s="24"/>
      <c r="X197" s="24"/>
      <c r="Y197" s="24"/>
      <c r="Z197" s="24"/>
      <c r="AA197" s="24"/>
      <c r="AB197" s="24"/>
      <c r="AC197" s="24"/>
      <c r="AD197" s="24"/>
      <c r="AE197" s="24"/>
      <c r="AF197" s="24"/>
      <c r="AG197" s="24"/>
      <c r="AH197" s="24"/>
      <c r="AI197" s="24"/>
      <c r="AJ197" s="20"/>
      <c r="AK197" s="20"/>
      <c r="AL197" s="20"/>
      <c r="AM197" s="20"/>
      <c r="AN197" s="20"/>
      <c r="AO197" s="20"/>
      <c r="AP197" s="20"/>
      <c r="AQ197" s="20"/>
      <c r="AR197" s="20"/>
      <c r="AS197" s="20"/>
      <c r="AT197" s="20"/>
      <c r="AU197" s="20"/>
      <c r="AV197" s="20"/>
      <c r="AW197" s="20"/>
      <c r="AX197" s="20"/>
      <c r="AY197" s="20"/>
      <c r="AZ197" s="20"/>
      <c r="BA197" s="20"/>
      <c r="BB197" s="20"/>
      <c r="BC197" s="20"/>
      <c r="BD197" s="20"/>
      <c r="BE197" s="20"/>
      <c r="BF197" s="20"/>
      <c r="BG197" s="20"/>
      <c r="BH197" s="20"/>
      <c r="BI197" s="20"/>
      <c r="BJ197" s="20"/>
      <c r="BK197" s="20"/>
      <c r="BL197" s="20"/>
      <c r="BM197" s="20"/>
      <c r="BN197" s="20"/>
      <c r="BO197" s="20"/>
      <c r="BP197" s="20"/>
      <c r="BQ197" s="20"/>
      <c r="BR197" s="20"/>
      <c r="BS197" s="20"/>
      <c r="BT197" s="20"/>
      <c r="BU197" s="20"/>
      <c r="BV197" s="20"/>
      <c r="BW197" s="20"/>
      <c r="BX197" s="20"/>
      <c r="BY197" s="20"/>
      <c r="BZ197" s="20"/>
      <c r="CA197" s="20"/>
      <c r="CB197" s="20"/>
      <c r="CC197" s="20"/>
      <c r="CD197" s="20"/>
      <c r="CE197" s="20"/>
      <c r="CF197" s="20"/>
      <c r="CG197" s="20"/>
      <c r="CH197" s="20"/>
      <c r="CI197" s="20"/>
      <c r="CJ197" s="20"/>
      <c r="CK197" s="20"/>
      <c r="CL197" s="20"/>
      <c r="CM197" s="20"/>
      <c r="CN197" s="20"/>
      <c r="CO197" s="20"/>
      <c r="CP197" s="20"/>
      <c r="CQ197" s="20"/>
      <c r="CR197" s="20"/>
      <c r="CS197" s="20"/>
    </row>
    <row r="198" s="8" customFormat="1" spans="1:97">
      <c r="A198" s="20"/>
      <c r="B198" s="15"/>
      <c r="C198" s="24"/>
      <c r="D198" s="24"/>
      <c r="E198" s="24"/>
      <c r="F198" s="24"/>
      <c r="G198" s="24"/>
      <c r="H198" s="24"/>
      <c r="I198" s="24"/>
      <c r="J198" s="24"/>
      <c r="K198" s="24"/>
      <c r="L198" s="24"/>
      <c r="M198" s="24"/>
      <c r="N198" s="24"/>
      <c r="O198" s="24"/>
      <c r="P198" s="24"/>
      <c r="Q198" s="24"/>
      <c r="R198" s="24"/>
      <c r="S198" s="24"/>
      <c r="T198" s="24"/>
      <c r="U198" s="24"/>
      <c r="V198" s="24"/>
      <c r="W198" s="24"/>
      <c r="X198" s="24"/>
      <c r="Y198" s="24"/>
      <c r="Z198" s="24"/>
      <c r="AA198" s="24"/>
      <c r="AB198" s="24"/>
      <c r="AC198" s="24"/>
      <c r="AD198" s="24"/>
      <c r="AE198" s="24"/>
      <c r="AF198" s="24"/>
      <c r="AG198" s="24"/>
      <c r="AH198" s="24"/>
      <c r="AI198" s="24"/>
      <c r="AJ198" s="20"/>
      <c r="AK198" s="20"/>
      <c r="AL198" s="20"/>
      <c r="AM198" s="20"/>
      <c r="AN198" s="20"/>
      <c r="AO198" s="20"/>
      <c r="AP198" s="20"/>
      <c r="AQ198" s="20"/>
      <c r="AR198" s="20"/>
      <c r="AS198" s="20"/>
      <c r="AT198" s="20"/>
      <c r="AU198" s="20"/>
      <c r="AV198" s="20"/>
      <c r="AW198" s="20"/>
      <c r="AX198" s="20"/>
      <c r="AY198" s="20"/>
      <c r="AZ198" s="20"/>
      <c r="BA198" s="20"/>
      <c r="BB198" s="20"/>
      <c r="BC198" s="20"/>
      <c r="BD198" s="20"/>
      <c r="BE198" s="20"/>
      <c r="BF198" s="20"/>
      <c r="BG198" s="20"/>
      <c r="BH198" s="20"/>
      <c r="BI198" s="20"/>
      <c r="BJ198" s="20"/>
      <c r="BK198" s="20"/>
      <c r="BL198" s="20"/>
      <c r="BM198" s="20"/>
      <c r="BN198" s="20"/>
      <c r="BO198" s="20"/>
      <c r="BP198" s="20"/>
      <c r="BQ198" s="20"/>
      <c r="BR198" s="20"/>
      <c r="BS198" s="20"/>
      <c r="BT198" s="20"/>
      <c r="BU198" s="20"/>
      <c r="BV198" s="20"/>
      <c r="BW198" s="20"/>
      <c r="BX198" s="20"/>
      <c r="BY198" s="20"/>
      <c r="BZ198" s="20"/>
      <c r="CA198" s="20"/>
      <c r="CB198" s="20"/>
      <c r="CC198" s="20"/>
      <c r="CD198" s="20"/>
      <c r="CE198" s="20"/>
      <c r="CF198" s="20"/>
      <c r="CG198" s="20"/>
      <c r="CH198" s="20"/>
      <c r="CI198" s="20"/>
      <c r="CJ198" s="20"/>
      <c r="CK198" s="20"/>
      <c r="CL198" s="20"/>
      <c r="CM198" s="20"/>
      <c r="CN198" s="20"/>
      <c r="CO198" s="20"/>
      <c r="CP198" s="20"/>
      <c r="CQ198" s="20"/>
      <c r="CR198" s="20"/>
      <c r="CS198" s="20"/>
    </row>
    <row r="199" s="8" customFormat="1" spans="1:97">
      <c r="A199" s="20"/>
      <c r="B199" s="15"/>
      <c r="C199" s="24"/>
      <c r="D199" s="24"/>
      <c r="E199" s="24"/>
      <c r="F199" s="24"/>
      <c r="G199" s="24"/>
      <c r="H199" s="24"/>
      <c r="I199" s="24"/>
      <c r="J199" s="24"/>
      <c r="K199" s="24"/>
      <c r="L199" s="24"/>
      <c r="M199" s="24"/>
      <c r="N199" s="24"/>
      <c r="O199" s="24"/>
      <c r="P199" s="24"/>
      <c r="Q199" s="24"/>
      <c r="R199" s="24"/>
      <c r="S199" s="24"/>
      <c r="T199" s="24"/>
      <c r="U199" s="24"/>
      <c r="V199" s="24"/>
      <c r="W199" s="24"/>
      <c r="X199" s="24"/>
      <c r="Y199" s="24"/>
      <c r="Z199" s="24"/>
      <c r="AA199" s="24"/>
      <c r="AB199" s="24"/>
      <c r="AC199" s="24"/>
      <c r="AD199" s="24"/>
      <c r="AE199" s="24"/>
      <c r="AF199" s="24"/>
      <c r="AG199" s="24"/>
      <c r="AH199" s="24"/>
      <c r="AI199" s="24"/>
      <c r="AJ199" s="20"/>
      <c r="AK199" s="20"/>
      <c r="AL199" s="20"/>
      <c r="AM199" s="20"/>
      <c r="AN199" s="20"/>
      <c r="AO199" s="20"/>
      <c r="AP199" s="20"/>
      <c r="AQ199" s="20"/>
      <c r="AR199" s="20"/>
      <c r="AS199" s="20"/>
      <c r="AT199" s="20"/>
      <c r="AU199" s="20"/>
      <c r="AV199" s="20"/>
      <c r="AW199" s="20"/>
      <c r="AX199" s="20"/>
      <c r="AY199" s="20"/>
      <c r="AZ199" s="20"/>
      <c r="BA199" s="20"/>
      <c r="BB199" s="20"/>
      <c r="BC199" s="20"/>
      <c r="BD199" s="20"/>
      <c r="BE199" s="20"/>
      <c r="BF199" s="20"/>
      <c r="BG199" s="20"/>
      <c r="BH199" s="20"/>
      <c r="BI199" s="20"/>
      <c r="BJ199" s="20"/>
      <c r="BK199" s="20"/>
      <c r="BL199" s="20"/>
      <c r="BM199" s="20"/>
      <c r="BN199" s="20"/>
      <c r="BO199" s="20"/>
      <c r="BP199" s="20"/>
      <c r="BQ199" s="20"/>
      <c r="BR199" s="20"/>
      <c r="BS199" s="20"/>
      <c r="BT199" s="20"/>
      <c r="BU199" s="20"/>
      <c r="BV199" s="20"/>
      <c r="BW199" s="20"/>
      <c r="BX199" s="20"/>
      <c r="BY199" s="20"/>
      <c r="BZ199" s="20"/>
      <c r="CA199" s="20"/>
      <c r="CB199" s="20"/>
      <c r="CC199" s="20"/>
      <c r="CD199" s="20"/>
      <c r="CE199" s="20"/>
      <c r="CF199" s="20"/>
      <c r="CG199" s="20"/>
      <c r="CH199" s="20"/>
      <c r="CI199" s="20"/>
      <c r="CJ199" s="20"/>
      <c r="CK199" s="20"/>
      <c r="CL199" s="20"/>
      <c r="CM199" s="20"/>
      <c r="CN199" s="20"/>
      <c r="CO199" s="20"/>
      <c r="CP199" s="20"/>
      <c r="CQ199" s="20"/>
      <c r="CR199" s="20"/>
      <c r="CS199" s="20"/>
    </row>
    <row r="200" s="8" customFormat="1" spans="1:97">
      <c r="A200" s="20"/>
      <c r="B200" s="15"/>
      <c r="C200" s="24"/>
      <c r="D200" s="24"/>
      <c r="E200" s="24"/>
      <c r="F200" s="24"/>
      <c r="G200" s="24"/>
      <c r="H200" s="24"/>
      <c r="I200" s="24"/>
      <c r="J200" s="24"/>
      <c r="K200" s="24"/>
      <c r="L200" s="24"/>
      <c r="M200" s="24"/>
      <c r="N200" s="24"/>
      <c r="O200" s="24"/>
      <c r="P200" s="24"/>
      <c r="Q200" s="24"/>
      <c r="R200" s="24"/>
      <c r="S200" s="24"/>
      <c r="T200" s="24"/>
      <c r="U200" s="24"/>
      <c r="V200" s="24"/>
      <c r="W200" s="24"/>
      <c r="X200" s="24"/>
      <c r="Y200" s="24"/>
      <c r="Z200" s="24"/>
      <c r="AA200" s="24"/>
      <c r="AB200" s="24"/>
      <c r="AC200" s="24"/>
      <c r="AD200" s="24"/>
      <c r="AE200" s="24"/>
      <c r="AF200" s="24"/>
      <c r="AG200" s="24"/>
      <c r="AH200" s="24"/>
      <c r="AI200" s="24"/>
      <c r="AJ200" s="20"/>
      <c r="AK200" s="20"/>
      <c r="AL200" s="20"/>
      <c r="AM200" s="20"/>
      <c r="AN200" s="20"/>
      <c r="AO200" s="20"/>
      <c r="AP200" s="20"/>
      <c r="AQ200" s="20"/>
      <c r="AR200" s="20"/>
      <c r="AS200" s="20"/>
      <c r="AT200" s="20"/>
      <c r="AU200" s="20"/>
      <c r="AV200" s="20"/>
      <c r="AW200" s="20"/>
      <c r="AX200" s="20"/>
      <c r="AY200" s="20"/>
      <c r="AZ200" s="20"/>
      <c r="BA200" s="20"/>
      <c r="BB200" s="20"/>
      <c r="BC200" s="20"/>
      <c r="BD200" s="20"/>
      <c r="BE200" s="20"/>
      <c r="BF200" s="20"/>
      <c r="BG200" s="20"/>
      <c r="BH200" s="20"/>
      <c r="BI200" s="20"/>
      <c r="BJ200" s="20"/>
      <c r="BK200" s="20"/>
      <c r="BL200" s="20"/>
      <c r="BM200" s="20"/>
      <c r="BN200" s="20"/>
      <c r="BO200" s="20"/>
      <c r="BP200" s="20"/>
      <c r="BQ200" s="20"/>
      <c r="BR200" s="20"/>
      <c r="BS200" s="20"/>
      <c r="BT200" s="20"/>
      <c r="BU200" s="20"/>
      <c r="BV200" s="20"/>
      <c r="BW200" s="20"/>
      <c r="BX200" s="20"/>
      <c r="BY200" s="20"/>
      <c r="BZ200" s="20"/>
      <c r="CA200" s="20"/>
      <c r="CB200" s="20"/>
      <c r="CC200" s="20"/>
      <c r="CD200" s="20"/>
      <c r="CE200" s="20"/>
      <c r="CF200" s="20"/>
      <c r="CG200" s="20"/>
      <c r="CH200" s="20"/>
      <c r="CI200" s="20"/>
      <c r="CJ200" s="20"/>
      <c r="CK200" s="20"/>
      <c r="CL200" s="20"/>
      <c r="CM200" s="20"/>
      <c r="CN200" s="20"/>
      <c r="CO200" s="20"/>
      <c r="CP200" s="20"/>
      <c r="CQ200" s="20"/>
      <c r="CR200" s="20"/>
      <c r="CS200" s="20"/>
    </row>
    <row r="201" s="9" customFormat="1" hidden="1" spans="1:1">
      <c r="A201" s="10"/>
    </row>
    <row r="202" ht="13.5" hidden="1"/>
    <row r="203" ht="13.5" hidden="1"/>
    <row r="204" ht="13.5" hidden="1"/>
    <row r="205" ht="13.5" hidden="1"/>
    <row r="206" ht="13.5" hidden="1"/>
    <row r="207" ht="13.5" hidden="1"/>
    <row r="208" ht="13.5" hidden="1"/>
    <row r="209" ht="13.5" hidden="1"/>
    <row r="210" ht="13.5" hidden="1"/>
    <row r="211" ht="13.5" hidden="1"/>
    <row r="212" ht="13.5" hidden="1"/>
    <row r="213" ht="13.5" hidden="1"/>
    <row r="214" ht="13.5" hidden="1"/>
    <row r="215" ht="13.5" hidden="1"/>
    <row r="216" ht="13.5" hidden="1"/>
    <row r="217" ht="13.5" hidden="1"/>
    <row r="218" ht="13.5" hidden="1"/>
    <row r="219" ht="13.5" hidden="1"/>
    <row r="220" ht="13.5" hidden="1"/>
    <row r="221" ht="13.5" hidden="1"/>
    <row r="222" ht="13.5" hidden="1"/>
    <row r="223" ht="13.5" hidden="1"/>
    <row r="224" ht="13.5" hidden="1"/>
    <row r="225" ht="13.5" hidden="1"/>
    <row r="226" ht="13.5" hidden="1"/>
    <row r="227" ht="13.5" hidden="1"/>
    <row r="228" ht="13.5" hidden="1"/>
    <row r="229" ht="13.5" hidden="1"/>
    <row r="230" ht="13.5" hidden="1"/>
    <row r="231" ht="13.5" hidden="1"/>
    <row r="232" ht="13.5" hidden="1"/>
    <row r="233" ht="13.5" hidden="1"/>
    <row r="234" ht="13.5" hidden="1"/>
    <row r="235" ht="13.5" hidden="1"/>
    <row r="236" ht="13.5" hidden="1"/>
    <row r="237" ht="13.5" hidden="1"/>
    <row r="238" ht="13.5" hidden="1"/>
    <row r="239" ht="13.5" hidden="1"/>
    <row r="240" ht="13.5" hidden="1"/>
    <row r="241" ht="13.5" hidden="1"/>
    <row r="242" ht="13.5" hidden="1"/>
    <row r="243" ht="13.5" hidden="1"/>
    <row r="244" ht="13.5" hidden="1"/>
    <row r="245" ht="13.5" hidden="1"/>
    <row r="246" ht="13.5" hidden="1"/>
    <row r="247" ht="13.5" hidden="1"/>
    <row r="248" ht="13.5" hidden="1"/>
    <row r="249" ht="13.5" hidden="1"/>
    <row r="250" ht="13.5" hidden="1"/>
    <row r="251" ht="13.5" hidden="1"/>
    <row r="252" ht="13.5" hidden="1"/>
    <row r="253" ht="13.5" hidden="1"/>
    <row r="254" ht="13.5" hidden="1"/>
    <row r="255" ht="13.5" hidden="1"/>
    <row r="256" ht="13.5" hidden="1"/>
    <row r="257" ht="13.5" hidden="1"/>
    <row r="258" ht="13.5" hidden="1"/>
    <row r="259" ht="13.5" hidden="1"/>
    <row r="260" ht="13.5" hidden="1"/>
    <row r="261" ht="13.5" hidden="1"/>
    <row r="262" ht="13.5" hidden="1"/>
    <row r="263" ht="13.5" hidden="1"/>
    <row r="264" ht="13.5" hidden="1"/>
    <row r="265" ht="13.5" hidden="1"/>
    <row r="266" ht="13.5" hidden="1"/>
    <row r="267" ht="13.5" hidden="1"/>
    <row r="268" ht="13.5" hidden="1"/>
    <row r="269" ht="13.5" hidden="1"/>
    <row r="270" ht="13.5" hidden="1"/>
    <row r="271" ht="13.5" hidden="1"/>
    <row r="272" ht="13.5" hidden="1"/>
    <row r="273" ht="13.5" hidden="1"/>
    <row r="274" ht="13.5" hidden="1"/>
    <row r="275" ht="13.5" hidden="1"/>
    <row r="276" ht="13.5" hidden="1"/>
    <row r="277" ht="13.5" hidden="1"/>
    <row r="278" ht="13.5" hidden="1"/>
    <row r="279" ht="13.5" hidden="1"/>
    <row r="280" ht="13.5" hidden="1"/>
    <row r="281" ht="13.5" hidden="1"/>
    <row r="282" ht="13.5" hidden="1"/>
    <row r="283" ht="13.5" hidden="1"/>
    <row r="284" ht="13.5" hidden="1"/>
    <row r="285" ht="13.5" hidden="1"/>
    <row r="286" ht="13.5" hidden="1"/>
    <row r="287" ht="13.5" hidden="1"/>
    <row r="288" ht="13.5" hidden="1"/>
    <row r="289" ht="13.5" hidden="1"/>
    <row r="290" ht="13.5" hidden="1"/>
    <row r="291" ht="13.5" hidden="1"/>
    <row r="292" ht="13.5" hidden="1"/>
    <row r="293" ht="13.5" hidden="1"/>
    <row r="294" ht="13.5" hidden="1"/>
    <row r="295" ht="13.5" hidden="1"/>
    <row r="296" ht="13.5" hidden="1"/>
    <row r="297" ht="13.5" hidden="1"/>
    <row r="298" ht="13.5" hidden="1"/>
    <row r="299" ht="13.5" hidden="1"/>
    <row r="300" ht="13.5" hidden="1"/>
    <row r="301" ht="13.5" hidden="1"/>
    <row r="302" ht="13.5" hidden="1"/>
    <row r="303" ht="13.5" hidden="1"/>
    <row r="304" ht="13.5" hidden="1"/>
    <row r="305" ht="13.5" hidden="1"/>
    <row r="306" ht="13.5" hidden="1"/>
    <row r="307" ht="13.5" hidden="1"/>
    <row r="308" ht="13.5" hidden="1"/>
    <row r="309" ht="13.5" hidden="1"/>
    <row r="310" ht="13.5" hidden="1"/>
    <row r="311" ht="13.5" hidden="1"/>
    <row r="312" ht="13.5" hidden="1"/>
    <row r="313" ht="13.5" hidden="1"/>
    <row r="314" ht="13.5" hidden="1"/>
    <row r="315" ht="13.5" hidden="1"/>
    <row r="316" ht="13.5" hidden="1"/>
    <row r="317" ht="13.5" hidden="1"/>
    <row r="318" ht="13.5" hidden="1"/>
    <row r="319" ht="13.5" hidden="1"/>
    <row r="320" ht="13.5" hidden="1"/>
    <row r="321" ht="13.5" hidden="1"/>
    <row r="322" ht="13.5" hidden="1"/>
    <row r="323" ht="13.5" hidden="1"/>
    <row r="324" ht="13.5" hidden="1"/>
    <row r="325" ht="13.5" hidden="1"/>
    <row r="326" ht="13.5" hidden="1"/>
    <row r="327" ht="13.5" hidden="1"/>
    <row r="328" ht="13.5" hidden="1"/>
    <row r="329" ht="13.5" hidden="1"/>
    <row r="330" ht="13.5" hidden="1"/>
    <row r="331" ht="13.5" hidden="1"/>
    <row r="332" ht="13.5" hidden="1"/>
    <row r="333" ht="13.5" hidden="1"/>
    <row r="334" ht="13.5" hidden="1"/>
    <row r="335" ht="13.5" hidden="1"/>
    <row r="336" ht="13.5" hidden="1"/>
    <row r="337" ht="13.5" hidden="1"/>
    <row r="338" ht="13.5" hidden="1"/>
    <row r="339" ht="13.5" hidden="1"/>
    <row r="340" ht="13.5" hidden="1"/>
    <row r="341" ht="13.5" hidden="1"/>
    <row r="342" ht="13.5" hidden="1"/>
    <row r="343" ht="13.5" hidden="1"/>
    <row r="344" ht="13.5" hidden="1"/>
    <row r="345" ht="13.5" hidden="1"/>
    <row r="346" ht="13.5" hidden="1"/>
    <row r="347" ht="13.5" hidden="1"/>
    <row r="348" ht="13.5" hidden="1"/>
    <row r="349" ht="13.5" hidden="1"/>
    <row r="350" ht="13.5" hidden="1"/>
    <row r="351" ht="13.5" hidden="1"/>
    <row r="352" ht="13.5" hidden="1"/>
    <row r="353" ht="13.5" hidden="1"/>
    <row r="354" ht="13.5" hidden="1"/>
    <row r="355" ht="13.5" hidden="1"/>
    <row r="356" ht="13.5" hidden="1"/>
    <row r="357" ht="13.5" hidden="1"/>
    <row r="358" ht="13.5" hidden="1"/>
    <row r="359" ht="13.5" hidden="1"/>
    <row r="360" ht="13.5" hidden="1"/>
    <row r="361" ht="13.5" hidden="1"/>
    <row r="362" ht="13.5" hidden="1"/>
    <row r="363" ht="13.5" hidden="1"/>
    <row r="364" ht="13.5" hidden="1"/>
    <row r="365" ht="13.5" hidden="1"/>
    <row r="366" ht="13.5" hidden="1"/>
    <row r="367" ht="13.5" hidden="1"/>
    <row r="368" ht="13.5" hidden="1"/>
    <row r="369" ht="13.5" hidden="1"/>
    <row r="370" ht="13.5" hidden="1"/>
    <row r="371" ht="13.5" hidden="1"/>
    <row r="372" ht="13.5" hidden="1"/>
    <row r="373" ht="13.5" hidden="1"/>
    <row r="374" ht="13.5" hidden="1"/>
    <row r="375" ht="13.5" hidden="1"/>
    <row r="376" ht="13.5" hidden="1"/>
    <row r="377" ht="13.5" hidden="1"/>
    <row r="378" ht="13.5" hidden="1"/>
    <row r="379" ht="13.5" hidden="1"/>
    <row r="380" ht="13.5" hidden="1"/>
    <row r="381" ht="13.5" hidden="1"/>
    <row r="382" ht="13.5" hidden="1"/>
    <row r="383" ht="13.5" hidden="1"/>
    <row r="384" ht="13.5" hidden="1"/>
    <row r="385" ht="13.5" hidden="1"/>
    <row r="386" ht="13.5" hidden="1"/>
    <row r="387" ht="13.5" hidden="1"/>
    <row r="388" ht="13.5" hidden="1"/>
    <row r="389" ht="13.5" hidden="1"/>
    <row r="390" ht="13.5" hidden="1"/>
    <row r="391" ht="13.5" hidden="1"/>
    <row r="392" ht="13.5" hidden="1"/>
    <row r="393" ht="13.5" hidden="1"/>
    <row r="394" ht="13.5" hidden="1"/>
    <row r="395" ht="13.5" hidden="1"/>
    <row r="396" ht="13.5" hidden="1"/>
    <row r="397" ht="13.5" hidden="1"/>
    <row r="398" ht="13.5" hidden="1"/>
    <row r="399" ht="13.5" hidden="1"/>
    <row r="400" ht="13.5" hidden="1"/>
    <row r="401" ht="13.5" hidden="1"/>
    <row r="402" ht="13.5" hidden="1"/>
    <row r="403" ht="13.5" hidden="1"/>
    <row r="404" ht="13.5" hidden="1"/>
    <row r="405" ht="13.5" hidden="1"/>
    <row r="406" ht="13.5" hidden="1"/>
    <row r="407" ht="13.5" hidden="1"/>
    <row r="408" ht="13.5" hidden="1"/>
    <row r="409" ht="13.5" hidden="1"/>
    <row r="410" ht="13.5" hidden="1"/>
    <row r="411" ht="13.5" hidden="1"/>
    <row r="412" ht="13.5" hidden="1"/>
    <row r="413" ht="13.5" hidden="1"/>
    <row r="414" ht="13.5" hidden="1"/>
    <row r="415" ht="13.5" hidden="1"/>
    <row r="416" ht="13.5" hidden="1"/>
    <row r="417" ht="13.5" hidden="1"/>
    <row r="418" ht="13.5" hidden="1"/>
    <row r="419" ht="13.5" hidden="1"/>
    <row r="420" ht="13.5" hidden="1"/>
    <row r="421" ht="13.5" hidden="1"/>
    <row r="422" ht="13.5" hidden="1"/>
    <row r="423" ht="13.5" hidden="1"/>
    <row r="424" ht="13.5" hidden="1"/>
    <row r="425" ht="13.5" hidden="1"/>
    <row r="426" ht="13.5" hidden="1"/>
    <row r="427" ht="13.5" hidden="1"/>
    <row r="428" ht="13.5" hidden="1"/>
    <row r="429" ht="13.5" hidden="1"/>
    <row r="430" ht="13.5" hidden="1"/>
    <row r="431" ht="13.5" hidden="1"/>
    <row r="432" ht="13.5" hidden="1"/>
    <row r="433" ht="13.5" hidden="1"/>
    <row r="434" ht="13.5" hidden="1"/>
    <row r="435" ht="13.5" hidden="1"/>
    <row r="436" ht="13.5" hidden="1"/>
    <row r="437" ht="13.5" hidden="1"/>
    <row r="438" ht="13.5" hidden="1"/>
    <row r="439" ht="13.5" hidden="1"/>
    <row r="440" ht="13.5" hidden="1"/>
    <row r="441" ht="13.5" hidden="1"/>
    <row r="442" ht="13.5" hidden="1"/>
    <row r="443" ht="13.5" hidden="1"/>
    <row r="444" ht="13.5" hidden="1"/>
    <row r="445" ht="13.5" hidden="1"/>
    <row r="446" ht="13.5" hidden="1"/>
    <row r="447" ht="13.5" hidden="1"/>
    <row r="448" ht="13.5" hidden="1"/>
    <row r="449" ht="13.5" hidden="1"/>
    <row r="450" ht="13.5" hidden="1"/>
    <row r="451" ht="13.5" hidden="1"/>
    <row r="452" ht="13.5" hidden="1"/>
    <row r="453" ht="13.5" hidden="1"/>
    <row r="454" ht="13.5" hidden="1"/>
    <row r="455" ht="13.5" hidden="1"/>
    <row r="456" ht="13.5" hidden="1"/>
    <row r="457" ht="13.5" hidden="1"/>
    <row r="458" ht="13.5" hidden="1"/>
    <row r="459" ht="13.5" hidden="1"/>
    <row r="460" ht="13.5" hidden="1"/>
    <row r="461" ht="13.5" hidden="1"/>
    <row r="462" ht="13.5" hidden="1"/>
    <row r="463" ht="13.5" hidden="1"/>
    <row r="464" ht="13.5" hidden="1"/>
    <row r="465" ht="13.5" hidden="1"/>
    <row r="466" ht="13.5" hidden="1"/>
    <row r="467" ht="13.5" hidden="1"/>
    <row r="468" ht="13.5" hidden="1"/>
    <row r="469" ht="13.5" hidden="1"/>
    <row r="470" ht="13.5" hidden="1"/>
    <row r="471" ht="13.5" hidden="1"/>
    <row r="472" ht="13.5" hidden="1"/>
    <row r="473" ht="13.5" hidden="1"/>
    <row r="474" ht="13.5" hidden="1"/>
    <row r="475" ht="13.5" hidden="1"/>
    <row r="476" ht="13.5" hidden="1"/>
    <row r="477" ht="13.5" hidden="1"/>
    <row r="478" ht="13.5" hidden="1"/>
    <row r="479" ht="13.5" hidden="1"/>
    <row r="480" ht="13.5" hidden="1"/>
    <row r="481" ht="13.5" hidden="1"/>
    <row r="482" ht="13.5" hidden="1"/>
    <row r="483" ht="13.5" hidden="1"/>
    <row r="484" ht="13.5" hidden="1"/>
    <row r="485" ht="13.5" hidden="1"/>
    <row r="486" ht="13.5" hidden="1"/>
    <row r="487" ht="13.5" hidden="1"/>
    <row r="488" ht="13.5" hidden="1"/>
    <row r="489" ht="13.5" hidden="1"/>
    <row r="490" ht="13.5" hidden="1"/>
    <row r="491" ht="13.5" hidden="1"/>
    <row r="492" ht="13.5" hidden="1"/>
    <row r="493" ht="13.5" hidden="1"/>
    <row r="494" ht="13.5" hidden="1"/>
    <row r="495" ht="13.5" hidden="1"/>
    <row r="496" ht="13.5" hidden="1"/>
    <row r="497" ht="13.5" hidden="1"/>
    <row r="498" ht="13.5" hidden="1"/>
    <row r="499" ht="13.5" hidden="1"/>
    <row r="500" ht="13.5" hidden="1"/>
    <row r="501" ht="13.5" hidden="1"/>
    <row r="502" ht="13.5" hidden="1"/>
    <row r="503" ht="13.5" hidden="1"/>
    <row r="504" ht="13.5" hidden="1"/>
    <row r="505" ht="13.5" hidden="1"/>
    <row r="506" ht="13.5" hidden="1"/>
    <row r="507" ht="13.5" hidden="1"/>
    <row r="508" ht="13.5" hidden="1"/>
    <row r="509" ht="13.5" hidden="1"/>
    <row r="510" ht="13.5" hidden="1"/>
    <row r="511" ht="13.5" hidden="1"/>
    <row r="512" ht="13.5" hidden="1"/>
    <row r="513" ht="13.5" hidden="1"/>
    <row r="514" ht="13.5" hidden="1"/>
    <row r="515" ht="13.5" hidden="1"/>
    <row r="516" ht="13.5" hidden="1"/>
    <row r="517" ht="13.5" hidden="1"/>
    <row r="518" ht="13.5" hidden="1"/>
    <row r="519" ht="13.5" hidden="1"/>
    <row r="520" ht="13.5" hidden="1"/>
    <row r="521" ht="13.5" hidden="1"/>
    <row r="522" ht="13.5" hidden="1"/>
    <row r="523" ht="13.5" hidden="1"/>
    <row r="524" ht="13.5" hidden="1"/>
    <row r="525" ht="13.5" hidden="1"/>
    <row r="526" ht="13.5" hidden="1"/>
    <row r="527" ht="13.5" hidden="1"/>
    <row r="528" ht="13.5" hidden="1"/>
    <row r="529" ht="13.5" hidden="1"/>
    <row r="530" ht="13.5" hidden="1"/>
    <row r="531" ht="13.5" hidden="1"/>
    <row r="532" ht="13.5" hidden="1"/>
    <row r="533" ht="13.5" hidden="1"/>
    <row r="534" ht="13.5" hidden="1"/>
    <row r="535" ht="13.5" hidden="1"/>
    <row r="536" ht="13.5" hidden="1"/>
    <row r="537" ht="13.5" hidden="1"/>
    <row r="538" ht="13.5" hidden="1"/>
    <row r="539" ht="13.5" hidden="1"/>
    <row r="540" ht="13.5" hidden="1"/>
    <row r="541" ht="13.5" hidden="1"/>
    <row r="542" ht="13.5" hidden="1"/>
    <row r="543" ht="13.5" hidden="1"/>
    <row r="544" ht="13.5" hidden="1"/>
    <row r="545" ht="13.5" hidden="1"/>
    <row r="546" ht="13.5" hidden="1"/>
    <row r="547" ht="13.5" hidden="1"/>
    <row r="548" ht="13.5" hidden="1"/>
    <row r="549" ht="13.5" hidden="1"/>
    <row r="550" ht="13.5" hidden="1"/>
    <row r="551" ht="13.5" hidden="1"/>
    <row r="552" ht="13.5" hidden="1"/>
    <row r="553" ht="13.5" hidden="1"/>
    <row r="554" ht="13.5" hidden="1"/>
    <row r="555" ht="13.5" hidden="1"/>
    <row r="556" ht="13.5" hidden="1"/>
    <row r="557" ht="13.5" hidden="1"/>
    <row r="558" ht="13.5" hidden="1"/>
    <row r="559" ht="13.5" hidden="1"/>
    <row r="560" ht="13.5" hidden="1"/>
    <row r="561" ht="13.5" hidden="1"/>
    <row r="562" ht="13.5" hidden="1"/>
    <row r="563" ht="13.5" hidden="1"/>
    <row r="564" ht="13.5" hidden="1"/>
    <row r="565" ht="13.5" hidden="1"/>
    <row r="566" ht="13.5" hidden="1"/>
    <row r="567" ht="13.5" hidden="1"/>
    <row r="568" ht="13.5" hidden="1"/>
    <row r="569" ht="13.5" hidden="1"/>
    <row r="570" ht="13.5" hidden="1"/>
    <row r="571" ht="13.5" hidden="1"/>
    <row r="572" ht="13.5" hidden="1"/>
    <row r="573" ht="13.5" hidden="1"/>
    <row r="574" ht="13.5" hidden="1"/>
    <row r="575" ht="13.5" hidden="1"/>
    <row r="576" ht="13.5" hidden="1"/>
    <row r="577" ht="13.5" hidden="1"/>
    <row r="578" ht="13.5" hidden="1"/>
    <row r="579" ht="13.5" hidden="1"/>
    <row r="580" ht="13.5" hidden="1"/>
    <row r="581" ht="13.5" hidden="1"/>
    <row r="582" ht="13.5" hidden="1"/>
    <row r="583" ht="13.5" hidden="1"/>
    <row r="584" ht="13.5" hidden="1"/>
    <row r="585" ht="13.5" hidden="1"/>
    <row r="586" ht="13.5" hidden="1"/>
    <row r="587" ht="13.5" hidden="1"/>
    <row r="588" ht="13.5" hidden="1"/>
    <row r="589" ht="13.5" hidden="1"/>
    <row r="590" ht="13.5" hidden="1"/>
    <row r="591" ht="13.5" hidden="1"/>
    <row r="592" ht="13.5" hidden="1"/>
    <row r="593" ht="13.5" hidden="1"/>
    <row r="594" ht="13.5" hidden="1"/>
    <row r="595" ht="13.5" hidden="1"/>
    <row r="596" ht="13.5" hidden="1"/>
    <row r="597" ht="13.5" hidden="1"/>
    <row r="598" ht="13.5" hidden="1"/>
    <row r="599" ht="13.5" hidden="1"/>
    <row r="600" ht="13.5" hidden="1"/>
    <row r="601" ht="13.5" hidden="1"/>
    <row r="602" ht="13.5" hidden="1"/>
    <row r="603" ht="13.5" hidden="1"/>
    <row r="604" ht="13.5" hidden="1"/>
    <row r="605" ht="13.5" hidden="1"/>
    <row r="606" ht="13.5" hidden="1"/>
    <row r="607" ht="13.5" hidden="1"/>
    <row r="608" ht="13.5" hidden="1"/>
    <row r="609" ht="13.5" hidden="1"/>
    <row r="610" ht="13.5" hidden="1"/>
    <row r="611" ht="13.5" hidden="1"/>
    <row r="612" ht="13.5" hidden="1"/>
    <row r="613" ht="13.5" hidden="1"/>
    <row r="614" ht="13.5" hidden="1"/>
    <row r="615" ht="13.5" hidden="1"/>
    <row r="616" ht="13.5" hidden="1"/>
    <row r="617" ht="13.5" hidden="1"/>
    <row r="618" ht="13.5" hidden="1"/>
    <row r="619" ht="13.5" hidden="1"/>
    <row r="620" ht="13.5" hidden="1"/>
    <row r="621" ht="13.5" hidden="1"/>
    <row r="622" ht="13.5" hidden="1"/>
    <row r="623" ht="13.5" hidden="1"/>
    <row r="624" ht="13.5" hidden="1"/>
    <row r="625" ht="13.5" hidden="1"/>
    <row r="626" ht="13.5" hidden="1"/>
    <row r="627" ht="13.5" hidden="1"/>
    <row r="628" ht="13.5" hidden="1"/>
    <row r="629" ht="13.5" hidden="1"/>
    <row r="630" ht="13.5" hidden="1"/>
    <row r="631" ht="13.5" hidden="1"/>
    <row r="632" ht="13.5" hidden="1"/>
    <row r="633" ht="13.5" hidden="1"/>
    <row r="634" ht="13.5" hidden="1"/>
    <row r="635" ht="13.5" hidden="1"/>
    <row r="636" ht="13.5" hidden="1"/>
    <row r="637" ht="13.5" hidden="1"/>
    <row r="638" ht="13.5" hidden="1"/>
    <row r="639" ht="13.5" hidden="1"/>
    <row r="640" ht="13.5" hidden="1"/>
    <row r="641" ht="13.5" hidden="1"/>
    <row r="642" ht="13.5" hidden="1"/>
    <row r="643" ht="13.5" hidden="1"/>
    <row r="644" ht="13.5" hidden="1"/>
    <row r="645" ht="13.5" hidden="1"/>
    <row r="646" ht="13.5" hidden="1"/>
    <row r="647" ht="13.5" hidden="1"/>
    <row r="648" ht="13.5" hidden="1"/>
    <row r="649" ht="13.5" hidden="1"/>
    <row r="650" ht="13.5" hidden="1"/>
    <row r="651" ht="13.5" hidden="1"/>
    <row r="652" ht="13.5" hidden="1"/>
    <row r="653" ht="13.5" hidden="1"/>
    <row r="654" ht="13.5" hidden="1"/>
    <row r="655" ht="13.5" hidden="1"/>
    <row r="656" ht="13.5" hidden="1"/>
    <row r="657" ht="13.5" hidden="1"/>
    <row r="658" ht="13.5" hidden="1"/>
    <row r="659" ht="13.5" hidden="1"/>
    <row r="660" ht="13.5" hidden="1"/>
    <row r="661" ht="13.5" hidden="1"/>
    <row r="662" ht="13.5" hidden="1"/>
    <row r="663" ht="13.5" hidden="1"/>
    <row r="664" ht="13.5" hidden="1"/>
    <row r="665" ht="13.5" hidden="1"/>
    <row r="666" ht="13.5" hidden="1"/>
    <row r="667" ht="13.5" hidden="1"/>
    <row r="668" ht="13.5" hidden="1"/>
    <row r="669" ht="13.5" hidden="1"/>
    <row r="670" ht="13.5" hidden="1"/>
    <row r="671" ht="13.5" hidden="1"/>
    <row r="672" ht="13.5" hidden="1"/>
    <row r="673" ht="13.5" hidden="1"/>
    <row r="674" ht="13.5" hidden="1"/>
    <row r="675" ht="13.5" hidden="1"/>
    <row r="676" ht="13.5" hidden="1"/>
    <row r="677" ht="13.5" hidden="1"/>
    <row r="678" ht="13.5" hidden="1"/>
    <row r="679" ht="13.5" hidden="1"/>
    <row r="680" ht="13.5" hidden="1"/>
    <row r="681" ht="13.5" hidden="1"/>
    <row r="682" ht="13.5" hidden="1"/>
    <row r="683" ht="13.5" hidden="1"/>
    <row r="684" ht="13.5" hidden="1"/>
    <row r="685" ht="13.5" hidden="1"/>
    <row r="686" ht="13.5" hidden="1"/>
    <row r="687" ht="13.5" hidden="1"/>
    <row r="688" ht="13.5" hidden="1"/>
    <row r="689" ht="13.5" hidden="1"/>
    <row r="690" ht="13.5" hidden="1"/>
    <row r="691" ht="13.5" hidden="1"/>
    <row r="692" ht="13.5" hidden="1"/>
    <row r="693" ht="13.5" hidden="1"/>
    <row r="694" ht="13.5" hidden="1"/>
    <row r="695" ht="13.5" hidden="1"/>
    <row r="696" ht="13.5" hidden="1"/>
    <row r="697" ht="13.5" hidden="1"/>
    <row r="698" ht="13.5" hidden="1"/>
    <row r="699" ht="13.5" hidden="1"/>
    <row r="700" ht="13.5" hidden="1"/>
    <row r="701" ht="13.5" hidden="1"/>
    <row r="702" ht="13.5" hidden="1"/>
    <row r="703" ht="13.5" hidden="1"/>
    <row r="704" ht="13.5" hidden="1"/>
    <row r="705" ht="13.5" hidden="1"/>
    <row r="706" ht="13.5" hidden="1"/>
    <row r="707" ht="13.5" hidden="1"/>
    <row r="708" ht="13.5" hidden="1"/>
    <row r="709" ht="13.5" hidden="1"/>
    <row r="710" ht="13.5" hidden="1"/>
    <row r="711" ht="13.5" hidden="1"/>
    <row r="712" ht="13.5" hidden="1"/>
    <row r="713" ht="13.5" hidden="1"/>
    <row r="714" ht="13.5" hidden="1"/>
    <row r="715" ht="13.5" hidden="1"/>
    <row r="716" ht="13.5" hidden="1"/>
    <row r="717" ht="13.5" hidden="1"/>
    <row r="718" ht="13.5" hidden="1"/>
    <row r="719" ht="13.5" hidden="1"/>
    <row r="720" ht="13.5" hidden="1"/>
    <row r="721" ht="13.5" hidden="1"/>
    <row r="722" ht="13.5" hidden="1"/>
    <row r="723" ht="13.5" hidden="1"/>
    <row r="724" ht="13.5" hidden="1"/>
    <row r="725" ht="13.5" hidden="1"/>
    <row r="726" ht="13.5" hidden="1"/>
    <row r="727" ht="13.5" hidden="1"/>
    <row r="728" ht="13.5" hidden="1"/>
    <row r="729" ht="13.5" hidden="1"/>
    <row r="730" ht="13.5" hidden="1"/>
    <row r="731" ht="13.5" hidden="1"/>
    <row r="732" ht="13.5" hidden="1"/>
    <row r="733" ht="13.5" hidden="1"/>
    <row r="734" ht="13.5" hidden="1"/>
    <row r="735" ht="13.5" hidden="1"/>
    <row r="736" ht="13.5" hidden="1"/>
    <row r="737" ht="13.5" hidden="1"/>
    <row r="738" ht="13.5" hidden="1"/>
    <row r="739" ht="13.5" hidden="1"/>
    <row r="740" ht="13.5" hidden="1"/>
    <row r="741" ht="13.5" hidden="1"/>
    <row r="742" ht="13.5" hidden="1"/>
    <row r="743" ht="13.5" hidden="1"/>
    <row r="744" ht="13.5" hidden="1"/>
    <row r="745" ht="13.5" hidden="1"/>
    <row r="746" ht="13.5" hidden="1"/>
    <row r="747" ht="13.5" hidden="1"/>
    <row r="748" ht="13.5" hidden="1"/>
    <row r="749" ht="13.5" hidden="1"/>
    <row r="750" ht="13.5" hidden="1"/>
    <row r="751" ht="13.5" hidden="1"/>
    <row r="752" ht="13.5" hidden="1"/>
    <row r="753" ht="13.5" hidden="1"/>
    <row r="754" ht="13.5" hidden="1"/>
    <row r="755" ht="13.5" hidden="1"/>
    <row r="756" ht="13.5" hidden="1"/>
    <row r="757" ht="13.5" hidden="1"/>
    <row r="758" ht="13.5" hidden="1"/>
    <row r="759" ht="13.5" hidden="1"/>
    <row r="760" ht="13.5" hidden="1"/>
    <row r="761" ht="13.5" hidden="1"/>
    <row r="762" ht="13.5" hidden="1"/>
    <row r="763" ht="13.5" hidden="1"/>
    <row r="764" ht="13.5" hidden="1"/>
    <row r="765" ht="13.5" hidden="1"/>
    <row r="766" ht="13.5" hidden="1"/>
    <row r="767" ht="13.5" hidden="1"/>
    <row r="768" ht="13.5" hidden="1"/>
    <row r="769" ht="13.5" hidden="1"/>
    <row r="770" ht="13.5" hidden="1"/>
    <row r="771" ht="13.5" hidden="1"/>
    <row r="772" ht="13.5" hidden="1"/>
    <row r="773" ht="13.5" hidden="1"/>
    <row r="774" ht="13.5" hidden="1"/>
    <row r="775" ht="13.5" hidden="1"/>
    <row r="776" ht="13.5" hidden="1"/>
    <row r="777" ht="13.5" hidden="1"/>
    <row r="778" ht="13.5" hidden="1"/>
    <row r="779" ht="13.5" hidden="1"/>
    <row r="780" ht="13.5" hidden="1"/>
    <row r="781" ht="13.5" hidden="1"/>
    <row r="782" ht="13.5" hidden="1"/>
    <row r="783" ht="13.5" hidden="1"/>
    <row r="784" ht="13.5" hidden="1"/>
    <row r="785" ht="13.5" hidden="1"/>
    <row r="786" ht="13.5" hidden="1"/>
    <row r="787" ht="13.5" hidden="1"/>
    <row r="788" ht="13.5" hidden="1"/>
    <row r="789" ht="13.5" hidden="1"/>
    <row r="790" ht="13.5" hidden="1"/>
    <row r="791" ht="13.5" hidden="1"/>
    <row r="792" ht="13.5" hidden="1"/>
    <row r="793" ht="13.5" hidden="1"/>
    <row r="794" ht="13.5" hidden="1"/>
    <row r="795" ht="13.5" hidden="1"/>
    <row r="796" ht="13.5" hidden="1"/>
    <row r="797" ht="13.5" hidden="1"/>
    <row r="798" ht="13.5" hidden="1"/>
    <row r="799" ht="13.5" hidden="1"/>
    <row r="800" ht="13.5" hidden="1"/>
    <row r="801" ht="13.5" hidden="1"/>
    <row r="802" ht="13.5" hidden="1"/>
    <row r="803" ht="13.5" hidden="1"/>
    <row r="804" ht="13.5" hidden="1"/>
    <row r="805" ht="13.5" hidden="1"/>
    <row r="806" ht="13.5" hidden="1"/>
    <row r="807" ht="13.5" hidden="1"/>
    <row r="808" ht="13.5" hidden="1"/>
    <row r="809" ht="13.5" hidden="1"/>
    <row r="810" ht="13.5" hidden="1"/>
    <row r="811" ht="13.5" hidden="1"/>
    <row r="812" ht="13.5" hidden="1"/>
    <row r="813" ht="13.5" hidden="1"/>
    <row r="814" ht="13.5" hidden="1"/>
    <row r="815" ht="13.5" hidden="1"/>
    <row r="816" ht="13.5" hidden="1"/>
    <row r="817" ht="13.5" hidden="1"/>
    <row r="818" ht="13.5" hidden="1"/>
    <row r="819" ht="13.5" hidden="1"/>
    <row r="820" ht="13.5" hidden="1"/>
    <row r="821" ht="13.5" hidden="1"/>
    <row r="822" ht="13.5" hidden="1"/>
    <row r="823" ht="13.5" hidden="1"/>
    <row r="824" ht="13.5" hidden="1"/>
    <row r="825" ht="13.5" hidden="1"/>
    <row r="826" ht="13.5" hidden="1"/>
    <row r="827" ht="13.5" hidden="1"/>
    <row r="828" ht="13.5" hidden="1"/>
    <row r="829" ht="13.5" hidden="1"/>
    <row r="830" ht="13.5" hidden="1"/>
    <row r="831" ht="13.5" hidden="1"/>
    <row r="832" ht="13.5" hidden="1"/>
    <row r="833" ht="13.5" hidden="1"/>
    <row r="834" ht="13.5" hidden="1"/>
    <row r="835" ht="13.5" hidden="1"/>
    <row r="836" ht="13.5" hidden="1"/>
    <row r="837" ht="13.5" hidden="1"/>
    <row r="838" ht="13.5" hidden="1"/>
    <row r="839" ht="13.5" hidden="1"/>
    <row r="840" ht="13.5" hidden="1"/>
    <row r="841" ht="13.5" hidden="1"/>
    <row r="842" ht="13.5" hidden="1"/>
    <row r="843" ht="13.5" hidden="1"/>
    <row r="844" ht="13.5" hidden="1"/>
    <row r="845" ht="13.5" hidden="1"/>
    <row r="846" ht="13.5" hidden="1"/>
    <row r="847" ht="13.5" hidden="1"/>
    <row r="848" ht="13.5" hidden="1"/>
    <row r="849" ht="13.5" hidden="1"/>
    <row r="850" ht="13.5" hidden="1"/>
    <row r="851" ht="13.5" hidden="1"/>
    <row r="852" ht="13.5" hidden="1"/>
    <row r="853" ht="13.5" hidden="1"/>
    <row r="854" ht="13.5" hidden="1"/>
    <row r="855" ht="13.5" hidden="1"/>
    <row r="856" ht="13.5" hidden="1"/>
    <row r="857" ht="13.5" hidden="1"/>
    <row r="858" ht="13.5" hidden="1"/>
    <row r="859" ht="13.5" hidden="1"/>
    <row r="860" ht="13.5" hidden="1"/>
    <row r="861" ht="13.5" hidden="1"/>
    <row r="862" ht="13.5" hidden="1"/>
    <row r="863" ht="13.5" hidden="1"/>
    <row r="864" ht="13.5" hidden="1"/>
    <row r="865" ht="13.5" hidden="1"/>
    <row r="866" ht="13.5" hidden="1"/>
    <row r="867" ht="13.5" hidden="1"/>
    <row r="868" ht="13.5" hidden="1"/>
    <row r="869" ht="13.5" hidden="1"/>
    <row r="870" ht="13.5" hidden="1"/>
    <row r="871" ht="13.5" hidden="1"/>
    <row r="872" ht="13.5" hidden="1"/>
    <row r="873" ht="13.5" hidden="1"/>
    <row r="874" ht="13.5" hidden="1"/>
    <row r="875" ht="13.5" hidden="1"/>
    <row r="876" ht="13.5" hidden="1"/>
    <row r="877" ht="13.5" hidden="1"/>
    <row r="878" ht="13.5" hidden="1"/>
    <row r="879" ht="13.5" hidden="1"/>
    <row r="880" ht="13.5" hidden="1"/>
    <row r="881" ht="13.5" hidden="1"/>
    <row r="882" ht="13.5" hidden="1"/>
    <row r="883" ht="13.5" hidden="1"/>
    <row r="884" ht="13.5" hidden="1"/>
    <row r="885" ht="13.5" hidden="1"/>
    <row r="886" ht="13.5" hidden="1"/>
    <row r="887" ht="13.5" hidden="1"/>
    <row r="888" ht="13.5" hidden="1"/>
    <row r="889" ht="13.5" hidden="1"/>
    <row r="890" ht="13.5" hidden="1"/>
    <row r="891" ht="13.5" hidden="1"/>
    <row r="892" ht="13.5" hidden="1"/>
    <row r="893" ht="13.5" hidden="1"/>
    <row r="894" ht="13.5" hidden="1"/>
    <row r="895" ht="13.5" hidden="1"/>
    <row r="896" ht="13.5" hidden="1"/>
    <row r="897" ht="13.5" hidden="1"/>
    <row r="898" ht="13.5" hidden="1"/>
    <row r="899" ht="13.5" hidden="1"/>
    <row r="900" ht="13.5" hidden="1"/>
    <row r="901" ht="13.5" hidden="1"/>
    <row r="902" ht="13.5" hidden="1"/>
    <row r="903" ht="13.5" hidden="1"/>
    <row r="904" ht="13.5" hidden="1"/>
    <row r="905" ht="13.5" hidden="1"/>
    <row r="906" ht="13.5" hidden="1"/>
    <row r="907" ht="13.5" hidden="1"/>
    <row r="908" ht="13.5" hidden="1"/>
    <row r="909" ht="13.5" hidden="1"/>
    <row r="910" ht="13.5" hidden="1"/>
    <row r="911" ht="13.5" hidden="1"/>
    <row r="912" ht="13.5" hidden="1"/>
    <row r="913" ht="13.5" hidden="1"/>
    <row r="914" ht="13.5" hidden="1"/>
    <row r="915" ht="13.5" hidden="1"/>
    <row r="916" ht="13.5" hidden="1"/>
    <row r="917" ht="13.5" hidden="1"/>
    <row r="918" ht="13.5" hidden="1"/>
    <row r="919" ht="13.5" hidden="1"/>
    <row r="920" ht="13.5" hidden="1"/>
    <row r="921" ht="13.5" hidden="1"/>
    <row r="922" ht="13.5" hidden="1"/>
    <row r="923" ht="13.5" hidden="1"/>
    <row r="924" ht="13.5" hidden="1"/>
    <row r="925" ht="13.5" hidden="1"/>
    <row r="926" ht="13.5" hidden="1"/>
    <row r="927" ht="13.5" hidden="1"/>
    <row r="928" ht="13.5" hidden="1"/>
    <row r="929" ht="13.5" hidden="1"/>
    <row r="930" ht="13.5" hidden="1"/>
    <row r="931" ht="13.5" hidden="1"/>
    <row r="932" ht="13.5" hidden="1"/>
    <row r="933" ht="13.5" hidden="1"/>
    <row r="934" ht="13.5" hidden="1"/>
    <row r="935" ht="13.5" hidden="1"/>
    <row r="936" ht="13.5" hidden="1"/>
    <row r="937" ht="13.5" hidden="1"/>
    <row r="938" ht="13.5" hidden="1"/>
    <row r="939" ht="13.5" hidden="1"/>
    <row r="940" ht="13.5" hidden="1"/>
    <row r="941" ht="13.5" hidden="1"/>
    <row r="942" ht="13.5" hidden="1"/>
    <row r="943" ht="13.5" hidden="1"/>
    <row r="944" ht="13.5" hidden="1"/>
    <row r="945" ht="13.5" hidden="1"/>
    <row r="946" ht="13.5" hidden="1"/>
    <row r="947" ht="13.5" hidden="1"/>
    <row r="948" ht="13.5" hidden="1"/>
    <row r="949" ht="13.5" hidden="1"/>
    <row r="950" ht="13.5" hidden="1"/>
    <row r="951" ht="13.5" hidden="1"/>
    <row r="952" ht="13.5" hidden="1"/>
    <row r="953" ht="13.5" hidden="1"/>
    <row r="954" ht="13.5" hidden="1"/>
    <row r="955" ht="13.5" hidden="1"/>
    <row r="956" ht="13.5" hidden="1"/>
    <row r="957" ht="13.5" hidden="1"/>
    <row r="958" ht="13.5" hidden="1"/>
    <row r="959" ht="13.5" hidden="1"/>
    <row r="960" ht="13.5" hidden="1"/>
    <row r="961" ht="13.5" hidden="1"/>
    <row r="962" ht="13.5" hidden="1"/>
    <row r="963" ht="13.5" hidden="1"/>
    <row r="964" ht="13.5" hidden="1"/>
    <row r="965" ht="13.5" hidden="1"/>
    <row r="966" ht="13.5" hidden="1"/>
    <row r="967" ht="13.5" hidden="1"/>
    <row r="968" ht="13.5" hidden="1"/>
    <row r="969" ht="13.5" hidden="1"/>
    <row r="970" ht="13.5" hidden="1"/>
    <row r="971" ht="13.5" hidden="1"/>
    <row r="972" ht="13.5" hidden="1"/>
    <row r="973" ht="13.5" hidden="1"/>
    <row r="974" ht="13.5" hidden="1"/>
    <row r="975" ht="13.5" hidden="1"/>
    <row r="976" ht="13.5" hidden="1"/>
    <row r="977" ht="13.5" hidden="1"/>
    <row r="978" ht="13.5" hidden="1"/>
    <row r="979" ht="13.5" hidden="1"/>
    <row r="980" ht="13.5" hidden="1"/>
    <row r="981" ht="13.5" hidden="1"/>
    <row r="982" ht="13.5" hidden="1"/>
    <row r="983" ht="13.5" hidden="1"/>
    <row r="984" ht="13.5" hidden="1"/>
    <row r="985" ht="13.5" hidden="1"/>
    <row r="986" ht="13.5" hidden="1"/>
    <row r="987" ht="13.5" hidden="1"/>
    <row r="988" ht="13.5" hidden="1"/>
    <row r="989" ht="13.5" hidden="1"/>
    <row r="990" ht="13.5" hidden="1"/>
    <row r="991" ht="13.5" hidden="1"/>
    <row r="992" ht="13.5" hidden="1"/>
    <row r="993" ht="13.5" hidden="1"/>
    <row r="994" ht="13.5" hidden="1"/>
    <row r="995" ht="13.5" hidden="1"/>
    <row r="996" ht="13.5" hidden="1"/>
    <row r="997" ht="13.5" hidden="1"/>
    <row r="998" ht="13.5" hidden="1"/>
    <row r="999" ht="13.5" hidden="1"/>
    <row r="1000" ht="13.5" hidden="1"/>
    <row r="1001" ht="13.5" hidden="1"/>
    <row r="1002" ht="13.5" hidden="1"/>
    <row r="1003" ht="13.5" hidden="1"/>
    <row r="1004" ht="13.5" hidden="1"/>
    <row r="1005" ht="13.5" hidden="1"/>
    <row r="1006" ht="13.5" hidden="1"/>
    <row r="1007" ht="13.5" hidden="1"/>
    <row r="1008" ht="13.5" hidden="1"/>
    <row r="1009" ht="13.5" hidden="1"/>
    <row r="1010" ht="13.5" hidden="1"/>
    <row r="1011" ht="13.5" hidden="1"/>
    <row r="1012" ht="13.5" hidden="1"/>
    <row r="1013" ht="13.5" hidden="1"/>
    <row r="1014" ht="13.5" hidden="1"/>
    <row r="1015" ht="13.5" hidden="1"/>
    <row r="1016" ht="13.5" hidden="1"/>
    <row r="1017" ht="13.5" hidden="1"/>
    <row r="1018" ht="13.5" hidden="1"/>
    <row r="1019" ht="13.5" hidden="1"/>
    <row r="1020" ht="13.5" hidden="1"/>
    <row r="1021" ht="13.5" hidden="1"/>
    <row r="1022" ht="13.5" hidden="1"/>
    <row r="1023" ht="13.5" hidden="1"/>
    <row r="1024" ht="13.5" hidden="1"/>
    <row r="1025" ht="13.5" hidden="1"/>
    <row r="1026" ht="13.5" hidden="1"/>
    <row r="1027" ht="13.5" hidden="1"/>
    <row r="1028" ht="13.5" hidden="1"/>
    <row r="1029" ht="13.5" hidden="1"/>
    <row r="1030" ht="13.5" hidden="1"/>
    <row r="1031" ht="13.5" hidden="1"/>
    <row r="1032" ht="13.5" hidden="1"/>
    <row r="1033" ht="13.5" hidden="1"/>
    <row r="1034" ht="13.5" hidden="1"/>
    <row r="1035" ht="13.5" hidden="1"/>
    <row r="1036" ht="13.5" hidden="1"/>
    <row r="1037" ht="13.5" hidden="1"/>
    <row r="1038" ht="13.5" hidden="1"/>
    <row r="1039" ht="13.5" hidden="1"/>
    <row r="1040" ht="13.5" hidden="1"/>
    <row r="1041" ht="13.5" hidden="1"/>
    <row r="1042" ht="13.5" hidden="1"/>
    <row r="1043" ht="13.5" hidden="1"/>
    <row r="1044" ht="13.5" hidden="1"/>
    <row r="1045" ht="13.5" hidden="1"/>
    <row r="1046" ht="13.5" hidden="1"/>
    <row r="1047" ht="13.5" hidden="1"/>
    <row r="1048" ht="13.5" hidden="1"/>
    <row r="1049" ht="13.5" hidden="1"/>
    <row r="1050" ht="13.5" hidden="1"/>
    <row r="1051" ht="13.5" hidden="1"/>
    <row r="1052" ht="13.5" hidden="1"/>
    <row r="1053" ht="13.5" hidden="1"/>
    <row r="1054" ht="13.5" hidden="1"/>
    <row r="1055" ht="13.5" hidden="1"/>
    <row r="1056" ht="13.5" hidden="1"/>
    <row r="1057" ht="13.5" hidden="1"/>
    <row r="1058" ht="13.5" hidden="1"/>
    <row r="1059" ht="13.5" hidden="1"/>
    <row r="1060" ht="13.5" hidden="1"/>
    <row r="1061" ht="13.5" hidden="1"/>
    <row r="1062" ht="13.5" hidden="1"/>
    <row r="1063" ht="13.5" hidden="1"/>
    <row r="1064" ht="13.5" hidden="1"/>
    <row r="1065" ht="13.5" hidden="1"/>
    <row r="1066" ht="13.5" hidden="1"/>
    <row r="1067" ht="13.5" hidden="1"/>
    <row r="1068" ht="13.5" hidden="1"/>
    <row r="1069" ht="13.5" hidden="1"/>
    <row r="1070" ht="13.5" hidden="1"/>
    <row r="1071" ht="13.5" hidden="1"/>
    <row r="1072" ht="13.5" hidden="1"/>
    <row r="1073" ht="13.5" hidden="1"/>
    <row r="1074" ht="13.5" hidden="1"/>
    <row r="1075" ht="13.5" hidden="1"/>
    <row r="1076" ht="13.5" hidden="1"/>
    <row r="1077" ht="13.5" hidden="1"/>
    <row r="1078" ht="13.5" hidden="1"/>
    <row r="1079" ht="13.5" hidden="1"/>
    <row r="1080" ht="13.5" hidden="1"/>
    <row r="1081" ht="13.5" hidden="1"/>
    <row r="1082" ht="13.5" hidden="1"/>
    <row r="1083" ht="13.5" hidden="1"/>
    <row r="1084" ht="13.5" hidden="1"/>
    <row r="1085" ht="13.5" hidden="1"/>
    <row r="1086" ht="13.5" hidden="1"/>
    <row r="1087" ht="13.5" hidden="1"/>
    <row r="1088" ht="13.5" hidden="1"/>
    <row r="1089" ht="13.5" hidden="1"/>
    <row r="1090" ht="13.5" hidden="1"/>
    <row r="1091" ht="13.5" hidden="1"/>
    <row r="1092" ht="13.5" hidden="1"/>
    <row r="1093" ht="13.5" hidden="1"/>
    <row r="1094" ht="13.5" hidden="1"/>
    <row r="1095" ht="13.5" hidden="1"/>
    <row r="1096" ht="13.5" hidden="1"/>
    <row r="1097" ht="13.5" hidden="1"/>
    <row r="1098" ht="13.5" hidden="1"/>
    <row r="1099" ht="13.5" hidden="1"/>
    <row r="1100" ht="13.5" hidden="1"/>
    <row r="1101" ht="13.5" hidden="1"/>
    <row r="1102" ht="13.5" hidden="1"/>
    <row r="1103" ht="13.5" hidden="1"/>
    <row r="1104" ht="13.5" hidden="1"/>
    <row r="1105" ht="13.5" hidden="1"/>
    <row r="1106" ht="13.5" hidden="1"/>
    <row r="1107" ht="13.5" hidden="1"/>
    <row r="1108" ht="13.5" hidden="1"/>
    <row r="1109" ht="13.5" hidden="1"/>
    <row r="1110" ht="13.5" hidden="1"/>
    <row r="1111" ht="13.5" hidden="1"/>
    <row r="1112" ht="13.5" hidden="1"/>
    <row r="1113" ht="13.5" hidden="1"/>
    <row r="1114" ht="13.5" hidden="1"/>
    <row r="1115" ht="13.5" hidden="1"/>
    <row r="1116" ht="13.5" hidden="1"/>
    <row r="1117" ht="13.5" hidden="1"/>
    <row r="1118" ht="13.5" hidden="1"/>
    <row r="1119" ht="13.5" hidden="1"/>
    <row r="1120" ht="13.5" hidden="1"/>
    <row r="1121" ht="13.5" hidden="1"/>
    <row r="1122" ht="13.5" hidden="1"/>
    <row r="1123" ht="13.5" hidden="1"/>
    <row r="1124" ht="13.5" hidden="1"/>
    <row r="1125" ht="13.5" hidden="1"/>
    <row r="1126" ht="13.5" hidden="1"/>
    <row r="1127" ht="13.5" hidden="1"/>
    <row r="1128" ht="13.5" hidden="1"/>
    <row r="1129" ht="13.5" hidden="1"/>
    <row r="1130" ht="13.5" hidden="1"/>
    <row r="1131" ht="13.5" hidden="1"/>
    <row r="1132" ht="13.5" hidden="1"/>
    <row r="1133" ht="13.5" hidden="1"/>
    <row r="1134" ht="13.5" hidden="1"/>
    <row r="1135" ht="13.5" hidden="1"/>
    <row r="1136" ht="13.5" hidden="1"/>
    <row r="1137" ht="13.5" hidden="1"/>
    <row r="1138" ht="13.5" hidden="1"/>
    <row r="1139" ht="13.5" hidden="1"/>
    <row r="1140" ht="13.5" hidden="1"/>
    <row r="1141" ht="13.5" hidden="1"/>
    <row r="1142" ht="13.5" hidden="1"/>
    <row r="1143" ht="13.5" hidden="1"/>
    <row r="1144" ht="13.5" hidden="1"/>
    <row r="1145" ht="13.5" hidden="1"/>
    <row r="1146" ht="13.5" hidden="1"/>
    <row r="1147" ht="13.5" hidden="1"/>
    <row r="1148" ht="13.5" hidden="1"/>
    <row r="1149" ht="13.5" hidden="1"/>
    <row r="1150" ht="13.5" hidden="1"/>
    <row r="1151" ht="13.5" hidden="1"/>
    <row r="1152" ht="13.5" hidden="1"/>
    <row r="1153" ht="13.5" hidden="1"/>
    <row r="1154" ht="13.5" hidden="1"/>
    <row r="1155" ht="13.5" hidden="1"/>
    <row r="1156" ht="13.5" hidden="1"/>
    <row r="1157" ht="13.5" hidden="1"/>
    <row r="1158" ht="13.5" hidden="1"/>
    <row r="1159" ht="13.5" hidden="1"/>
    <row r="1160" ht="13.5" hidden="1"/>
    <row r="1161" ht="13.5" hidden="1"/>
    <row r="1162" ht="13.5" hidden="1"/>
    <row r="1163" ht="13.5" hidden="1"/>
    <row r="1164" ht="13.5" hidden="1"/>
    <row r="1165" ht="13.5" hidden="1"/>
    <row r="1166" ht="13.5" hidden="1"/>
    <row r="1167" ht="13.5" hidden="1"/>
    <row r="1168" ht="13.5" hidden="1"/>
    <row r="1169" ht="13.5" hidden="1"/>
    <row r="1170" ht="13.5" hidden="1"/>
    <row r="1171" ht="13.5" hidden="1"/>
    <row r="1172" ht="13.5" hidden="1"/>
    <row r="1173" ht="13.5" hidden="1"/>
    <row r="1174" ht="13.5" hidden="1"/>
    <row r="1175" ht="13.5" hidden="1"/>
    <row r="1176" ht="13.5" hidden="1"/>
    <row r="1177" ht="13.5" hidden="1"/>
    <row r="1178" ht="13.5" hidden="1"/>
    <row r="1179" ht="13.5" hidden="1"/>
    <row r="1180" ht="13.5" hidden="1"/>
    <row r="1181" ht="13.5" hidden="1"/>
    <row r="1182" ht="13.5" hidden="1"/>
    <row r="1183" ht="13.5" hidden="1"/>
    <row r="1184" ht="13.5" hidden="1"/>
    <row r="1185" ht="13.5" hidden="1"/>
    <row r="1186" ht="13.5" hidden="1"/>
    <row r="1187" ht="13.5" hidden="1"/>
    <row r="1188" ht="13.5" hidden="1"/>
    <row r="1189" ht="13.5" hidden="1"/>
    <row r="1190" ht="13.5" hidden="1"/>
    <row r="1191" ht="13.5" hidden="1"/>
    <row r="1192" ht="13.5" hidden="1"/>
    <row r="1193" ht="13.5" hidden="1"/>
    <row r="1194" ht="13.5" hidden="1"/>
    <row r="1195" ht="13.5" hidden="1"/>
    <row r="1196" ht="13.5" hidden="1"/>
    <row r="1197" ht="13.5" hidden="1"/>
    <row r="1198" ht="13.5" hidden="1"/>
    <row r="1199" ht="13.5" hidden="1"/>
    <row r="1200" ht="13.5" hidden="1"/>
    <row r="1201" ht="13.5" hidden="1"/>
    <row r="1202" ht="13.5" hidden="1"/>
    <row r="1203" ht="13.5" hidden="1"/>
    <row r="1204" ht="13.5" hidden="1"/>
    <row r="1205" ht="13.5" hidden="1"/>
    <row r="1206" ht="13.5" hidden="1"/>
    <row r="1207" ht="13.5" hidden="1"/>
    <row r="1208" ht="13.5" hidden="1"/>
    <row r="1209" ht="13.5" hidden="1"/>
    <row r="1210" ht="13.5" hidden="1"/>
    <row r="1211" ht="13.5" hidden="1"/>
    <row r="1212" ht="13.5" hidden="1"/>
    <row r="1213" ht="13.5" hidden="1"/>
    <row r="1214" ht="13.5" hidden="1"/>
    <row r="1215" ht="13.5" hidden="1"/>
    <row r="1216" ht="13.5" hidden="1"/>
    <row r="1217" ht="13.5" hidden="1"/>
    <row r="1218" ht="13.5" hidden="1"/>
    <row r="1219" ht="13.5" hidden="1"/>
    <row r="1220" ht="13.5" hidden="1"/>
    <row r="1221" ht="13.5" hidden="1"/>
    <row r="1222" ht="13.5" hidden="1"/>
    <row r="1223" ht="13.5" hidden="1"/>
    <row r="1224" ht="13.5" hidden="1"/>
    <row r="1225" ht="13.5" hidden="1"/>
    <row r="1226" ht="13.5" hidden="1"/>
    <row r="1227" ht="13.5" hidden="1"/>
    <row r="1228" ht="13.5" hidden="1"/>
    <row r="1229" ht="13.5" hidden="1"/>
    <row r="1230" ht="13.5" hidden="1"/>
    <row r="1231" ht="13.5" hidden="1"/>
    <row r="1232" ht="13.5" hidden="1"/>
    <row r="1233" ht="13.5" hidden="1"/>
    <row r="1234" ht="13.5" hidden="1"/>
    <row r="1235" ht="13.5" hidden="1"/>
    <row r="1236" ht="13.5" hidden="1"/>
    <row r="1237" ht="13.5" hidden="1"/>
    <row r="1238" ht="13.5" hidden="1"/>
    <row r="1239" ht="13.5" hidden="1"/>
    <row r="1240" ht="13.5" hidden="1"/>
    <row r="1241" ht="13.5" hidden="1"/>
    <row r="1242" ht="13.5" hidden="1"/>
    <row r="1243" ht="13.5" hidden="1"/>
    <row r="1244" ht="13.5" hidden="1"/>
    <row r="1245" ht="13.5" hidden="1"/>
    <row r="1246" ht="13.5" hidden="1"/>
    <row r="1247" ht="13.5" hidden="1"/>
    <row r="1248" ht="13.5" hidden="1"/>
    <row r="1249" ht="13.5" hidden="1"/>
    <row r="1250" ht="13.5" hidden="1"/>
    <row r="1251" ht="13.5" hidden="1"/>
    <row r="1252" ht="13.5" hidden="1"/>
    <row r="1253" ht="13.5" hidden="1"/>
    <row r="1254" ht="13.5" hidden="1"/>
    <row r="1255" ht="13.5" hidden="1"/>
    <row r="1256" ht="13.5" hidden="1"/>
    <row r="1257" ht="13.5" hidden="1"/>
    <row r="1258" ht="13.5" hidden="1"/>
    <row r="1259" ht="13.5" hidden="1"/>
    <row r="1260" ht="13.5" hidden="1"/>
    <row r="1261" ht="13.5" hidden="1"/>
    <row r="1262" ht="13.5" hidden="1"/>
    <row r="1263" ht="13.5" hidden="1"/>
    <row r="1264" ht="13.5" hidden="1"/>
    <row r="1265" ht="13.5" hidden="1"/>
    <row r="1266" ht="13.5" hidden="1"/>
    <row r="1267" ht="13.5" hidden="1"/>
    <row r="1268" ht="13.5" hidden="1"/>
    <row r="1269" ht="13.5" hidden="1"/>
    <row r="1270" ht="13.5" hidden="1"/>
    <row r="1271" ht="13.5" hidden="1"/>
    <row r="1272" ht="13.5" hidden="1"/>
    <row r="1273" ht="13.5" hidden="1"/>
    <row r="1274" ht="13.5" hidden="1"/>
    <row r="1275" ht="13.5" hidden="1"/>
    <row r="1276" ht="13.5" hidden="1"/>
    <row r="1277" ht="13.5" hidden="1"/>
    <row r="1278" ht="13.5" hidden="1"/>
    <row r="1279" ht="13.5" hidden="1"/>
    <row r="1280" ht="13.5" hidden="1"/>
    <row r="1281" ht="13.5" hidden="1"/>
    <row r="1282" ht="13.5" hidden="1"/>
    <row r="1283" ht="13.5" hidden="1"/>
    <row r="1284" ht="13.5" hidden="1"/>
    <row r="1285" ht="13.5" hidden="1"/>
    <row r="1286" ht="13.5" hidden="1"/>
    <row r="1287" ht="13.5" hidden="1"/>
    <row r="1288" ht="13.5" hidden="1"/>
    <row r="1289" ht="13.5" hidden="1"/>
    <row r="1290" ht="13.5" hidden="1"/>
    <row r="1291" ht="13.5" hidden="1"/>
    <row r="1292" ht="13.5" hidden="1"/>
    <row r="1293" ht="13.5" hidden="1"/>
    <row r="1294" ht="13.5" hidden="1"/>
    <row r="1295" ht="13.5" hidden="1"/>
    <row r="1296" ht="13.5" hidden="1"/>
    <row r="1297" ht="13.5" hidden="1"/>
    <row r="1298" ht="13.5" hidden="1"/>
    <row r="1299" ht="13.5" hidden="1"/>
    <row r="1300" ht="13.5" hidden="1"/>
    <row r="1301" ht="13.5" hidden="1"/>
    <row r="1302" ht="13.5" hidden="1"/>
    <row r="1303" ht="13.5" hidden="1"/>
    <row r="1304" ht="13.5" hidden="1"/>
    <row r="1305" ht="13.5" hidden="1"/>
    <row r="1306" ht="13.5" hidden="1"/>
    <row r="1307" ht="13.5" hidden="1"/>
    <row r="1308" ht="13.5" hidden="1"/>
    <row r="1309" ht="13.5" hidden="1"/>
    <row r="1310" ht="13.5" hidden="1"/>
    <row r="1311" ht="13.5" hidden="1"/>
    <row r="1312" ht="13.5" hidden="1"/>
    <row r="1313" ht="13.5" hidden="1"/>
    <row r="1314" ht="13.5" hidden="1"/>
    <row r="1315" ht="13.5" hidden="1"/>
    <row r="1316" ht="13.5" hidden="1"/>
    <row r="1317" ht="13.5" hidden="1"/>
    <row r="1318" ht="13.5" hidden="1"/>
    <row r="1319" ht="13.5" hidden="1"/>
    <row r="1320" ht="13.5" hidden="1"/>
    <row r="1321" ht="13.5" hidden="1"/>
    <row r="1322" ht="13.5" hidden="1"/>
    <row r="1323" ht="13.5" hidden="1"/>
    <row r="1324" ht="13.5" hidden="1"/>
    <row r="1325" ht="13.5" hidden="1"/>
    <row r="1326" ht="13.5" hidden="1"/>
    <row r="1327" ht="13.5" hidden="1"/>
    <row r="1328" ht="13.5" hidden="1"/>
    <row r="1329" ht="13.5" hidden="1"/>
    <row r="1330" ht="13.5" hidden="1"/>
    <row r="1331" ht="13.5" hidden="1"/>
    <row r="1332" ht="13.5" hidden="1"/>
    <row r="1333" ht="13.5" hidden="1"/>
    <row r="1334" ht="13.5" hidden="1"/>
    <row r="1335" ht="13.5" hidden="1"/>
    <row r="1336" ht="13.5" hidden="1"/>
    <row r="1337" ht="13.5" hidden="1"/>
    <row r="1338" ht="13.5" hidden="1"/>
    <row r="1339" ht="13.5" hidden="1"/>
    <row r="1340" ht="13.5" hidden="1"/>
    <row r="1341" ht="13.5" hidden="1"/>
    <row r="1342" ht="13.5" hidden="1"/>
    <row r="1343" ht="13.5" hidden="1"/>
    <row r="1344" ht="13.5" hidden="1"/>
    <row r="1345" ht="13.5" hidden="1"/>
    <row r="1346" ht="13.5" hidden="1"/>
    <row r="1347" ht="13.5" hidden="1"/>
    <row r="1348" ht="13.5" hidden="1"/>
    <row r="1349" ht="13.5" hidden="1"/>
    <row r="1350" ht="13.5" hidden="1"/>
    <row r="1351" ht="13.5" hidden="1"/>
    <row r="1352" ht="13.5" hidden="1"/>
    <row r="1353" ht="13.5" hidden="1"/>
    <row r="1354" ht="13.5" hidden="1"/>
    <row r="1355" ht="13.5" hidden="1"/>
    <row r="1356" ht="13.5" hidden="1"/>
    <row r="1357" ht="13.5" hidden="1"/>
    <row r="1358" ht="13.5" hidden="1"/>
    <row r="1359" ht="13.5" hidden="1"/>
    <row r="1360" ht="13.5" hidden="1"/>
    <row r="1361" ht="13.5" hidden="1"/>
    <row r="1362" ht="13.5" hidden="1"/>
    <row r="1363" ht="13.5" hidden="1"/>
    <row r="1364" ht="13.5" hidden="1"/>
    <row r="1365" ht="13.5" hidden="1"/>
    <row r="1366" ht="13.5" hidden="1"/>
    <row r="1367" ht="13.5" hidden="1"/>
    <row r="1368" ht="13.5" hidden="1"/>
    <row r="1369" ht="13.5" hidden="1"/>
    <row r="1370" ht="13.5" hidden="1"/>
    <row r="1371" ht="13.5" hidden="1"/>
    <row r="1372" ht="13.5" hidden="1"/>
    <row r="1373" ht="13.5" hidden="1"/>
    <row r="1374" ht="13.5" hidden="1"/>
    <row r="1375" ht="13.5" hidden="1"/>
    <row r="1376" ht="13.5" hidden="1"/>
    <row r="1377" ht="13.5" hidden="1"/>
    <row r="1378" ht="13.5" hidden="1"/>
    <row r="1379" ht="13.5" hidden="1"/>
    <row r="1380" ht="13.5" hidden="1"/>
    <row r="1381" ht="13.5" hidden="1"/>
    <row r="1382" ht="13.5" hidden="1"/>
    <row r="1383" ht="13.5" hidden="1"/>
    <row r="1384" ht="13.5" hidden="1"/>
    <row r="1385" ht="13.5" hidden="1"/>
    <row r="1386" ht="13.5" hidden="1"/>
    <row r="1387" ht="13.5" hidden="1"/>
    <row r="1388" ht="13.5" hidden="1"/>
    <row r="1389" ht="13.5" hidden="1"/>
    <row r="1390" ht="13.5" hidden="1"/>
    <row r="1391" ht="13.5" hidden="1"/>
    <row r="1392" ht="13.5" hidden="1"/>
    <row r="1393" ht="13.5" hidden="1"/>
    <row r="1394" ht="13.5" hidden="1"/>
    <row r="1395" ht="13.5" hidden="1"/>
    <row r="1396" ht="13.5" hidden="1"/>
    <row r="1397" ht="13.5" hidden="1"/>
    <row r="1398" ht="13.5" hidden="1"/>
    <row r="1399" ht="13.5" hidden="1"/>
    <row r="1400" ht="13.5" hidden="1"/>
    <row r="1401" ht="13.5" hidden="1"/>
    <row r="1402" ht="13.5" hidden="1"/>
    <row r="1403" ht="13.5" hidden="1"/>
    <row r="1404" ht="13.5" hidden="1"/>
    <row r="1405" ht="13.5" hidden="1"/>
    <row r="1406" ht="13.5" hidden="1"/>
    <row r="1407" ht="13.5" hidden="1"/>
    <row r="1408" ht="13.5" hidden="1"/>
    <row r="1409" ht="13.5" hidden="1"/>
    <row r="1410" ht="13.5" hidden="1"/>
    <row r="1411" ht="13.5" hidden="1"/>
    <row r="1412" ht="13.5" hidden="1"/>
    <row r="1413" ht="13.5" hidden="1"/>
    <row r="1414" ht="13.5" hidden="1"/>
    <row r="1415" ht="13.5" hidden="1"/>
    <row r="1416" ht="13.5" hidden="1"/>
    <row r="1417" ht="13.5" hidden="1"/>
    <row r="1418" ht="13.5" hidden="1"/>
    <row r="1419" ht="13.5" hidden="1"/>
    <row r="1420" ht="13.5" hidden="1"/>
    <row r="1421" ht="13.5" hidden="1"/>
    <row r="1422" ht="13.5" hidden="1"/>
    <row r="1423" ht="13.5" hidden="1"/>
    <row r="1424" ht="13.5" hidden="1"/>
    <row r="1425" ht="13.5" hidden="1"/>
    <row r="1426" ht="13.5" hidden="1"/>
    <row r="1427" ht="13.5" hidden="1"/>
    <row r="1428" ht="13.5" hidden="1"/>
    <row r="1429" ht="13.5" hidden="1"/>
    <row r="1430" ht="13.5" hidden="1"/>
    <row r="1431" ht="13.5" hidden="1"/>
    <row r="1432" ht="13.5" hidden="1"/>
    <row r="1433" ht="13.5" hidden="1"/>
    <row r="1434" ht="13.5" hidden="1"/>
    <row r="1435" ht="13.5" hidden="1"/>
    <row r="1436" ht="13.5" hidden="1"/>
    <row r="1437" ht="13.5" hidden="1"/>
    <row r="1438" ht="13.5" hidden="1"/>
    <row r="1439" ht="13.5" hidden="1"/>
    <row r="1440" ht="13.5" hidden="1"/>
    <row r="1441" ht="13.5" hidden="1"/>
    <row r="1442" ht="13.5" hidden="1"/>
    <row r="1443" ht="13.5" hidden="1"/>
    <row r="1444" ht="13.5" hidden="1"/>
    <row r="1445" ht="13.5" hidden="1"/>
    <row r="1446" ht="13.5" hidden="1"/>
    <row r="1447" ht="13.5" hidden="1"/>
    <row r="1448" ht="13.5" hidden="1"/>
    <row r="1449" ht="13.5" hidden="1"/>
    <row r="1450" ht="13.5" hidden="1"/>
    <row r="1451" ht="13.5" hidden="1"/>
    <row r="1452" ht="13.5" hidden="1"/>
    <row r="1453" ht="13.5" hidden="1"/>
    <row r="1454" ht="13.5" hidden="1"/>
    <row r="1455" ht="13.5" hidden="1"/>
    <row r="1456" ht="13.5" hidden="1"/>
    <row r="1457" ht="13.5" hidden="1"/>
    <row r="1458" ht="13.5" hidden="1"/>
    <row r="1459" ht="13.5" hidden="1"/>
    <row r="1460" ht="13.5" hidden="1"/>
    <row r="1461" ht="13.5" hidden="1"/>
    <row r="1462" ht="13.5" hidden="1"/>
    <row r="1463" ht="13.5" hidden="1"/>
    <row r="1464" ht="13.5" hidden="1"/>
    <row r="1465" ht="13.5" hidden="1"/>
    <row r="1466" ht="13.5" hidden="1"/>
    <row r="1467" ht="13.5" hidden="1"/>
    <row r="1468" ht="13.5" hidden="1"/>
    <row r="1469" ht="13.5" hidden="1"/>
    <row r="1470" ht="13.5" hidden="1"/>
    <row r="1471" ht="13.5" hidden="1"/>
    <row r="1472" ht="13.5" hidden="1"/>
    <row r="1473" ht="13.5" hidden="1"/>
    <row r="1474" ht="13.5" hidden="1"/>
    <row r="1475" ht="13.5" hidden="1"/>
    <row r="1476" ht="13.5" hidden="1"/>
    <row r="1477" ht="13.5" hidden="1"/>
    <row r="1478" ht="13.5" hidden="1"/>
    <row r="1479" ht="13.5" hidden="1"/>
    <row r="1480" ht="13.5" hidden="1"/>
    <row r="1481" ht="13.5" hidden="1"/>
    <row r="1482" ht="13.5" hidden="1"/>
    <row r="1483" ht="13.5" hidden="1"/>
    <row r="1484" ht="13.5" hidden="1"/>
    <row r="1485" ht="13.5" hidden="1"/>
    <row r="1486" ht="13.5" hidden="1"/>
    <row r="1487" ht="13.5" hidden="1"/>
    <row r="1488" ht="13.5" hidden="1"/>
    <row r="1489" ht="13.5" hidden="1"/>
    <row r="1490" ht="13.5" hidden="1"/>
    <row r="1491" ht="13.5" hidden="1"/>
    <row r="1492" ht="13.5" hidden="1"/>
    <row r="1493" ht="13.5" hidden="1"/>
    <row r="1494" ht="13.5" hidden="1"/>
    <row r="1495" ht="13.5" hidden="1"/>
    <row r="1496" ht="13.5" hidden="1"/>
    <row r="1497" ht="13.5" hidden="1"/>
    <row r="1498" ht="13.5" hidden="1"/>
    <row r="1499" ht="13.5" hidden="1"/>
    <row r="1500" ht="13.5" hidden="1"/>
    <row r="1501" ht="13.5" hidden="1"/>
    <row r="1502" ht="13.5" hidden="1"/>
    <row r="1503" ht="13.5" hidden="1"/>
    <row r="1504" ht="13.5" hidden="1"/>
    <row r="1505" ht="13.5" hidden="1"/>
    <row r="1506" ht="13.5" hidden="1"/>
    <row r="1507" ht="13.5" hidden="1"/>
    <row r="1508" ht="13.5" hidden="1"/>
    <row r="1509" ht="13.5" hidden="1"/>
    <row r="1510" ht="13.5" hidden="1"/>
    <row r="1511" ht="13.5" hidden="1"/>
    <row r="1512" ht="13.5" hidden="1"/>
    <row r="1513" ht="13.5" hidden="1"/>
    <row r="1514" ht="13.5" hidden="1"/>
    <row r="1515" ht="13.5" hidden="1"/>
    <row r="1516" ht="13.5" hidden="1"/>
    <row r="1517" ht="13.5" hidden="1"/>
    <row r="1518" ht="13.5" hidden="1"/>
    <row r="1519" ht="13.5" hidden="1"/>
    <row r="1520" ht="13.5" hidden="1"/>
    <row r="1521" ht="13.5" hidden="1"/>
    <row r="1522" ht="13.5" hidden="1"/>
    <row r="1523" ht="13.5" hidden="1"/>
    <row r="1524" ht="13.5" hidden="1"/>
    <row r="1525" ht="13.5" hidden="1"/>
    <row r="1526" ht="13.5" hidden="1"/>
    <row r="1527" ht="13.5" hidden="1"/>
    <row r="1528" ht="13.5" hidden="1"/>
    <row r="1529" ht="13.5" hidden="1"/>
    <row r="1530" ht="13.5" hidden="1"/>
    <row r="1531" ht="13.5" hidden="1"/>
    <row r="1532" ht="13.5" hidden="1"/>
    <row r="1533" ht="13.5" hidden="1"/>
    <row r="1534" ht="13.5" hidden="1"/>
    <row r="1535" ht="13.5" hidden="1"/>
    <row r="1536" ht="13.5" hidden="1"/>
    <row r="1537" ht="13.5" hidden="1"/>
    <row r="1538" ht="13.5" hidden="1"/>
    <row r="1539" ht="13.5" hidden="1"/>
    <row r="1540" ht="13.5" hidden="1"/>
    <row r="1541" ht="13.5" hidden="1"/>
    <row r="1542" ht="13.5" hidden="1"/>
    <row r="1543" ht="13.5" hidden="1"/>
    <row r="1544" ht="13.5" hidden="1"/>
    <row r="1545" ht="13.5" hidden="1"/>
    <row r="1546" ht="13.5" hidden="1"/>
    <row r="1547" ht="13.5" hidden="1"/>
    <row r="1548" ht="13.5" hidden="1"/>
    <row r="1549" ht="13.5" hidden="1"/>
    <row r="1550" ht="13.5" hidden="1"/>
    <row r="1551" ht="13.5" hidden="1"/>
    <row r="1552" ht="13.5" hidden="1"/>
    <row r="1553" ht="13.5" hidden="1"/>
    <row r="1554" ht="13.5" hidden="1"/>
    <row r="1555" ht="13.5" hidden="1"/>
    <row r="1556" ht="13.5" hidden="1"/>
    <row r="1557" ht="13.5" hidden="1"/>
    <row r="1558" ht="13.5" hidden="1"/>
    <row r="1559" ht="13.5" hidden="1"/>
    <row r="1560" ht="13.5" hidden="1"/>
    <row r="1561" ht="13.5" hidden="1"/>
    <row r="1562" ht="13.5" hidden="1"/>
    <row r="1563" ht="13.5" hidden="1"/>
    <row r="1564" ht="13.5" hidden="1"/>
    <row r="1565" ht="13.5" hidden="1"/>
    <row r="1566" ht="13.5" hidden="1"/>
    <row r="1567" ht="13.5" hidden="1"/>
    <row r="1568" ht="13.5" hidden="1"/>
    <row r="1569" ht="13.5" hidden="1"/>
    <row r="1570" ht="13.5" hidden="1"/>
    <row r="1571" ht="13.5" hidden="1"/>
    <row r="1572" ht="13.5" hidden="1"/>
    <row r="1573" ht="13.5" hidden="1"/>
    <row r="1574" ht="13.5" hidden="1"/>
    <row r="1575" ht="13.5" hidden="1"/>
    <row r="1576" ht="13.5" hidden="1"/>
    <row r="1577" ht="13.5" hidden="1"/>
    <row r="1578" ht="13.5" hidden="1"/>
    <row r="1579" ht="13.5" hidden="1"/>
    <row r="1580" ht="13.5" hidden="1"/>
    <row r="1581" ht="13.5" hidden="1"/>
    <row r="1582" ht="13.5" hidden="1"/>
    <row r="1583" ht="13.5" hidden="1"/>
    <row r="1584" ht="13.5" hidden="1"/>
    <row r="1585" ht="13.5" hidden="1"/>
    <row r="1586" ht="13.5" hidden="1"/>
    <row r="1587" ht="13.5" hidden="1"/>
    <row r="1588" ht="13.5" hidden="1"/>
    <row r="1589" ht="13.5" hidden="1"/>
    <row r="1590" ht="13.5" hidden="1"/>
    <row r="1591" ht="13.5" hidden="1"/>
    <row r="1592" ht="13.5" hidden="1"/>
    <row r="1593" ht="13.5" hidden="1"/>
    <row r="1594" ht="13.5" hidden="1"/>
    <row r="1595" ht="13.5" hidden="1"/>
    <row r="1596" ht="13.5" hidden="1"/>
    <row r="1597" ht="13.5" hidden="1"/>
    <row r="1598" ht="13.5" hidden="1"/>
    <row r="1599" ht="13.5" hidden="1"/>
    <row r="1600" ht="13.5" hidden="1"/>
    <row r="1601" ht="13.5" hidden="1"/>
    <row r="1602" ht="13.5" hidden="1"/>
    <row r="1603" ht="13.5" hidden="1"/>
    <row r="1604" ht="13.5" hidden="1"/>
    <row r="1605" ht="13.5" hidden="1"/>
    <row r="1606" ht="13.5" hidden="1"/>
    <row r="1607" ht="13.5" hidden="1"/>
    <row r="1608" ht="13.5" hidden="1"/>
    <row r="1609" ht="13.5" hidden="1"/>
    <row r="1610" ht="13.5" hidden="1"/>
    <row r="1611" ht="13.5" hidden="1"/>
    <row r="1612" ht="13.5" hidden="1"/>
    <row r="1613" ht="13.5" hidden="1"/>
    <row r="1614" ht="13.5" hidden="1"/>
    <row r="1615" ht="13.5" hidden="1"/>
    <row r="1616" ht="13.5" hidden="1"/>
    <row r="1617" ht="13.5" hidden="1"/>
    <row r="1618" ht="13.5" hidden="1"/>
    <row r="1619" ht="13.5" hidden="1"/>
    <row r="1620" ht="13.5" hidden="1"/>
    <row r="1621" ht="13.5" hidden="1"/>
    <row r="1622" ht="13.5" hidden="1"/>
    <row r="1623" ht="13.5" hidden="1"/>
    <row r="1624" ht="13.5" hidden="1"/>
    <row r="1625" ht="13.5" hidden="1"/>
    <row r="1626" ht="13.5" hidden="1"/>
    <row r="1627" ht="13.5" hidden="1"/>
    <row r="1628" ht="13.5" hidden="1"/>
    <row r="1629" ht="13.5" hidden="1"/>
    <row r="1630" ht="13.5" hidden="1"/>
    <row r="1631" ht="13.5" hidden="1"/>
    <row r="1632" ht="13.5" hidden="1"/>
    <row r="1633" ht="13.5" hidden="1"/>
    <row r="1634" ht="13.5" hidden="1"/>
    <row r="1635" ht="13.5" hidden="1"/>
    <row r="1636" ht="13.5" hidden="1"/>
    <row r="1637" ht="13.5" hidden="1"/>
    <row r="1638" ht="13.5" hidden="1"/>
    <row r="1639" ht="13.5" hidden="1"/>
    <row r="1640" ht="13.5" hidden="1"/>
    <row r="1641" ht="13.5" hidden="1"/>
    <row r="1642" ht="13.5" hidden="1"/>
    <row r="1643" ht="13.5" hidden="1"/>
    <row r="1644" ht="13.5" hidden="1"/>
    <row r="1645" ht="13.5" hidden="1"/>
    <row r="1646" ht="13.5" hidden="1"/>
    <row r="1647" ht="13.5" hidden="1"/>
    <row r="1648" ht="13.5" hidden="1"/>
    <row r="1649" ht="13.5" hidden="1"/>
    <row r="1650" ht="13.5" hidden="1"/>
    <row r="1651" ht="13.5" hidden="1"/>
    <row r="1652" ht="13.5" hidden="1"/>
    <row r="1653" ht="13.5" hidden="1"/>
    <row r="1654" ht="13.5" hidden="1"/>
    <row r="1655" ht="13.5" hidden="1"/>
    <row r="1656" ht="13.5" hidden="1"/>
    <row r="1657" ht="13.5" hidden="1"/>
    <row r="1658" ht="13.5" hidden="1"/>
    <row r="1659" ht="13.5" hidden="1"/>
    <row r="1660" ht="13.5" hidden="1"/>
    <row r="1661" ht="13.5" hidden="1"/>
    <row r="1662" ht="13.5" hidden="1"/>
    <row r="1663" ht="13.5" hidden="1"/>
    <row r="1664" ht="13.5" hidden="1"/>
    <row r="1665" ht="13.5" hidden="1"/>
    <row r="1666" ht="13.5" hidden="1"/>
    <row r="1667" ht="13.5" hidden="1"/>
    <row r="1668" ht="13.5" hidden="1"/>
    <row r="1669" ht="13.5" hidden="1"/>
    <row r="1670" ht="13.5" hidden="1"/>
    <row r="1671" ht="13.5" hidden="1"/>
    <row r="1672" ht="13.5" hidden="1"/>
    <row r="1673" ht="13.5" hidden="1"/>
    <row r="1674" ht="13.5" hidden="1"/>
    <row r="1675" ht="13.5" hidden="1"/>
    <row r="1676" ht="13.5" hidden="1"/>
    <row r="1677" ht="13.5" hidden="1"/>
    <row r="1678" ht="13.5" hidden="1"/>
    <row r="1679" ht="13.5" hidden="1"/>
    <row r="1680" ht="13.5" hidden="1"/>
    <row r="1681" ht="13.5" hidden="1"/>
    <row r="1682" ht="13.5" hidden="1"/>
    <row r="1683" ht="13.5" hidden="1"/>
    <row r="1684" ht="13.5" hidden="1"/>
    <row r="1685" ht="13.5" hidden="1"/>
    <row r="1686" ht="13.5" hidden="1"/>
    <row r="1687" ht="13.5" hidden="1"/>
    <row r="1688" ht="13.5" hidden="1"/>
    <row r="1689" ht="13.5" hidden="1"/>
    <row r="1690" ht="13.5" hidden="1"/>
    <row r="1691" ht="13.5" hidden="1"/>
    <row r="1692" ht="13.5" hidden="1"/>
    <row r="1693" ht="13.5" hidden="1"/>
    <row r="1694" ht="13.5" hidden="1"/>
    <row r="1695" ht="13.5" hidden="1"/>
    <row r="1696" ht="13.5" hidden="1"/>
    <row r="1697" ht="13.5" hidden="1"/>
    <row r="1698" ht="13.5" hidden="1"/>
    <row r="1699" ht="13.5" hidden="1"/>
    <row r="1700" ht="13.5" hidden="1"/>
    <row r="1701" ht="13.5" hidden="1"/>
    <row r="1702" ht="13.5" hidden="1"/>
    <row r="1703" ht="13.5" hidden="1"/>
    <row r="1704" ht="13.5" hidden="1"/>
    <row r="1705" ht="13.5" hidden="1"/>
    <row r="1706" ht="13.5" hidden="1"/>
    <row r="1707" ht="13.5" hidden="1"/>
    <row r="1708" ht="13.5" hidden="1"/>
    <row r="1709" ht="13.5" hidden="1"/>
    <row r="1710" ht="13.5" hidden="1"/>
    <row r="1711" ht="13.5" hidden="1"/>
    <row r="1712" ht="13.5" hidden="1"/>
    <row r="1713" ht="13.5" hidden="1"/>
    <row r="1714" ht="13.5" hidden="1"/>
    <row r="1715" ht="13.5" hidden="1"/>
    <row r="1716" ht="13.5" hidden="1"/>
    <row r="1717" ht="13.5" hidden="1"/>
    <row r="1718" ht="13.5" hidden="1"/>
    <row r="1719" ht="13.5" hidden="1"/>
    <row r="1720" ht="13.5" hidden="1"/>
    <row r="1721" ht="13.5" hidden="1"/>
    <row r="1722" ht="13.5" hidden="1"/>
    <row r="1723" ht="13.5" hidden="1"/>
    <row r="1724" ht="13.5" hidden="1"/>
    <row r="1725" ht="13.5" hidden="1"/>
    <row r="1726" ht="13.5" hidden="1"/>
    <row r="1727" ht="13.5" hidden="1"/>
    <row r="1728" ht="13.5" hidden="1"/>
    <row r="1729" ht="13.5" hidden="1"/>
    <row r="1730" ht="13.5" hidden="1"/>
    <row r="1731" ht="13.5" hidden="1"/>
    <row r="1732" ht="13.5" hidden="1"/>
    <row r="1733" ht="13.5" hidden="1"/>
    <row r="1734" ht="13.5" hidden="1"/>
    <row r="1735" ht="13.5" hidden="1"/>
    <row r="1736" ht="13.5" hidden="1"/>
    <row r="1737" ht="13.5" hidden="1"/>
    <row r="1738" ht="13.5" hidden="1"/>
    <row r="1739" ht="13.5" hidden="1"/>
    <row r="1740" ht="13.5" hidden="1"/>
    <row r="1741" ht="13.5" hidden="1"/>
    <row r="1742" ht="13.5" hidden="1"/>
    <row r="1743" ht="13.5" hidden="1"/>
    <row r="1744" ht="13.5" hidden="1"/>
    <row r="1745" ht="13.5" hidden="1"/>
    <row r="1746" ht="13.5" hidden="1"/>
    <row r="1747" ht="13.5" hidden="1"/>
    <row r="1748" ht="13.5" hidden="1"/>
    <row r="1749" ht="13.5" hidden="1"/>
    <row r="1750" ht="13.5" hidden="1"/>
    <row r="1751" ht="13.5" hidden="1"/>
    <row r="1752" ht="13.5" hidden="1"/>
    <row r="1753" ht="13.5" hidden="1"/>
    <row r="1754" ht="13.5" hidden="1"/>
    <row r="1755" ht="13.5" hidden="1"/>
    <row r="1756" ht="13.5" hidden="1"/>
    <row r="1757" ht="13.5" hidden="1"/>
    <row r="1758" ht="13.5" hidden="1"/>
    <row r="1759" ht="13.5" hidden="1"/>
    <row r="1760" ht="13.5" hidden="1"/>
    <row r="1761" ht="13.5" hidden="1"/>
    <row r="1762" ht="13.5" hidden="1"/>
    <row r="1763" ht="13.5" hidden="1"/>
    <row r="1764" ht="13.5" hidden="1"/>
    <row r="1765" ht="13.5" hidden="1"/>
    <row r="1766" ht="13.5" hidden="1"/>
    <row r="1767" ht="13.5" hidden="1"/>
    <row r="1768" ht="13.5" hidden="1"/>
    <row r="1769" ht="13.5" hidden="1"/>
    <row r="1770" ht="13.5" hidden="1"/>
    <row r="1771" ht="13.5" hidden="1"/>
    <row r="1772" ht="13.5" hidden="1"/>
    <row r="1773" ht="13.5" hidden="1"/>
    <row r="1774" ht="13.5" hidden="1"/>
    <row r="1775" ht="13.5" hidden="1"/>
    <row r="1776" ht="13.5" hidden="1"/>
    <row r="1777" ht="13.5" hidden="1"/>
    <row r="1778" ht="13.5" hidden="1"/>
    <row r="1779" ht="13.5" hidden="1"/>
    <row r="1780" ht="13.5" hidden="1"/>
    <row r="1781" ht="13.5" hidden="1"/>
    <row r="1782" ht="13.5" hidden="1"/>
    <row r="1783" ht="13.5" hidden="1"/>
    <row r="1784" ht="13.5" hidden="1"/>
    <row r="1785" ht="13.5" hidden="1"/>
    <row r="1786" ht="13.5" hidden="1"/>
    <row r="1787" ht="13.5" hidden="1"/>
    <row r="1788" ht="13.5" hidden="1"/>
    <row r="1789" ht="13.5" hidden="1"/>
    <row r="1790" ht="13.5" hidden="1"/>
    <row r="1791" ht="13.5" hidden="1"/>
    <row r="1792" ht="13.5" hidden="1"/>
    <row r="1793" ht="13.5" hidden="1"/>
    <row r="1794" ht="13.5" hidden="1"/>
    <row r="1795" ht="13.5" hidden="1"/>
    <row r="1796" ht="13.5" hidden="1"/>
    <row r="1797" ht="13.5" hidden="1"/>
    <row r="1798" ht="13.5" hidden="1"/>
    <row r="1799" ht="13.5" hidden="1"/>
    <row r="1800" ht="13.5" hidden="1"/>
    <row r="1801" ht="13.5" hidden="1"/>
    <row r="1802" ht="13.5" hidden="1"/>
    <row r="1803" ht="13.5" hidden="1"/>
    <row r="1804" ht="13.5" hidden="1"/>
    <row r="1805" ht="13.5" hidden="1"/>
    <row r="1806" ht="13.5" hidden="1"/>
    <row r="1807" ht="13.5" hidden="1"/>
    <row r="1808" ht="13.5" hidden="1"/>
    <row r="1809" ht="13.5" hidden="1"/>
    <row r="1810" ht="13.5" hidden="1"/>
    <row r="1811" ht="13.5" hidden="1"/>
    <row r="1812" ht="13.5" hidden="1"/>
    <row r="1813" ht="13.5" hidden="1"/>
    <row r="1814" ht="13.5" hidden="1"/>
    <row r="1815" ht="13.5" hidden="1"/>
    <row r="1816" ht="13.5" hidden="1"/>
    <row r="1817" ht="13.5" hidden="1"/>
    <row r="1818" ht="13.5" hidden="1"/>
    <row r="1819" ht="13.5" hidden="1"/>
    <row r="1820" ht="13.5" hidden="1"/>
    <row r="1821" ht="13.5" hidden="1"/>
    <row r="1822" ht="13.5" hidden="1"/>
    <row r="1823" ht="13.5" hidden="1"/>
    <row r="1824" ht="13.5" hidden="1"/>
    <row r="1825" ht="13.5" hidden="1"/>
    <row r="1826" ht="13.5" hidden="1"/>
    <row r="1827" ht="13.5" hidden="1"/>
    <row r="1828" ht="13.5" hidden="1"/>
    <row r="1829" ht="13.5" hidden="1"/>
    <row r="1830" ht="13.5" hidden="1"/>
    <row r="1831" ht="13.5" hidden="1"/>
    <row r="1832" ht="13.5" hidden="1"/>
    <row r="1833" ht="13.5" hidden="1"/>
    <row r="1834" ht="13.5" hidden="1"/>
    <row r="1835" ht="13.5" hidden="1"/>
    <row r="1836" ht="13.5" hidden="1"/>
    <row r="1837" ht="13.5" hidden="1"/>
    <row r="1838" ht="13.5" hidden="1"/>
    <row r="1839" ht="13.5" hidden="1"/>
    <row r="1840" ht="13.5" hidden="1"/>
    <row r="1841" ht="13.5" hidden="1"/>
    <row r="1842" ht="13.5" hidden="1"/>
    <row r="1843" ht="13.5" hidden="1"/>
    <row r="1844" ht="13.5" hidden="1"/>
    <row r="1845" ht="13.5" hidden="1"/>
    <row r="1846" ht="13.5" hidden="1"/>
    <row r="1847" ht="13.5" hidden="1"/>
    <row r="1848" ht="13.5" hidden="1"/>
    <row r="1849" ht="13.5" hidden="1"/>
    <row r="1850" ht="13.5" hidden="1"/>
    <row r="1851" ht="13.5" hidden="1"/>
    <row r="1852" ht="13.5" hidden="1"/>
    <row r="1853" ht="13.5" hidden="1"/>
    <row r="1854" ht="13.5" hidden="1"/>
    <row r="1855" ht="13.5" hidden="1"/>
    <row r="1856" ht="13.5" hidden="1"/>
    <row r="1857" ht="13.5" hidden="1"/>
    <row r="1858" ht="13.5" hidden="1"/>
    <row r="1859" ht="13.5" hidden="1"/>
    <row r="1860" ht="13.5" hidden="1"/>
    <row r="1861" ht="13.5" hidden="1"/>
    <row r="1862" ht="13.5" hidden="1"/>
    <row r="1863" ht="13.5" hidden="1"/>
    <row r="1864" ht="13.5" hidden="1"/>
    <row r="1865" ht="13.5" hidden="1"/>
    <row r="1866" ht="13.5" hidden="1"/>
    <row r="1867" ht="13.5" hidden="1"/>
    <row r="1868" ht="13.5" hidden="1"/>
    <row r="1869" ht="13.5" hidden="1"/>
    <row r="1870" ht="13.5" hidden="1"/>
    <row r="1871" ht="13.5" hidden="1"/>
    <row r="1872" ht="13.5" hidden="1"/>
    <row r="1873" ht="13.5" hidden="1"/>
    <row r="1874" ht="13.5" hidden="1"/>
    <row r="1875" ht="13.5" hidden="1"/>
    <row r="1876" ht="13.5" hidden="1"/>
    <row r="1877" ht="13.5" hidden="1"/>
    <row r="1878" ht="13.5" hidden="1"/>
    <row r="1879" ht="13.5" hidden="1"/>
    <row r="1880" ht="13.5" hidden="1"/>
    <row r="1881" ht="13.5" hidden="1"/>
    <row r="1882" ht="13.5" hidden="1"/>
    <row r="1883" ht="13.5" hidden="1"/>
    <row r="1884" ht="13.5" hidden="1"/>
    <row r="1885" ht="13.5" hidden="1"/>
    <row r="1886" ht="13.5" hidden="1"/>
    <row r="1887" ht="13.5" hidden="1"/>
    <row r="1888" ht="13.5" hidden="1"/>
    <row r="1889" ht="13.5" hidden="1"/>
    <row r="1890" ht="13.5" hidden="1"/>
    <row r="1891" ht="13.5" hidden="1"/>
    <row r="1892" ht="13.5" hidden="1"/>
    <row r="1893" ht="13.5" hidden="1"/>
    <row r="1894" ht="13.5" hidden="1"/>
    <row r="1895" ht="13.5" hidden="1"/>
    <row r="1896" ht="13.5" hidden="1"/>
    <row r="1897" ht="13.5" hidden="1"/>
    <row r="1898" ht="13.5" hidden="1"/>
    <row r="1899" ht="13.5" hidden="1"/>
    <row r="1900" ht="13.5" hidden="1"/>
    <row r="1901" ht="13.5" hidden="1"/>
    <row r="1902" ht="13.5" hidden="1"/>
    <row r="1903" ht="13.5" hidden="1"/>
    <row r="1904" ht="13.5" hidden="1"/>
    <row r="1905" ht="13.5" hidden="1"/>
    <row r="1906" ht="13.5" hidden="1"/>
    <row r="1907" ht="13.5" hidden="1"/>
    <row r="1908" ht="13.5" hidden="1"/>
    <row r="1909" ht="13.5" hidden="1"/>
    <row r="1910" ht="13.5" hidden="1"/>
    <row r="1911" ht="13.5" hidden="1"/>
    <row r="1912" ht="13.5" hidden="1"/>
    <row r="1913" ht="13.5" hidden="1"/>
    <row r="1914" ht="13.5" hidden="1"/>
    <row r="1915" ht="13.5" hidden="1"/>
    <row r="1916" ht="13.5" hidden="1"/>
    <row r="1917" ht="13.5" hidden="1"/>
    <row r="1918" ht="13.5" hidden="1"/>
    <row r="1919" ht="13.5" hidden="1"/>
    <row r="1920" ht="13.5" hidden="1"/>
    <row r="1921" ht="13.5" hidden="1"/>
    <row r="1922" ht="13.5" hidden="1"/>
    <row r="1923" ht="13.5" hidden="1"/>
    <row r="1924" ht="13.5" hidden="1"/>
    <row r="1925" ht="13.5" hidden="1"/>
    <row r="1926" ht="13.5" hidden="1"/>
    <row r="1927" ht="13.5" hidden="1"/>
    <row r="1928" ht="13.5" hidden="1"/>
    <row r="1929" ht="13.5" hidden="1"/>
    <row r="1930" ht="13.5" hidden="1"/>
    <row r="1931" ht="13.5" hidden="1"/>
    <row r="1932" ht="13.5" hidden="1"/>
    <row r="1933" ht="13.5" hidden="1"/>
    <row r="1934" ht="13.5" hidden="1"/>
    <row r="1935" ht="13.5" hidden="1"/>
    <row r="1936" ht="13.5" hidden="1"/>
    <row r="1937" ht="13.5" hidden="1"/>
    <row r="1938" ht="13.5" hidden="1"/>
    <row r="1939" ht="13.5" hidden="1"/>
    <row r="1940" ht="13.5" hidden="1"/>
    <row r="1941" ht="13.5" hidden="1"/>
    <row r="1942" ht="13.5" hidden="1"/>
    <row r="1943" ht="13.5" hidden="1"/>
    <row r="1944" ht="13.5" hidden="1"/>
    <row r="1945" ht="13.5" hidden="1"/>
    <row r="1946" ht="13.5" hidden="1"/>
    <row r="1947" ht="13.5" hidden="1"/>
    <row r="1948" ht="13.5" hidden="1"/>
    <row r="1949" ht="13.5" hidden="1"/>
    <row r="1950" ht="13.5" hidden="1"/>
    <row r="1951" ht="13.5" hidden="1"/>
    <row r="1952" ht="13.5" hidden="1"/>
    <row r="1953" ht="13.5" hidden="1"/>
    <row r="1954" ht="13.5" hidden="1"/>
    <row r="1955" ht="13.5" hidden="1"/>
    <row r="1956" ht="13.5" hidden="1"/>
    <row r="1957" ht="13.5" hidden="1"/>
    <row r="1958" ht="13.5" hidden="1"/>
    <row r="1959" ht="13.5" hidden="1"/>
    <row r="1960" ht="13.5" hidden="1"/>
    <row r="1961" ht="13.5" hidden="1"/>
    <row r="1962" ht="13.5" hidden="1"/>
    <row r="1963" ht="13.5" hidden="1"/>
    <row r="1964" ht="13.5" hidden="1"/>
    <row r="1965" ht="13.5" hidden="1"/>
    <row r="1966" ht="13.5" hidden="1"/>
    <row r="1967" ht="13.5" hidden="1"/>
    <row r="1968" ht="13.5" hidden="1"/>
    <row r="1969" ht="13.5" hidden="1"/>
    <row r="1970" ht="13.5" hidden="1"/>
    <row r="1971" ht="13.5" hidden="1"/>
    <row r="1972" ht="13.5" hidden="1"/>
    <row r="1973" ht="13.5" hidden="1"/>
    <row r="1974" ht="13.5" hidden="1"/>
    <row r="1975" ht="13.5" hidden="1"/>
    <row r="1976" ht="13.5" hidden="1"/>
    <row r="1977" ht="13.5" hidden="1"/>
    <row r="1978" ht="13.5" hidden="1"/>
    <row r="1979" ht="13.5" hidden="1"/>
    <row r="1980" ht="13.5" hidden="1"/>
    <row r="1981" ht="13.5" hidden="1"/>
    <row r="1982" ht="13.5" hidden="1"/>
    <row r="1983" ht="13.5" hidden="1"/>
    <row r="1984" ht="13.5" hidden="1"/>
    <row r="1985" ht="13.5" hidden="1"/>
    <row r="1986" ht="13.5" hidden="1"/>
    <row r="1987" ht="13.5" hidden="1"/>
    <row r="1988" ht="13.5" hidden="1"/>
    <row r="1989" ht="13.5" hidden="1"/>
    <row r="1990" ht="13.5" hidden="1"/>
    <row r="1991" ht="13.5" hidden="1"/>
    <row r="1992" ht="13.5" hidden="1"/>
    <row r="1993" ht="13.5" hidden="1"/>
    <row r="1994" ht="13.5" hidden="1"/>
    <row r="1995" ht="13.5" hidden="1"/>
    <row r="1996" ht="13.5" hidden="1"/>
    <row r="1997" ht="13.5" hidden="1"/>
    <row r="1998" ht="13.5" hidden="1"/>
    <row r="1999" ht="13.5" hidden="1"/>
    <row r="2000" ht="13.5" hidden="1"/>
    <row r="2001" ht="13.5" hidden="1"/>
    <row r="2002" ht="13.5" hidden="1"/>
    <row r="2003" ht="13.5" hidden="1"/>
    <row r="2004" ht="13.5" hidden="1"/>
    <row r="2005" ht="13.5" hidden="1"/>
    <row r="2006" ht="13.5" hidden="1"/>
    <row r="2007" ht="13.5" hidden="1"/>
    <row r="2008" ht="13.5" hidden="1"/>
    <row r="2009" ht="13.5" hidden="1"/>
    <row r="2010" ht="13.5" hidden="1"/>
    <row r="2011" ht="13.5" hidden="1"/>
    <row r="2012" ht="13.5" hidden="1"/>
    <row r="2013" ht="13.5" hidden="1"/>
    <row r="2014" ht="13.5" hidden="1"/>
    <row r="2015" ht="13.5" hidden="1"/>
    <row r="2016" ht="13.5" hidden="1"/>
    <row r="2017" ht="13.5" hidden="1"/>
    <row r="2018" ht="13.5" hidden="1"/>
    <row r="2019" ht="13.5" hidden="1"/>
    <row r="2020" ht="13.5" hidden="1"/>
    <row r="2021" ht="13.5" hidden="1"/>
    <row r="2022" ht="13.5" hidden="1"/>
    <row r="2023" ht="13.5" hidden="1"/>
    <row r="2024" ht="13.5" hidden="1"/>
    <row r="2025" ht="13.5" hidden="1"/>
    <row r="2026" ht="13.5" hidden="1"/>
    <row r="2027" ht="13.5" hidden="1"/>
    <row r="2028" ht="13.5" hidden="1"/>
    <row r="2029" ht="13.5" hidden="1"/>
    <row r="2030" ht="13.5" hidden="1"/>
    <row r="2031" ht="13.5" hidden="1"/>
    <row r="2032" ht="13.5" hidden="1"/>
    <row r="2033" ht="13.5" hidden="1"/>
    <row r="2034" ht="13.5" hidden="1"/>
    <row r="2035" ht="13.5" hidden="1"/>
    <row r="2036" ht="13.5" hidden="1"/>
    <row r="2037" ht="13.5" hidden="1"/>
    <row r="2038" ht="13.5" hidden="1"/>
    <row r="2039" ht="13.5" hidden="1"/>
    <row r="2040" ht="13.5" hidden="1"/>
    <row r="2041" ht="13.5" hidden="1"/>
    <row r="2042" ht="13.5" hidden="1"/>
    <row r="2043" ht="13.5" hidden="1"/>
    <row r="2044" ht="13.5" hidden="1"/>
    <row r="2045" ht="13.5" hidden="1"/>
    <row r="2046" ht="13.5" hidden="1"/>
    <row r="2047" ht="13.5" hidden="1"/>
    <row r="2048" ht="13.5" hidden="1"/>
    <row r="2049" ht="13.5" hidden="1"/>
  </sheetData>
  <sheetProtection formatCells="0" formatColumns="0" formatRows="0" insertHyperlinks="0"/>
  <mergeCells count="97">
    <mergeCell ref="A2:A3"/>
    <mergeCell ref="B1:B200"/>
    <mergeCell ref="C2:C3"/>
    <mergeCell ref="D2:D3"/>
    <mergeCell ref="E2:E3"/>
    <mergeCell ref="F2:F3"/>
    <mergeCell ref="G2:G3"/>
    <mergeCell ref="H2:H3"/>
    <mergeCell ref="I2:I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D2:AD3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AY2:AY3"/>
    <mergeCell ref="AZ2:AZ3"/>
    <mergeCell ref="BA2:BA3"/>
    <mergeCell ref="BB2:BB3"/>
    <mergeCell ref="BC2:BC3"/>
    <mergeCell ref="BD2:BD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BN2:BN3"/>
    <mergeCell ref="BO2:BO3"/>
    <mergeCell ref="BP2:BP3"/>
    <mergeCell ref="BQ2:BQ3"/>
    <mergeCell ref="BR2:BR3"/>
    <mergeCell ref="BS2:BS3"/>
    <mergeCell ref="BT2:BT3"/>
    <mergeCell ref="BU2:BU3"/>
    <mergeCell ref="BV2:BV3"/>
    <mergeCell ref="BW2:BW3"/>
    <mergeCell ref="BX2:BX3"/>
    <mergeCell ref="BY2:BY3"/>
    <mergeCell ref="BZ2:BZ3"/>
    <mergeCell ref="CA2:CA3"/>
    <mergeCell ref="CB2:CB3"/>
    <mergeCell ref="CC2:CC3"/>
    <mergeCell ref="CD2:CD3"/>
    <mergeCell ref="CE2:CE3"/>
    <mergeCell ref="CF2:CF3"/>
    <mergeCell ref="CG2:CG3"/>
    <mergeCell ref="CH2:CH3"/>
    <mergeCell ref="CI2:CI3"/>
    <mergeCell ref="CJ2:CJ3"/>
    <mergeCell ref="CK2:CK3"/>
    <mergeCell ref="CL2:CL3"/>
    <mergeCell ref="CM2:CM3"/>
    <mergeCell ref="CN2:CN3"/>
    <mergeCell ref="CO2:CO3"/>
    <mergeCell ref="CP2:CP3"/>
    <mergeCell ref="CQ2:CQ3"/>
    <mergeCell ref="CR2:CR3"/>
    <mergeCell ref="CS2:CS3"/>
  </mergeCells>
  <hyperlinks>
    <hyperlink ref="D5" r:id="rId2" display="占玄辉" tooltip="https://client.qun.qq.com/qun_vote/javascript:;"/>
    <hyperlink ref="D9" r:id="rId2" display="柯常铝" tooltip="https://client.qun.qq.com/qun_vote/javascript:;"/>
    <hyperlink ref="D13" r:id="rId2" display="乔坤" tooltip="https://client.qun.qq.com/qun_vote/javascript:;"/>
    <hyperlink ref="D16" r:id="rId2" display="杨草晖" tooltip="https://client.qun.qq.com/qun_vote/javascript:;"/>
    <hyperlink ref="D20" r:id="rId2" display="周洋" tooltip="https://client.qun.qq.com/qun_vote/javascript:;"/>
    <hyperlink ref="D24" r:id="rId2" display="涂天赐" tooltip="https://client.qun.qq.com/qun_vote/javascript:;"/>
    <hyperlink ref="D27" r:id="rId2" display="陈创业" tooltip="https://client.qun.qq.com/qun_vote/javascript:;"/>
    <hyperlink ref="D31" r:id="rId2" display="丁江涛" tooltip="https://client.qun.qq.com/qun_vote/javascript:;"/>
    <hyperlink ref="D35" r:id="rId2" display="毛永恒" tooltip="https://client.qun.qq.com/qun_vote/javascript:;"/>
    <hyperlink ref="D38" r:id="rId2" display="熊立武" tooltip="https://client.qun.qq.com/qun_vote/javascript:;"/>
    <hyperlink ref="D42" r:id="rId2" display="刘腾" tooltip="https://client.qun.qq.com/qun_vote/javascript:;"/>
    <hyperlink ref="D46" r:id="rId2" display="王思雨" tooltip="https://client.qun.qq.com/qun_vote/javascript:;"/>
    <hyperlink ref="D49" r:id="rId2" display="黄锐" tooltip="https://client.qun.qq.com/qun_vote/javascript:;"/>
    <hyperlink ref="D53" r:id="rId2" display="朱磊" tooltip="https://client.qun.qq.com/qun_vote/javascript:;"/>
    <hyperlink ref="D57" r:id="rId2" display="周浩" tooltip="https://client.qun.qq.com/qun_vote/javascript:;"/>
    <hyperlink ref="D60" r:id="rId2" display="丁江" tooltip="https://client.qun.qq.com/qun_vote/javascript:;"/>
    <hyperlink ref="D64" r:id="rId2" display="李文霞" tooltip="https://client.qun.qq.com/qun_vote/javascript:;"/>
    <hyperlink ref="D68" r:id="rId2" display="柯雨婷" tooltip="https://client.qun.qq.com/qun_vote/javascript:;"/>
    <hyperlink ref="D71" r:id="rId2" display="徐文锃" tooltip="https://client.qun.qq.com/qun_vote/javascript:;"/>
    <hyperlink ref="D75" r:id="rId2" display="柯宇豪" tooltip="https://client.qun.qq.com/qun_vote/javascript:;"/>
    <hyperlink ref="D79" r:id="rId2" display="柯金梁" tooltip="https://client.qun.qq.com/qun_vote/javascript:;"/>
    <hyperlink ref="D82" r:id="rId2" display="陈相" tooltip="https://client.qun.qq.com/qun_vote/javascript:;"/>
    <hyperlink ref="D86" r:id="rId2" display="蔡振龙" tooltip="https://client.qun.qq.com/qun_vote/javascript:;"/>
    <hyperlink ref="D90" r:id="rId2" display="余飞" tooltip="https://client.qun.qq.com/qun_vote/javascript:;"/>
    <hyperlink ref="D93" r:id="rId2" display="余良成" tooltip="https://client.qun.qq.com/qun_vote/javascript:;"/>
    <hyperlink ref="D97" r:id="rId2" display="黄文辉" tooltip="https://client.qun.qq.com/qun_vote/javascript:;"/>
    <hyperlink ref="D101" r:id="rId2" display="郭衍钢" tooltip="https://client.qun.qq.com/qun_vote/javascript:;"/>
    <hyperlink ref="D104" r:id="rId2" display="马坚强" tooltip="https://client.qun.qq.com/qun_vote/javascript:;"/>
    <hyperlink ref="D108" r:id="rId2" display="赵卓然" tooltip="https://client.qun.qq.com/qun_vote/javascript:;"/>
    <hyperlink ref="D112" r:id="rId2" display="吴自强" tooltip="https://client.qun.qq.com/qun_vote/javascript:;"/>
    <hyperlink ref="D115" r:id="rId2" display="翁凯凯" tooltip="https://client.qun.qq.com/qun_vote/javascript:;"/>
    <hyperlink ref="D119" r:id="rId2" display="项康乐" tooltip="https://client.qun.qq.com/qun_vote/javascript:;"/>
    <hyperlink ref="D123" r:id="rId2" display="黄璟亮" tooltip="https://client.qun.qq.com/qun_vote/javascript:;"/>
    <hyperlink ref="D126" r:id="rId2" display="胡栋杰" tooltip="https://client.qun.qq.com/qun_vote/javascript:;"/>
    <hyperlink ref="D130" r:id="rId2" display="舒成昌" tooltip="https://client.qun.qq.com/qun_vote/javascript:;"/>
    <hyperlink ref="D134" r:id="rId2" display="费伟" tooltip="https://client.qun.qq.com/qun_vote/javascript:;"/>
    <hyperlink ref="D137" r:id="rId2" display="张扬" tooltip="https://client.qun.qq.com/qun_vote/javascript:;"/>
    <hyperlink ref="D141" r:id="rId2" display="阮光强" tooltip="https://client.qun.qq.com/qun_vote/javascript:;"/>
    <hyperlink ref="D145" r:id="rId2" display="周美霖" tooltip="https://client.qun.qq.com/qun_vote/javascript:;"/>
    <hyperlink ref="E5" r:id="rId2" display="柯常铝" tooltip="https://client.qun.qq.com/qun_vote/javascript:;"/>
    <hyperlink ref="E9" r:id="rId2" display="乔坤" tooltip="https://client.qun.qq.com/qun_vote/javascript:;"/>
    <hyperlink ref="E13" r:id="rId2" display="阮光强" tooltip="https://client.qun.qq.com/qun_vote/javascript:;"/>
    <hyperlink ref="E16" r:id="rId2" display="周洋" tooltip="https://client.qun.qq.com/qun_vote/javascript:;"/>
    <hyperlink ref="E20" r:id="rId2" display="柯雨婷" tooltip="https://client.qun.qq.com/qun_vote/javascript:;"/>
    <hyperlink ref="E24" r:id="rId2" display="丁江涛" tooltip="https://client.qun.qq.com/qun_vote/javascript:;"/>
    <hyperlink ref="E27" r:id="rId2" display="杨草晖" tooltip="https://client.qun.qq.com/qun_vote/javascript:;"/>
    <hyperlink ref="E31" r:id="rId2" display="项康乐" tooltip="https://client.qun.qq.com/qun_vote/javascript:;"/>
    <hyperlink ref="E35" r:id="rId2" display="朱磊" tooltip="https://client.qun.qq.com/qun_vote/javascript:;"/>
    <hyperlink ref="E38" r:id="rId2" display="余良成" tooltip="https://client.qun.qq.com/qun_vote/javascript:;"/>
    <hyperlink ref="E42" r:id="rId2" display="李文霞" tooltip="https://client.qun.qq.com/qun_vote/javascript:;"/>
    <hyperlink ref="E46" r:id="rId2" display="熊立武" tooltip="https://client.qun.qq.com/qun_vote/javascript:;"/>
    <hyperlink ref="E49" r:id="rId2" display="冯俊" tooltip="https://client.qun.qq.com/qun_vote/javascript:;"/>
    <hyperlink ref="E53" r:id="rId2" display="蔡振龙" tooltip="https://client.qun.qq.com/qun_vote/javascript:;"/>
    <hyperlink ref="E57" r:id="rId2" display="黄锐" tooltip="https://client.qun.qq.com/qun_vote/javascript:;"/>
    <hyperlink ref="E60" r:id="rId2" display="余飞" tooltip="https://client.qun.qq.com/qun_vote/javascript:;"/>
    <hyperlink ref="E64" r:id="rId2" display="王思雨" tooltip="https://client.qun.qq.com/qun_vote/javascript:;"/>
    <hyperlink ref="E68" r:id="rId2" display="涂天赐" tooltip="https://client.qun.qq.com/qun_vote/javascript:;"/>
    <hyperlink ref="E71" r:id="rId2" display="丁江" tooltip="https://client.qun.qq.com/qun_vote/javascript:;"/>
    <hyperlink ref="E75" r:id="rId2" display="柯金梁" tooltip="https://client.qun.qq.com/qun_vote/javascript:;"/>
    <hyperlink ref="E79" r:id="rId2" display="刘腾" tooltip="https://client.qun.qq.com/qun_vote/javascript:;"/>
    <hyperlink ref="E82" r:id="rId2" display="周浩" tooltip="https://client.qun.qq.com/qun_vote/javascript:;"/>
    <hyperlink ref="E86" r:id="rId2" display="徐文锃" tooltip="https://client.qun.qq.com/qun_vote/javascript:;"/>
    <hyperlink ref="E90" r:id="rId2" display="吴自强" tooltip="https://client.qun.qq.com/qun_vote/javascript:;"/>
    <hyperlink ref="E93" r:id="rId2" display="柯宇豪" tooltip="https://client.qun.qq.com/qun_vote/javascript:;"/>
    <hyperlink ref="E97" r:id="rId2" display="翁凯凯" tooltip="https://client.qun.qq.com/qun_vote/javascript:;"/>
    <hyperlink ref="E101" r:id="rId2" display="赵卓然" tooltip="https://client.qun.qq.com/qun_vote/javascript:;"/>
    <hyperlink ref="E104" r:id="rId2" display="费伟" tooltip="https://client.qun.qq.com/qun_vote/javascript:;"/>
    <hyperlink ref="E108" r:id="rId2" display="陈创业" tooltip="https://client.qun.qq.com/qun_vote/javascript:;"/>
    <hyperlink ref="E112" r:id="rId2" display="毛永恒" tooltip="https://client.qun.qq.com/qun_vote/javascript:;"/>
    <hyperlink ref="E115" r:id="rId2" display="黄文辉" tooltip="https://client.qun.qq.com/qun_vote/javascript:;"/>
    <hyperlink ref="E119" r:id="rId2" display="郭衍钢" tooltip="https://client.qun.qq.com/qun_vote/javascript:;"/>
    <hyperlink ref="E123" r:id="rId2" display="胡栋杰" tooltip="https://client.qun.qq.com/qun_vote/javascript:;"/>
    <hyperlink ref="E126" r:id="rId2" display="黄璟亮" tooltip="https://client.qun.qq.com/qun_vote/javascript:;"/>
    <hyperlink ref="E130" r:id="rId2" display="马坚强" tooltip="https://client.qun.qq.com/qun_vote/javascript:;"/>
    <hyperlink ref="E134" r:id="rId2" display="舒成昌" tooltip="https://client.qun.qq.com/qun_vote/javascript:;"/>
    <hyperlink ref="E137" r:id="rId2" display="张扬" tooltip="https://client.qun.qq.com/qun_vote/javascript:;"/>
    <hyperlink ref="E141" r:id="rId2" display="占玄辉" tooltip="https://client.qun.qq.com/qun_vote/javascript:;"/>
    <hyperlink ref="E145" r:id="rId2" display="陈相" tooltip="https://client.qun.qq.com/qun_vote/javascript:;"/>
    <hyperlink ref="F5" r:id="rId2" display="周洋" tooltip="https://client.qun.qq.com/qun_vote/javascript:;"/>
    <hyperlink ref="F9" r:id="rId2" display="乔坤" tooltip="https://client.qun.qq.com/qun_vote/javascript:;"/>
    <hyperlink ref="F13" r:id="rId2" display="柯常铝" tooltip="https://client.qun.qq.com/qun_vote/javascript:;"/>
    <hyperlink ref="F16" r:id="rId2" display="陈相" tooltip="https://client.qun.qq.com/qun_vote/javascript:;"/>
    <hyperlink ref="F20" r:id="rId2" display="阮光强" tooltip="https://client.qun.qq.com/qun_vote/javascript:;"/>
    <hyperlink ref="F24" r:id="rId2" display="丁江涛" tooltip="https://client.qun.qq.com/qun_vote/javascript:;"/>
    <hyperlink ref="F27" r:id="rId2" display="刘腾" tooltip="https://client.qun.qq.com/qun_vote/javascript:;"/>
    <hyperlink ref="F31" r:id="rId2" display="舒成昌" tooltip="https://client.qun.qq.com/qun_vote/javascript:;"/>
    <hyperlink ref="F35" r:id="rId2" display="陈创业" tooltip="https://client.qun.qq.com/qun_vote/javascript:;"/>
    <hyperlink ref="F38" r:id="rId2" display="黄锐" tooltip="https://client.qun.qq.com/qun_vote/javascript:;"/>
    <hyperlink ref="F42" r:id="rId2" display="朱磊" tooltip="https://client.qun.qq.com/qun_vote/javascript:;"/>
    <hyperlink ref="F46" r:id="rId2" display="杨草晖" tooltip="https://client.qun.qq.com/qun_vote/javascript:;"/>
    <hyperlink ref="F49" r:id="rId2" display="涂天赐" tooltip="https://client.qun.qq.com/qun_vote/javascript:;"/>
    <hyperlink ref="F53" r:id="rId2" display="熊立武" tooltip="https://client.qun.qq.com/qun_vote/javascript:;"/>
    <hyperlink ref="F57" r:id="rId2" display="余良成" tooltip="https://client.qun.qq.com/qun_vote/javascript:;"/>
    <hyperlink ref="F60" r:id="rId2" display="丁江" tooltip="https://client.qun.qq.com/qun_vote/javascript:;"/>
    <hyperlink ref="F64" r:id="rId2" display="吴自强" tooltip="https://client.qun.qq.com/qun_vote/javascript:;"/>
    <hyperlink ref="F68" r:id="rId2" display="郭衍钢" tooltip="https://client.qun.qq.com/qun_vote/javascript:;"/>
    <hyperlink ref="F71" r:id="rId2" display="李文霞" tooltip="https://client.qun.qq.com/qun_vote/javascript:;"/>
    <hyperlink ref="F75" r:id="rId2" display="柯宇豪" tooltip="https://client.qun.qq.com/qun_vote/javascript:;"/>
    <hyperlink ref="F79" r:id="rId2" display="余飞" tooltip="https://client.qun.qq.com/qun_vote/javascript:;"/>
    <hyperlink ref="F82" r:id="rId2" display="黄璟亮" tooltip="https://client.qun.qq.com/qun_vote/javascript:;"/>
    <hyperlink ref="F86" r:id="rId2" display="柯雨婷" tooltip="https://client.qun.qq.com/qun_vote/javascript:;"/>
    <hyperlink ref="F90" r:id="rId2" display="蔡振龙" tooltip="https://client.qun.qq.com/qun_vote/javascript:;"/>
    <hyperlink ref="F93" r:id="rId2" display="周浩" tooltip="https://client.qun.qq.com/qun_vote/javascript:;"/>
    <hyperlink ref="F97" r:id="rId2" display="徐文锃" tooltip="https://client.qun.qq.com/qun_vote/javascript:;"/>
    <hyperlink ref="F101" r:id="rId2" display="赵卓然" tooltip="https://client.qun.qq.com/qun_vote/javascript:;"/>
    <hyperlink ref="F104" r:id="rId2" display="翁凯凯" tooltip="https://client.qun.qq.com/qun_vote/javascript:;"/>
    <hyperlink ref="F108" r:id="rId2" display="毛永恒" tooltip="https://client.qun.qq.com/qun_vote/javascript:;"/>
    <hyperlink ref="F112" r:id="rId2" display="黄文辉" tooltip="https://client.qun.qq.com/qun_vote/javascript:;"/>
    <hyperlink ref="F115" r:id="rId2" display="马坚强" tooltip="https://client.qun.qq.com/qun_vote/javascript:;"/>
    <hyperlink ref="F119" r:id="rId2" display="柯金梁" tooltip="https://client.qun.qq.com/qun_vote/javascript:;"/>
    <hyperlink ref="F123" r:id="rId2" display="胡栋杰" tooltip="https://client.qun.qq.com/qun_vote/javascript:;"/>
    <hyperlink ref="F126" r:id="rId2" display="费伟" tooltip="https://client.qun.qq.com/qun_vote/javascript:;"/>
    <hyperlink ref="F130" r:id="rId2" display="张扬" tooltip="https://client.qun.qq.com/qun_vote/javascript:;"/>
    <hyperlink ref="F134" r:id="rId2" display="占玄辉" tooltip="https://client.qun.qq.com/qun_vote/javascript:;"/>
    <hyperlink ref="F137" r:id="rId2" display="项康乐" tooltip="https://client.qun.qq.com/qun_vote/javascript:;"/>
    <hyperlink ref="F141" r:id="rId2" display="王思雨" tooltip="https://client.qun.qq.com/qun_vote/javascript:;"/>
    <hyperlink ref="F145" r:id="rId2" display="冯俊" tooltip="https://client.qun.qq.com/qun_vote/javascript:;"/>
    <hyperlink ref="F148" r:id="rId2" display="周美霖" tooltip="https://client.qun.qq.com/qun_vote/javascript:;"/>
    <hyperlink ref="E148" r:id="rId2" display="周美霖" tooltip="https://client.qun.qq.com/qun_vote/javascript:;"/>
    <hyperlink ref="G5" r:id="rId2" display="乔坤" tooltip="https://client.qun.qq.com/qun_vote/javascript:;"/>
    <hyperlink ref="G9" r:id="rId2" display="熊立武" tooltip="https://client.qun.qq.com/qun_vote/javascript:;"/>
    <hyperlink ref="G13" r:id="rId2" display="王思雨" tooltip="https://client.qun.qq.com/qun_vote/javascript:;"/>
    <hyperlink ref="G16" r:id="rId2" display="吴自强" tooltip="https://client.qun.qq.com/qun_vote/javascript:;"/>
    <hyperlink ref="G20" r:id="rId2" display="柯雨婷" tooltip="https://client.qun.qq.com/qun_vote/javascript:;"/>
    <hyperlink ref="G24" r:id="rId2" display="丁江涛" tooltip="https://client.qun.qq.com/qun_vote/javascript:;"/>
    <hyperlink ref="G27" r:id="rId2" display="占玄辉" tooltip="https://client.qun.qq.com/qun_vote/javascript:;"/>
    <hyperlink ref="G31" r:id="rId2" display="舒成昌" tooltip="https://client.qun.qq.com/qun_vote/javascript:;"/>
    <hyperlink ref="G35" r:id="rId2" display="余良成" tooltip="https://client.qun.qq.com/qun_vote/javascript:;"/>
    <hyperlink ref="G38" r:id="rId2" display="涂天赐" tooltip="https://client.qun.qq.com/qun_vote/javascript:;"/>
    <hyperlink ref="G42" r:id="rId2" display="李文霞" tooltip="https://client.qun.qq.com/qun_vote/javascript:;"/>
    <hyperlink ref="G46" r:id="rId2" display="朱磊" tooltip="https://client.qun.qq.com/qun_vote/javascript:;"/>
    <hyperlink ref="G49" r:id="rId2" display="周浩" tooltip="https://client.qun.qq.com/qun_vote/javascript:;"/>
    <hyperlink ref="G53" r:id="rId2" display="柯宇豪" tooltip="https://client.qun.qq.com/qun_vote/javascript:;"/>
    <hyperlink ref="G57" r:id="rId2" display="蔡振龙" tooltip="https://client.qun.qq.com/qun_vote/javascript:;"/>
    <hyperlink ref="G60" r:id="rId2" display="柯常铝" tooltip="https://client.qun.qq.com/qun_vote/javascript:;"/>
    <hyperlink ref="G64" r:id="rId2" display="黄璟亮" tooltip="https://client.qun.qq.com/qun_vote/javascript:;"/>
    <hyperlink ref="G68" r:id="rId2" display="余飞" tooltip="https://client.qun.qq.com/qun_vote/javascript:;"/>
    <hyperlink ref="G71" r:id="rId2" display="杨草晖" tooltip="https://client.qun.qq.com/qun_vote/javascript:;"/>
    <hyperlink ref="G75" r:id="rId2" display="徐文锃" tooltip="https://client.qun.qq.com/qun_vote/javascript:;"/>
    <hyperlink ref="G79" r:id="rId2" display="周洋" tooltip="https://client.qun.qq.com/qun_vote/javascript:;"/>
    <hyperlink ref="G82" r:id="rId2" display="刘腾" tooltip="https://client.qun.qq.com/qun_vote/javascript:;"/>
    <hyperlink ref="G86" r:id="rId2" display="丁江" tooltip="https://client.qun.qq.com/qun_vote/javascript:;"/>
    <hyperlink ref="G90" r:id="rId2" display="毛永恒" tooltip="https://client.qun.qq.com/qun_vote/javascript:;"/>
    <hyperlink ref="G93" r:id="rId2" display="陈创业" tooltip="https://client.qun.qq.com/qun_vote/javascript:;"/>
    <hyperlink ref="G97" r:id="rId2" display="黄锐" tooltip="https://client.qun.qq.com/qun_vote/javascript:;"/>
    <hyperlink ref="G101" r:id="rId2" display="黄文辉" tooltip="https://client.qun.qq.com/qun_vote/javascript:;"/>
    <hyperlink ref="G104" r:id="rId2" display="张扬" tooltip="https://client.qun.qq.com/qun_vote/javascript:;"/>
    <hyperlink ref="G108" r:id="rId2" display="翁凯凯" tooltip="https://client.qun.qq.com/qun_vote/javascript:;"/>
    <hyperlink ref="G112" r:id="rId2" display="郭衍钢" tooltip="https://client.qun.qq.com/qun_vote/javascript:;"/>
    <hyperlink ref="G115" r:id="rId2" display="柯金梁" tooltip="https://client.qun.qq.com/qun_vote/javascript:;"/>
    <hyperlink ref="G119" r:id="rId2" display="项康乐" tooltip="https://client.qun.qq.com/qun_vote/javascript:;"/>
    <hyperlink ref="G123" r:id="rId2" display="马坚强" tooltip="https://client.qun.qq.com/qun_vote/javascript:;"/>
    <hyperlink ref="G126" r:id="rId2" display="冯俊" tooltip="https://client.qun.qq.com/qun_vote/javascript:;"/>
    <hyperlink ref="G130" r:id="rId2" display="陈相" tooltip="https://client.qun.qq.com/qun_vote/javascript:;"/>
    <hyperlink ref="G134" r:id="rId2" display="赵卓然" tooltip="https://client.qun.qq.com/qun_vote/javascript:;"/>
    <hyperlink ref="G137" r:id="rId2" display="胡栋杰" tooltip="https://client.qun.qq.com/qun_vote/javascript:;"/>
    <hyperlink ref="G141" r:id="rId2" display="费伟" tooltip="https://client.qun.qq.com/qun_vote/javascript:;"/>
    <hyperlink ref="G145" r:id="rId2" display="阮光强" tooltip="https://client.qun.qq.com/qun_vote/javascript:;"/>
    <hyperlink ref="G148" r:id="rId2" display="周美霖" tooltip="https://client.qun.qq.com/qun_vote/javascript:;"/>
    <hyperlink ref="H5" r:id="rId2" display="丁江涛" tooltip="https://client.qun.qq.com/qun_vote/javascript:;"/>
    <hyperlink ref="H9" r:id="rId2" display="舒成昌" tooltip="https://client.qun.qq.com/qun_vote/javascript:;"/>
    <hyperlink ref="H13" r:id="rId2" display="占玄辉" tooltip="https://client.qun.qq.com/qun_vote/javascript:;"/>
    <hyperlink ref="H16" r:id="rId2" display="阮光强" tooltip="https://client.qun.qq.com/qun_vote/javascript:;"/>
    <hyperlink ref="H20" r:id="rId2" display="李文霞" tooltip="https://client.qun.qq.com/qun_vote/javascript:;"/>
    <hyperlink ref="H24" r:id="rId2" display="熊立武" tooltip="https://client.qun.qq.com/qun_vote/javascript:;"/>
    <hyperlink ref="H27" r:id="rId2" display="乔坤" tooltip="https://client.qun.qq.com/qun_vote/javascript:;"/>
    <hyperlink ref="H31" r:id="rId2" display="余良成" tooltip="https://client.qun.qq.com/qun_vote/javascript:;"/>
    <hyperlink ref="H35" r:id="rId2" display="丁江" tooltip="https://client.qun.qq.com/qun_vote/javascript:;"/>
    <hyperlink ref="H38" r:id="rId2" display="涂天赐" tooltip="https://client.qun.qq.com/qun_vote/javascript:;"/>
    <hyperlink ref="H42" r:id="rId2" display="柯雨婷" tooltip="https://client.qun.qq.com/qun_vote/javascript:;"/>
    <hyperlink ref="H46" r:id="rId2" display="毛永恒" tooltip="https://client.qun.qq.com/qun_vote/javascript:;"/>
    <hyperlink ref="H49" r:id="rId2" display="冯俊" tooltip="https://client.qun.qq.com/qun_vote/javascript:;"/>
    <hyperlink ref="H53" r:id="rId2" display="杨草晖" tooltip="https://client.qun.qq.com/qun_vote/javascript:;"/>
    <hyperlink ref="H57" r:id="rId2" display="柯常铝" tooltip="https://client.qun.qq.com/qun_vote/javascript:;"/>
    <hyperlink ref="H60" r:id="rId2" display="柯宇豪" tooltip="https://client.qun.qq.com/qun_vote/javascript:;"/>
    <hyperlink ref="H64" r:id="rId2" display="蔡振龙" tooltip="https://client.qun.qq.com/qun_vote/javascript:;"/>
    <hyperlink ref="H68" r:id="rId2" display="周浩" tooltip="https://client.qun.qq.com/qun_vote/javascript:;"/>
    <hyperlink ref="H71" r:id="rId2" display="项康乐" tooltip="https://client.qun.qq.com/qun_vote/javascript:;"/>
    <hyperlink ref="H75" r:id="rId2" display="余飞" tooltip="https://client.qun.qq.com/qun_vote/javascript:;"/>
    <hyperlink ref="H79" r:id="rId2" display="刘腾" tooltip="https://client.qun.qq.com/qun_vote/javascript:;"/>
    <hyperlink ref="H82" r:id="rId2" display="郭衍钢" tooltip="https://client.qun.qq.com/qun_vote/javascript:;"/>
    <hyperlink ref="H86" r:id="rId2" display="黄文辉" tooltip="https://client.qun.qq.com/qun_vote/javascript:;"/>
    <hyperlink ref="H90" r:id="rId2" display="马坚强" tooltip="https://client.qun.qq.com/qun_vote/javascript:;"/>
    <hyperlink ref="H93" r:id="rId2" display="徐文锃" tooltip="https://client.qun.qq.com/qun_vote/javascript:;"/>
    <hyperlink ref="H97" r:id="rId2" display="朱磊" tooltip="https://client.qun.qq.com/qun_vote/javascript:;"/>
    <hyperlink ref="H101" r:id="rId2" display="吴自强" tooltip="https://client.qun.qq.com/qun_vote/javascript:;"/>
    <hyperlink ref="H104" r:id="rId2" display="赵卓然" tooltip="https://client.qun.qq.com/qun_vote/javascript:;"/>
    <hyperlink ref="H108" r:id="rId2" display="黄璟亮" tooltip="https://client.qun.qq.com/qun_vote/javascript:;"/>
    <hyperlink ref="H112" r:id="rId2" display="柯金梁" tooltip="https://client.qun.qq.com/qun_vote/javascript:;"/>
    <hyperlink ref="H115" r:id="rId2" display="费伟" tooltip="https://client.qun.qq.com/qun_vote/javascript:;"/>
    <hyperlink ref="H119" r:id="rId2" display="翁凯凯" tooltip="https://client.qun.qq.com/qun_vote/javascript:;"/>
    <hyperlink ref="H123" r:id="rId2" display="张扬" tooltip="https://client.qun.qq.com/qun_vote/javascript:;"/>
    <hyperlink ref="H126" r:id="rId2" display="陈创业" tooltip="https://client.qun.qq.com/qun_vote/javascript:;"/>
    <hyperlink ref="H130" r:id="rId2" display="黄锐" tooltip="https://client.qun.qq.com/qun_vote/javascript:;"/>
    <hyperlink ref="H134" r:id="rId2" display="胡栋杰" tooltip="https://client.qun.qq.com/qun_vote/javascript:;"/>
    <hyperlink ref="H137" r:id="rId2" display="周洋" tooltip="https://client.qun.qq.com/qun_vote/javascript:;"/>
    <hyperlink ref="H141" r:id="rId2" display="王思雨" tooltip="https://client.qun.qq.com/qun_vote/javascript:;"/>
    <hyperlink ref="H145" r:id="rId2" display="陈相" tooltip="https://client.qun.qq.com/qun_vote/javascript:;"/>
    <hyperlink ref="H148" r:id="rId2" display="周美霖" tooltip="https://client.qun.qq.com/qun_vote/javascript:;"/>
    <hyperlink ref="I5" r:id="rId2" display="周洋" tooltip="https://client.qun.qq.com/qun_vote/javascript:;"/>
    <hyperlink ref="I9" r:id="rId2" display="李文霞" tooltip="https://client.qun.qq.com/qun_vote/javascript:;"/>
    <hyperlink ref="I13" r:id="rId2" display="阮光强" tooltip="https://client.qun.qq.com/qun_vote/javascript:;"/>
    <hyperlink ref="I16" r:id="rId2" display="丁江涛" tooltip="https://client.qun.qq.com/qun_vote/javascript:;"/>
    <hyperlink ref="I20" r:id="rId2" display="乔坤" tooltip="https://client.qun.qq.com/qun_vote/javascript:;"/>
    <hyperlink ref="I24" r:id="rId2" display="舒成昌" tooltip="https://client.qun.qq.com/qun_vote/javascript:;"/>
    <hyperlink ref="I27" r:id="rId2" display="黄锐" tooltip="https://client.qun.qq.com/qun_vote/javascript:;"/>
    <hyperlink ref="I31" r:id="rId2" display="蔡振龙" tooltip="https://client.qun.qq.com/qun_vote/javascript:;"/>
    <hyperlink ref="I35" r:id="rId2" display="周浩" tooltip="https://client.qun.qq.com/qun_vote/javascript:;"/>
    <hyperlink ref="I38" r:id="rId2" display="陈创业" tooltip="https://client.qun.qq.com/qun_vote/javascript:;"/>
    <hyperlink ref="I42" r:id="rId2" display="王思雨" tooltip="https://client.qun.qq.com/qun_vote/javascript:;"/>
    <hyperlink ref="I46" r:id="rId2" display="柯宇豪" tooltip="https://client.qun.qq.com/qun_vote/javascript:;"/>
    <hyperlink ref="I49" r:id="rId2" display="杨草晖" tooltip="https://client.qun.qq.com/qun_vote/javascript:;"/>
    <hyperlink ref="I53" r:id="rId2" display="余飞" tooltip="https://client.qun.qq.com/qun_vote/javascript:;"/>
    <hyperlink ref="I57" r:id="rId2" display="涂天赐" tooltip="https://client.qun.qq.com/qun_vote/javascript:;"/>
    <hyperlink ref="I60" r:id="rId2" display="费伟" tooltip="https://client.qun.qq.com/qun_vote/javascript:;"/>
    <hyperlink ref="I64" r:id="rId2" display="徐文锃" tooltip="https://client.qun.qq.com/qun_vote/javascript:;"/>
    <hyperlink ref="I68" r:id="rId2" display="余良成" tooltip="https://client.qun.qq.com/qun_vote/javascript:;"/>
    <hyperlink ref="I71" r:id="rId2" display="朱磊" tooltip="https://client.qun.qq.com/qun_vote/javascript:;"/>
    <hyperlink ref="I75" r:id="rId2" display="熊立武" tooltip="https://client.qun.qq.com/qun_vote/javascript:;"/>
    <hyperlink ref="I79" r:id="rId2" display="丁江" tooltip="https://client.qun.qq.com/qun_vote/javascript:;"/>
    <hyperlink ref="I82" r:id="rId2" display="柯雨婷" tooltip="https://client.qun.qq.com/qun_vote/javascript:;"/>
    <hyperlink ref="I86" r:id="rId2" display="黄文辉" tooltip="https://client.qun.qq.com/qun_vote/javascript:;"/>
    <hyperlink ref="I90" r:id="rId2" display="毛永恒" tooltip="https://client.qun.qq.com/qun_vote/javascript:;"/>
    <hyperlink ref="I93" r:id="rId2" display="项康乐" tooltip="https://client.qun.qq.com/qun_vote/javascript:;"/>
    <hyperlink ref="I97" r:id="rId2" display="郭衍钢" tooltip="https://client.qun.qq.com/qun_vote/javascript:;"/>
    <hyperlink ref="I101" r:id="rId2" display="柯常铝" tooltip="https://client.qun.qq.com/qun_vote/javascript:;"/>
    <hyperlink ref="I104" r:id="rId2" display="赵卓然" tooltip="https://client.qun.qq.com/qun_vote/javascript:;"/>
    <hyperlink ref="I108" r:id="rId2" display="吴自强" tooltip="https://client.qun.qq.com/qun_vote/javascript:;"/>
    <hyperlink ref="I112" r:id="rId2" display="胡栋杰" tooltip="https://client.qun.qq.com/qun_vote/javascript:;"/>
    <hyperlink ref="I115" r:id="rId2" display="冯俊" tooltip="https://client.qun.qq.com/qun_vote/javascript:;"/>
    <hyperlink ref="I119" r:id="rId2" display="黄璟亮" tooltip="https://client.qun.qq.com/qun_vote/javascript:;"/>
    <hyperlink ref="I123" r:id="rId2" display="张扬" tooltip="https://client.qun.qq.com/qun_vote/javascript:;"/>
    <hyperlink ref="I126" r:id="rId2" display="刘腾" tooltip="https://client.qun.qq.com/qun_vote/javascript:;"/>
    <hyperlink ref="I130" r:id="rId2" display="马坚强" tooltip="https://client.qun.qq.com/qun_vote/javascript:;"/>
    <hyperlink ref="I134" r:id="rId2" display="翁凯凯" tooltip="https://client.qun.qq.com/qun_vote/javascript:;"/>
    <hyperlink ref="I137" r:id="rId2" display="占玄辉" tooltip="https://client.qun.qq.com/qun_vote/javascript:;"/>
    <hyperlink ref="I141" r:id="rId2" display="陈相" tooltip="https://client.qun.qq.com/qun_vote/javascript:;"/>
    <hyperlink ref="I145" r:id="rId2" display="柯金梁" tooltip="https://client.qun.qq.com/qun_vote/javascript:;"/>
    <hyperlink ref="I148" r:id="rId2" display="周美霖" tooltip="https://client.qun.qq.com/qun_vote/javascript:;"/>
    <hyperlink ref="J5" r:id="rId2" display="王思雨" tooltip="https://client.qun.qq.com/qun_vote/javascript:;"/>
    <hyperlink ref="J9" r:id="rId2" display="涂天赐" tooltip="https://client.qun.qq.com/qun_vote/javascript:;"/>
    <hyperlink ref="J13" r:id="rId2" display="李文霞" tooltip="https://client.qun.qq.com/qun_vote/javascript:;"/>
    <hyperlink ref="J16" r:id="rId2" display="蔡振龙" tooltip="https://client.qun.qq.com/qun_vote/javascript:;"/>
    <hyperlink ref="J20" r:id="rId2" display="舒成昌" tooltip="https://client.qun.qq.com/qun_vote/javascript:;"/>
    <hyperlink ref="J24" r:id="rId2" display="周洋" tooltip="https://client.qun.qq.com/qun_vote/javascript:;"/>
    <hyperlink ref="J27" r:id="rId2" display="黄锐" tooltip="https://client.qun.qq.com/qun_vote/javascript:;"/>
    <hyperlink ref="J31" r:id="rId2" display="毛永恒" tooltip="https://client.qun.qq.com/qun_vote/javascript:;"/>
    <hyperlink ref="J35" r:id="rId2" display="丁江涛" tooltip="https://client.qun.qq.com/qun_vote/javascript:;"/>
    <hyperlink ref="J38" r:id="rId2" display="朱磊" tooltip="https://client.qun.qq.com/qun_vote/javascript:;"/>
    <hyperlink ref="J42" r:id="rId2" display="杨草晖" tooltip="https://client.qun.qq.com/qun_vote/javascript:;"/>
    <hyperlink ref="J46" r:id="rId2" display="乔坤" tooltip="https://client.qun.qq.com/qun_vote/javascript:;"/>
    <hyperlink ref="J49" r:id="rId2" display="余飞" tooltip="https://client.qun.qq.com/qun_vote/javascript:;"/>
    <hyperlink ref="J53" r:id="rId2" display="柯雨婷" tooltip="https://client.qun.qq.com/qun_vote/javascript:;"/>
    <hyperlink ref="J57" r:id="rId2" display="吴自强" tooltip="https://client.qun.qq.com/qun_vote/javascript:;"/>
    <hyperlink ref="J60" r:id="rId2" display="丁江" tooltip="https://client.qun.qq.com/qun_vote/javascript:;"/>
    <hyperlink ref="J64" r:id="rId2" display="柯常铝" tooltip="https://client.qun.qq.com/qun_vote/javascript:;"/>
    <hyperlink ref="J68" r:id="rId2" display="余良成" tooltip="https://client.qun.qq.com/qun_vote/javascript:;"/>
    <hyperlink ref="J71" r:id="rId2" display="翁凯凯" tooltip="https://client.qun.qq.com/qun_vote/javascript:;"/>
    <hyperlink ref="J75" r:id="rId2" display="项康乐" tooltip="https://client.qun.qq.com/qun_vote/javascript:;"/>
    <hyperlink ref="J79" r:id="rId2" display="柯宇豪" tooltip="https://client.qun.qq.com/qun_vote/javascript:;"/>
    <hyperlink ref="J82" r:id="rId2" display="周浩" tooltip="https://client.qun.qq.com/qun_vote/javascript:;"/>
    <hyperlink ref="J86" r:id="rId2" display="胡栋杰" tooltip="https://client.qun.qq.com/qun_vote/javascript:;"/>
    <hyperlink ref="J90" r:id="rId2" display="费伟" tooltip="https://client.qun.qq.com/qun_vote/javascript:;"/>
    <hyperlink ref="J93" r:id="rId2" display="黄璟亮" tooltip="https://client.qun.qq.com/qun_vote/javascript:;"/>
    <hyperlink ref="J97" r:id="rId2" display="赵卓然" tooltip="https://client.qun.qq.com/qun_vote/javascript:;"/>
    <hyperlink ref="J101" r:id="rId2" display="陈相" tooltip="https://client.qun.qq.com/qun_vote/javascript:;"/>
    <hyperlink ref="J104" r:id="rId2" display="黄文辉" tooltip="https://client.qun.qq.com/qun_vote/javascript:;"/>
    <hyperlink ref="J108" r:id="rId2" display="冯俊" tooltip="https://client.qun.qq.com/qun_vote/javascript:;"/>
    <hyperlink ref="J112" r:id="rId2" display="徐文锃" tooltip="https://client.qun.qq.com/qun_vote/javascript:;"/>
    <hyperlink ref="J115" r:id="rId2" display="郭衍钢" tooltip="https://client.qun.qq.com/qun_vote/javascript:;"/>
    <hyperlink ref="J119" r:id="rId2" display="柯金梁" tooltip="https://client.qun.qq.com/qun_vote/javascript:;"/>
    <hyperlink ref="J123" r:id="rId2" display="马坚强" tooltip="https://client.qun.qq.com/qun_vote/javascript:;"/>
    <hyperlink ref="J126" r:id="rId2" display="刘腾" tooltip="https://client.qun.qq.com/qun_vote/javascript:;"/>
    <hyperlink ref="J130" r:id="rId2" display="阮光强" tooltip="https://client.qun.qq.com/qun_vote/javascript:;"/>
    <hyperlink ref="J134" r:id="rId2" display="熊立武" tooltip="https://client.qun.qq.com/qun_vote/javascript:;"/>
    <hyperlink ref="J137" r:id="rId2" display="陈创业" tooltip="https://client.qun.qq.com/qun_vote/javascript:;"/>
    <hyperlink ref="J141" r:id="rId2" display="占玄辉" tooltip="https://client.qun.qq.com/qun_vote/javascript:;"/>
    <hyperlink ref="J145" r:id="rId2" display="张扬" tooltip="https://client.qun.qq.com/qun_vote/javascript:;"/>
    <hyperlink ref="J148" r:id="rId2" display="周美霖" tooltip="https://client.qun.qq.com/qun_vote/javascript:;"/>
  </hyperlinks>
  <pageMargins left="0.75" right="0.75" top="1" bottom="1" header="0.5" footer="0.5"/>
  <pageSetup paperSize="9" orientation="portrait"/>
  <headerFooter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B10"/>
  <sheetViews>
    <sheetView tabSelected="1" workbookViewId="0">
      <selection activeCell="B1" sqref="B1"/>
    </sheetView>
  </sheetViews>
  <sheetFormatPr defaultColWidth="0" defaultRowHeight="13.5" zeroHeight="1" outlineLevelCol="1"/>
  <cols>
    <col min="1" max="1" width="18.25" style="2" customWidth="1"/>
    <col min="2" max="2" width="14" style="2" customWidth="1"/>
    <col min="3" max="3" width="9" style="2" hidden="1" customWidth="1"/>
    <col min="4" max="16384" width="9" style="2" hidden="1"/>
  </cols>
  <sheetData>
    <row r="1" spans="1:2">
      <c r="A1" s="3" t="s">
        <v>330</v>
      </c>
      <c r="B1" s="4" t="s">
        <v>331</v>
      </c>
    </row>
    <row r="2" spans="1:2">
      <c r="A2" s="3" t="s">
        <v>332</v>
      </c>
      <c r="B2" s="3" t="str">
        <f>DATA!$A$1</f>
        <v>21.02.04</v>
      </c>
    </row>
    <row r="3" s="1" customFormat="1" spans="1:2">
      <c r="A3" s="5" t="s">
        <v>333</v>
      </c>
      <c r="B3" s="5">
        <v>44231.8367592593</v>
      </c>
    </row>
    <row r="4" spans="1:2">
      <c r="A4" s="6"/>
      <c r="B4" s="6"/>
    </row>
    <row r="5" spans="1:2">
      <c r="A5" s="6"/>
      <c r="B5" s="6"/>
    </row>
    <row r="6" spans="1:2">
      <c r="A6" s="6"/>
      <c r="B6" s="6"/>
    </row>
    <row r="7" spans="1:2">
      <c r="A7" s="6"/>
      <c r="B7" s="6"/>
    </row>
    <row r="8" spans="1:2">
      <c r="A8" s="6"/>
      <c r="B8" s="6"/>
    </row>
    <row r="9" spans="1:2">
      <c r="A9" s="6"/>
      <c r="B9" s="6"/>
    </row>
    <row r="10" spans="1:2">
      <c r="A10" s="6"/>
      <c r="B10" s="6"/>
    </row>
  </sheetData>
  <pageMargins left="0.75" right="0.75" top="1" bottom="1" header="0.5" footer="0.5"/>
  <headerFooter/>
  <drawing r:id="rId1"/>
  <legacyDrawing r:id="rId2"/>
  <controls>
    <mc:AlternateContent xmlns:mc="http://schemas.openxmlformats.org/markup-compatibility/2006">
      <mc:Choice Requires="x14">
        <control shapeId="9217" r:id="rId3" name="Software_Update">
          <controlPr defaultSize="0" r:id="rId4">
            <anchor moveWithCells="1">
              <from>
                <xdr:col>0</xdr:col>
                <xdr:colOff>295275</xdr:colOff>
                <xdr:row>8</xdr:row>
                <xdr:rowOff>66675</xdr:rowOff>
              </from>
              <to>
                <xdr:col>1</xdr:col>
                <xdr:colOff>342900</xdr:colOff>
                <xdr:row>9</xdr:row>
                <xdr:rowOff>152400</xdr:rowOff>
              </to>
            </anchor>
          </controlPr>
        </control>
      </mc:Choice>
      <mc:Fallback>
        <control shapeId="9217" r:id="rId3" name="Software_Update"/>
      </mc:Fallback>
    </mc:AlternateContent>
    <mc:AlternateContent xmlns:mc="http://schemas.openxmlformats.org/markup-compatibility/2006">
      <mc:Choice Requires="x14">
        <control shapeId="9218" r:id="rId5" name="Data_Update">
          <controlPr defaultSize="0" r:id="rId6">
            <anchor moveWithCells="1">
              <from>
                <xdr:col>0</xdr:col>
                <xdr:colOff>295275</xdr:colOff>
                <xdr:row>6</xdr:row>
                <xdr:rowOff>123825</xdr:rowOff>
              </from>
              <to>
                <xdr:col>1</xdr:col>
                <xdr:colOff>342900</xdr:colOff>
                <xdr:row>8</xdr:row>
                <xdr:rowOff>38100</xdr:rowOff>
              </to>
            </anchor>
          </controlPr>
        </control>
      </mc:Choice>
      <mc:Fallback>
        <control shapeId="9218" r:id="rId5" name="Data_Upd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每日审计</vt:lpstr>
      <vt:lpstr>月度分析</vt:lpstr>
      <vt:lpstr>API2</vt:lpstr>
      <vt:lpstr>API1</vt:lpstr>
      <vt:lpstr>DATA</vt:lpstr>
      <vt:lpstr>控制台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*^_^*</cp:lastModifiedBy>
  <dcterms:created xsi:type="dcterms:W3CDTF">2020-02-22T11:01:00Z</dcterms:created>
  <dcterms:modified xsi:type="dcterms:W3CDTF">2021-02-04T12:05:09Z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2052-11.1.0.10314</vt:lpwstr>
  </property>
</Properties>
</file>