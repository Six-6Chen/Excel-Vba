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00" windowHeight="8460" tabRatio="862"/>
  </bookViews>
  <sheets>
    <sheet name="每日审计" sheetId="1" r:id="rId1"/>
    <sheet name="月度分析" sheetId="2" r:id="rId2"/>
    <sheet name="API2" sheetId="3" state="hidden" r:id="rId3"/>
    <sheet name="API1" sheetId="4" state="hidden" r:id="rId4"/>
    <sheet name="DATA" sheetId="5" r:id="rId5"/>
    <sheet name="控制台" sheetId="7" r:id="rId6"/>
  </sheets>
  <definedNames>
    <definedName name="_xlnm._FilterDatabase" localSheetId="0" hidden="1">每日审计!#REF!</definedName>
    <definedName name="_xlnm.Criteria" localSheetId="0">每日审计!#REF!</definedName>
    <definedName name="_xlnm.Extract" localSheetId="0">每日审计!#REF!</definedName>
  </definedNames>
  <calcPr calcId="144525"/>
</workbook>
</file>

<file path=xl/sharedStrings.xml><?xml version="1.0" encoding="utf-8"?>
<sst xmlns="http://schemas.openxmlformats.org/spreadsheetml/2006/main" count="1305" uniqueCount="519">
  <si>
    <t>往期查询(如果未刷新请按F9)</t>
  </si>
  <si>
    <t>下方输入查询时间并回车即可自动查询</t>
  </si>
  <si>
    <t>未索引数据将在下方显示</t>
  </si>
  <si>
    <t>缺报</t>
  </si>
  <si>
    <t>上报</t>
  </si>
  <si>
    <t>应报</t>
  </si>
  <si>
    <t>输入公历年</t>
  </si>
  <si>
    <t>输入月份</t>
  </si>
  <si>
    <t>输入日期</t>
  </si>
  <si>
    <t>月平均上报率分布图</t>
  </si>
  <si>
    <t>未上报总数</t>
  </si>
  <si>
    <t>上报总数</t>
  </si>
  <si>
    <t>平均上报率</t>
  </si>
  <si>
    <t>年</t>
  </si>
  <si>
    <t>月</t>
  </si>
  <si>
    <t>出勤总计分析</t>
  </si>
  <si>
    <t>FLASE</t>
  </si>
  <si>
    <t>TURE</t>
  </si>
  <si>
    <t>排名因子</t>
  </si>
  <si>
    <t>排名</t>
  </si>
  <si>
    <t>当月出勤率</t>
  </si>
  <si>
    <t>ID/总计</t>
  </si>
  <si>
    <t>蔡振龙</t>
  </si>
  <si>
    <t>分布</t>
  </si>
  <si>
    <t>余飞</t>
  </si>
  <si>
    <t>阮光强</t>
  </si>
  <si>
    <t>总数</t>
  </si>
  <si>
    <t>马坚强</t>
  </si>
  <si>
    <t>0%-20%</t>
  </si>
  <si>
    <t>丁江涛</t>
  </si>
  <si>
    <t>20%-40%</t>
  </si>
  <si>
    <t>赵卓然</t>
  </si>
  <si>
    <t>40%-60%</t>
  </si>
  <si>
    <t>柯金梁</t>
  </si>
  <si>
    <t>60%-80%</t>
  </si>
  <si>
    <t>翁凯凯</t>
  </si>
  <si>
    <t>80%-100%</t>
  </si>
  <si>
    <t>黄锐</t>
  </si>
  <si>
    <t>李文霞</t>
  </si>
  <si>
    <t>舒成昌</t>
  </si>
  <si>
    <t>刘腾</t>
  </si>
  <si>
    <t>项康乐</t>
  </si>
  <si>
    <t>朱磊</t>
  </si>
  <si>
    <t>乔坤</t>
  </si>
  <si>
    <t>吴自强</t>
  </si>
  <si>
    <t>黄璟亮</t>
  </si>
  <si>
    <t>周浩</t>
  </si>
  <si>
    <t>费伟</t>
  </si>
  <si>
    <t>毛永恒</t>
  </si>
  <si>
    <t>郭衍钢</t>
  </si>
  <si>
    <t>张扬</t>
  </si>
  <si>
    <t>周美霖</t>
  </si>
  <si>
    <t>柯常铝</t>
  </si>
  <si>
    <t>余良成</t>
  </si>
  <si>
    <t>黄文辉</t>
  </si>
  <si>
    <t>冯俊</t>
  </si>
  <si>
    <t>陈创业</t>
  </si>
  <si>
    <t>丁江</t>
  </si>
  <si>
    <t>杨草晖</t>
  </si>
  <si>
    <t>涂天赐</t>
  </si>
  <si>
    <t>柯雨婷</t>
  </si>
  <si>
    <t>徐文锃</t>
  </si>
  <si>
    <t>胡栋杰</t>
  </si>
  <si>
    <t>熊立武</t>
  </si>
  <si>
    <t>陈相</t>
  </si>
  <si>
    <t>柯宇豪</t>
  </si>
  <si>
    <t>占玄辉</t>
  </si>
  <si>
    <t>周洋</t>
  </si>
  <si>
    <t>王思雨</t>
  </si>
  <si>
    <t>陈纳森</t>
  </si>
  <si>
    <t>请勿随意更改此目录</t>
  </si>
  <si>
    <t>工作日调配</t>
  </si>
  <si>
    <t>作</t>
  </si>
  <si>
    <t>21.02.09</t>
  </si>
  <si>
    <t xml:space="preserve">   提交更改请撤销保护并输入密码   提交更改请撤销保护并输入密码</t>
  </si>
  <si>
    <t>核实名单</t>
  </si>
  <si>
    <t>星期四</t>
  </si>
  <si>
    <t>星期五</t>
  </si>
  <si>
    <t>星期六</t>
  </si>
  <si>
    <t>星期日</t>
  </si>
  <si>
    <t>星期一</t>
  </si>
  <si>
    <t>星期二</t>
  </si>
  <si>
    <t>星期三</t>
  </si>
  <si>
    <t>01-29 19:06</t>
  </si>
  <si>
    <t>01-30 14:16</t>
  </si>
  <si>
    <t>01-30 15:08</t>
  </si>
  <si>
    <t>01-30 14:39</t>
  </si>
  <si>
    <t>02-02 12:23</t>
  </si>
  <si>
    <t>02-03 15:38</t>
  </si>
  <si>
    <t>02-04 11:21</t>
  </si>
  <si>
    <t>02-05 13:08</t>
  </si>
  <si>
    <t>02-06 13:13</t>
  </si>
  <si>
    <t>02-07 14:00</t>
  </si>
  <si>
    <t>02-08 16:37</t>
  </si>
  <si>
    <t>02-09 12:37</t>
  </si>
  <si>
    <t>01-29 14:27</t>
  </si>
  <si>
    <t>01-30 14:09</t>
  </si>
  <si>
    <t>01-30 15:01</t>
  </si>
  <si>
    <t>01-30 12:07</t>
  </si>
  <si>
    <t>02-02 12:21</t>
  </si>
  <si>
    <t>02-03 12:07</t>
  </si>
  <si>
    <t>02-04 10:37</t>
  </si>
  <si>
    <t>02-05 12:37</t>
  </si>
  <si>
    <t>02-06 13:08</t>
  </si>
  <si>
    <t>02-07 12:01</t>
  </si>
  <si>
    <t>02-08 13:41</t>
  </si>
  <si>
    <t>02-09 12:36</t>
  </si>
  <si>
    <t>01-29 13:44</t>
  </si>
  <si>
    <t>01-30 13:20</t>
  </si>
  <si>
    <t>01-30 13:11</t>
  </si>
  <si>
    <t>01-30 11:52</t>
  </si>
  <si>
    <t>02-02 12:18</t>
  </si>
  <si>
    <t>02-03 12:06</t>
  </si>
  <si>
    <t>02-04 10:31</t>
  </si>
  <si>
    <t>02-05 12:32</t>
  </si>
  <si>
    <t>02-06 13:04</t>
  </si>
  <si>
    <t>02-07 11:48</t>
  </si>
  <si>
    <t>02-08 12:38</t>
  </si>
  <si>
    <t>02-09 12:05</t>
  </si>
  <si>
    <t>01-29 13:30</t>
  </si>
  <si>
    <t>01-30 12:27</t>
  </si>
  <si>
    <t>01-30 13:08</t>
  </si>
  <si>
    <t>01-30 11:50</t>
  </si>
  <si>
    <t>02-02 12:03</t>
  </si>
  <si>
    <t>02-03 11:49</t>
  </si>
  <si>
    <t>02-04 10:27</t>
  </si>
  <si>
    <t>02-05 12:02</t>
  </si>
  <si>
    <t>02-07 11:40</t>
  </si>
  <si>
    <t>02-08 12:15</t>
  </si>
  <si>
    <t>02-09 11:27</t>
  </si>
  <si>
    <t>01-29 12:44</t>
  </si>
  <si>
    <t>01-30 12:25</t>
  </si>
  <si>
    <t>01-30 12:50</t>
  </si>
  <si>
    <t>01-30 11:45</t>
  </si>
  <si>
    <t>02-02 11:56</t>
  </si>
  <si>
    <t>02-03 11:47</t>
  </si>
  <si>
    <t>02-04 10:26</t>
  </si>
  <si>
    <t>02-05 12:00</t>
  </si>
  <si>
    <t>02-06 12:56</t>
  </si>
  <si>
    <t>02-07 11:39</t>
  </si>
  <si>
    <t>02-08 12:09</t>
  </si>
  <si>
    <t>02-09 10:52</t>
  </si>
  <si>
    <t>01-29 12:25</t>
  </si>
  <si>
    <t>01-30 12:10</t>
  </si>
  <si>
    <t>01-30 12:14</t>
  </si>
  <si>
    <t>01-30 11:31</t>
  </si>
  <si>
    <t>02-02 11:48</t>
  </si>
  <si>
    <t>02-03 11:31</t>
  </si>
  <si>
    <t>02-04 10:23</t>
  </si>
  <si>
    <t>02-06 11:39</t>
  </si>
  <si>
    <t>02-07 11:32</t>
  </si>
  <si>
    <t>02-08 11:29</t>
  </si>
  <si>
    <t>02-09 10:40</t>
  </si>
  <si>
    <t>01-29 12:24</t>
  </si>
  <si>
    <t>01-30 11:44</t>
  </si>
  <si>
    <t>01-30 12:11</t>
  </si>
  <si>
    <t>02-02 11:23</t>
  </si>
  <si>
    <t>02-03 11:08</t>
  </si>
  <si>
    <t>02-04 09:52</t>
  </si>
  <si>
    <t>02-05 11:59</t>
  </si>
  <si>
    <t>02-06 11:13</t>
  </si>
  <si>
    <t>02-07 11:13</t>
  </si>
  <si>
    <t>02-08 11:09</t>
  </si>
  <si>
    <t>02-09 10:37</t>
  </si>
  <si>
    <t>01-29 12:15</t>
  </si>
  <si>
    <t>01-30 11:39</t>
  </si>
  <si>
    <t>02-02 10:34</t>
  </si>
  <si>
    <t>02-03 11:06</t>
  </si>
  <si>
    <t>02-06 11:12</t>
  </si>
  <si>
    <t>02-07 11:08</t>
  </si>
  <si>
    <t>02-08 11:02</t>
  </si>
  <si>
    <t>02-09 10:18</t>
  </si>
  <si>
    <t>01-29 12:13</t>
  </si>
  <si>
    <t>01-30 11:48</t>
  </si>
  <si>
    <t>01-30 11:28</t>
  </si>
  <si>
    <t>02-02 10:33</t>
  </si>
  <si>
    <t>02-03 10:42</t>
  </si>
  <si>
    <t>02-04 09:48</t>
  </si>
  <si>
    <t>02-06 10:55</t>
  </si>
  <si>
    <t>02-07 11:07</t>
  </si>
  <si>
    <t>02-08 10:48</t>
  </si>
  <si>
    <t>02-09 10:11</t>
  </si>
  <si>
    <t>01-29 11:21</t>
  </si>
  <si>
    <t>01-30 11:32</t>
  </si>
  <si>
    <t>01-30 11:37</t>
  </si>
  <si>
    <t>01-30 11:10</t>
  </si>
  <si>
    <t>02-02 10:26</t>
  </si>
  <si>
    <t>02-03 10:40</t>
  </si>
  <si>
    <t>02-04 09:47</t>
  </si>
  <si>
    <t>02-06 10:54</t>
  </si>
  <si>
    <t>02-07 11:01</t>
  </si>
  <si>
    <t>02-09 10:02</t>
  </si>
  <si>
    <t>01-30 11:09</t>
  </si>
  <si>
    <t>01-30 10:56</t>
  </si>
  <si>
    <t>02-02 10:25</t>
  </si>
  <si>
    <t>02-05 11:30</t>
  </si>
  <si>
    <t>02-06 10:25</t>
  </si>
  <si>
    <t>02-07 11:00</t>
  </si>
  <si>
    <t>02-08 10:14</t>
  </si>
  <si>
    <t>02-09 09:47</t>
  </si>
  <si>
    <t>01-29 11:14</t>
  </si>
  <si>
    <t>01-30 11:30</t>
  </si>
  <si>
    <t>01-30 11:03</t>
  </si>
  <si>
    <t>01-30 10:14</t>
  </si>
  <si>
    <t>02-02 10:07</t>
  </si>
  <si>
    <t>02-03 10:01</t>
  </si>
  <si>
    <t>02-04 09:31</t>
  </si>
  <si>
    <t>02-05 11:15</t>
  </si>
  <si>
    <t>02-06 10:13</t>
  </si>
  <si>
    <t>02-07 10:55</t>
  </si>
  <si>
    <t>02-08 10:04</t>
  </si>
  <si>
    <t>02-09 09:43</t>
  </si>
  <si>
    <t>01-29 10:52</t>
  </si>
  <si>
    <t>01-30 11:25</t>
  </si>
  <si>
    <t>01-30 10:29</t>
  </si>
  <si>
    <t>01-30 10:09</t>
  </si>
  <si>
    <t>02-02 10:01</t>
  </si>
  <si>
    <t>02-03 09:49</t>
  </si>
  <si>
    <t>02-04 09:10</t>
  </si>
  <si>
    <t>02-05 10:34</t>
  </si>
  <si>
    <t>02-06 10:11</t>
  </si>
  <si>
    <t>02-07 10:32</t>
  </si>
  <si>
    <t>02-08 09:42</t>
  </si>
  <si>
    <t>02-09 09:31</t>
  </si>
  <si>
    <t>01-29 10:31</t>
  </si>
  <si>
    <t>01-30 10:08</t>
  </si>
  <si>
    <t>02-02 10:00</t>
  </si>
  <si>
    <t>02-03 09:37</t>
  </si>
  <si>
    <t>02-04 08:56</t>
  </si>
  <si>
    <t>02-05 10:28</t>
  </si>
  <si>
    <t>02-06 09:55</t>
  </si>
  <si>
    <t>02-07 09:52</t>
  </si>
  <si>
    <t>02-08 09:37</t>
  </si>
  <si>
    <t>02-09 09:19</t>
  </si>
  <si>
    <t>01-29 10:10</t>
  </si>
  <si>
    <t>01-30 11:04</t>
  </si>
  <si>
    <t>01-30 09:50</t>
  </si>
  <si>
    <t>01-30 09:56</t>
  </si>
  <si>
    <t>02-02 09:51</t>
  </si>
  <si>
    <t>02-03 09:32</t>
  </si>
  <si>
    <t>02-04 08:54</t>
  </si>
  <si>
    <t>02-05 10:22</t>
  </si>
  <si>
    <t>02-06 09:39</t>
  </si>
  <si>
    <t>02-07 09:51</t>
  </si>
  <si>
    <t>02-08 09:32</t>
  </si>
  <si>
    <t>02-09 09:10</t>
  </si>
  <si>
    <t>01-29 10:05</t>
  </si>
  <si>
    <t>01-30 10:58</t>
  </si>
  <si>
    <t>01-30 09:41</t>
  </si>
  <si>
    <t>01-30 09:51</t>
  </si>
  <si>
    <t>02-02 09:40</t>
  </si>
  <si>
    <t>02-03 09:30</t>
  </si>
  <si>
    <t>02-04 08:52</t>
  </si>
  <si>
    <t>02-05 10:13</t>
  </si>
  <si>
    <t>02-06 09:38</t>
  </si>
  <si>
    <t>02-07 09:46</t>
  </si>
  <si>
    <t>02-08 09:30</t>
  </si>
  <si>
    <t>02-09 09:03</t>
  </si>
  <si>
    <t>01-29 09:54</t>
  </si>
  <si>
    <t>01-30 10:06</t>
  </si>
  <si>
    <t>01-30 09:38</t>
  </si>
  <si>
    <t>01-30 09:37</t>
  </si>
  <si>
    <t>02-02 09:36</t>
  </si>
  <si>
    <t>02-03 09:27</t>
  </si>
  <si>
    <t>02-04 08:49</t>
  </si>
  <si>
    <t>02-05 10:07</t>
  </si>
  <si>
    <t>02-06 09:32</t>
  </si>
  <si>
    <t>02-07 09:36</t>
  </si>
  <si>
    <t>02-08 09:25</t>
  </si>
  <si>
    <t>02-09 08:51</t>
  </si>
  <si>
    <t>01-29 09:53</t>
  </si>
  <si>
    <t>01-30 09:12</t>
  </si>
  <si>
    <t>01-30 09:34</t>
  </si>
  <si>
    <t>01-30 09:32</t>
  </si>
  <si>
    <t>02-02 09:35</t>
  </si>
  <si>
    <t>02-03 09:20</t>
  </si>
  <si>
    <t>02-04 08:48</t>
  </si>
  <si>
    <t>02-05 10:04</t>
  </si>
  <si>
    <t>02-06 09:25</t>
  </si>
  <si>
    <t>02-07 09:30</t>
  </si>
  <si>
    <t>02-08 09:17</t>
  </si>
  <si>
    <t>02-09 08:43</t>
  </si>
  <si>
    <t>01-30 09:10</t>
  </si>
  <si>
    <t>01-30 09:31</t>
  </si>
  <si>
    <t>01-30 09:30</t>
  </si>
  <si>
    <t>02-04 08:37</t>
  </si>
  <si>
    <t>02-05 10:00</t>
  </si>
  <si>
    <t>02-06 09:14</t>
  </si>
  <si>
    <t>02-07 09:27</t>
  </si>
  <si>
    <t>02-08 09:15</t>
  </si>
  <si>
    <t>02-09 08:42</t>
  </si>
  <si>
    <t>01-29 09:24</t>
  </si>
  <si>
    <t>01-30 08:56</t>
  </si>
  <si>
    <t>01-30 09:14</t>
  </si>
  <si>
    <t>01-30 09:26</t>
  </si>
  <si>
    <t>02-02 09:16</t>
  </si>
  <si>
    <t>02-03 09:11</t>
  </si>
  <si>
    <t>02-04 08:24</t>
  </si>
  <si>
    <t>02-05 09:44</t>
  </si>
  <si>
    <t>02-06 09:03</t>
  </si>
  <si>
    <t>02-07 09:16</t>
  </si>
  <si>
    <t>02-08 09:14</t>
  </si>
  <si>
    <t>02-09 08:38</t>
  </si>
  <si>
    <t>01-29 09:16</t>
  </si>
  <si>
    <t>01-30 08:42</t>
  </si>
  <si>
    <t>01-30 09:11</t>
  </si>
  <si>
    <t>02-02 09:13</t>
  </si>
  <si>
    <t>02-03 09:09</t>
  </si>
  <si>
    <t>02-04 08:10</t>
  </si>
  <si>
    <t>02-05 09:33</t>
  </si>
  <si>
    <t>02-07 09:14</t>
  </si>
  <si>
    <t>02-09 08:35</t>
  </si>
  <si>
    <t>01-29 09:02</t>
  </si>
  <si>
    <t>01-30 08:28</t>
  </si>
  <si>
    <t>01-30 09:05</t>
  </si>
  <si>
    <t>01-30 09:25</t>
  </si>
  <si>
    <t>02-02 09:00</t>
  </si>
  <si>
    <t>02-03 09:03</t>
  </si>
  <si>
    <t>02-04 08:09</t>
  </si>
  <si>
    <t>02-05 09:24</t>
  </si>
  <si>
    <t>02-06 08:58</t>
  </si>
  <si>
    <t>02-07 09:11</t>
  </si>
  <si>
    <t>02-08 08:53</t>
  </si>
  <si>
    <t>02-09 08:23</t>
  </si>
  <si>
    <t>01-29 08:53</t>
  </si>
  <si>
    <t>01-30 08:20</t>
  </si>
  <si>
    <t>01-30 09:04</t>
  </si>
  <si>
    <t>02-03 08:34</t>
  </si>
  <si>
    <t>02-04 08:05</t>
  </si>
  <si>
    <t>02-05 09:17</t>
  </si>
  <si>
    <t>02-06 08:57</t>
  </si>
  <si>
    <t>02-07 08:50</t>
  </si>
  <si>
    <t>02-08 08:52</t>
  </si>
  <si>
    <t>02-09 08:20</t>
  </si>
  <si>
    <t>01-29 08:51</t>
  </si>
  <si>
    <t>01-30 08:18</t>
  </si>
  <si>
    <t>01-30 09:00</t>
  </si>
  <si>
    <t>01-30 09:06</t>
  </si>
  <si>
    <t>02-02 08:54</t>
  </si>
  <si>
    <t>02-03 08:31</t>
  </si>
  <si>
    <t>02-04 08:04</t>
  </si>
  <si>
    <t>02-05 09:09</t>
  </si>
  <si>
    <t>02-06 08:56</t>
  </si>
  <si>
    <t>02-07 08:45</t>
  </si>
  <si>
    <t>02-08 08:51</t>
  </si>
  <si>
    <t>02-09 08:19</t>
  </si>
  <si>
    <t>01-29 08:34</t>
  </si>
  <si>
    <t>01-30 08:10</t>
  </si>
  <si>
    <t>01-30 08:41</t>
  </si>
  <si>
    <t>02-03 08:24</t>
  </si>
  <si>
    <t>02-04 07:56</t>
  </si>
  <si>
    <t>02-05 09:02</t>
  </si>
  <si>
    <t>02-06 08:47</t>
  </si>
  <si>
    <t>02-07 08:41</t>
  </si>
  <si>
    <t>02-09 08:18</t>
  </si>
  <si>
    <t>01-29 08:18</t>
  </si>
  <si>
    <t>01-30 08:08</t>
  </si>
  <si>
    <t>01-30 08:37</t>
  </si>
  <si>
    <t>01-30 08:32</t>
  </si>
  <si>
    <t>02-02 08:35</t>
  </si>
  <si>
    <t>02-03 08:17</t>
  </si>
  <si>
    <t>02-04 07:50</t>
  </si>
  <si>
    <t>02-05 08:57</t>
  </si>
  <si>
    <t>02-06 08:33</t>
  </si>
  <si>
    <t>02-07 08:35</t>
  </si>
  <si>
    <t>02-08 08:47</t>
  </si>
  <si>
    <t>02-09 08:17</t>
  </si>
  <si>
    <t>01-29 08:11</t>
  </si>
  <si>
    <t>01-30 07:58</t>
  </si>
  <si>
    <t>01-30 08:27</t>
  </si>
  <si>
    <t>02-02 08:30</t>
  </si>
  <si>
    <t>02-03 08:05</t>
  </si>
  <si>
    <t>02-04 07:49</t>
  </si>
  <si>
    <t>02-05 08:47</t>
  </si>
  <si>
    <t>02-06 08:18</t>
  </si>
  <si>
    <t>02-07 08:30</t>
  </si>
  <si>
    <t>02-08 08:44</t>
  </si>
  <si>
    <t>02-09 08:02</t>
  </si>
  <si>
    <t>01-29 08:08</t>
  </si>
  <si>
    <t>01-30 07:56</t>
  </si>
  <si>
    <t>01-30 08:22</t>
  </si>
  <si>
    <t>01-30 08:13</t>
  </si>
  <si>
    <t>02-02 08:05</t>
  </si>
  <si>
    <t>02-03 08:02</t>
  </si>
  <si>
    <t>02-04 07:46</t>
  </si>
  <si>
    <t>02-05 08:35</t>
  </si>
  <si>
    <t>02-06 08:13</t>
  </si>
  <si>
    <t>02-08 08:16</t>
  </si>
  <si>
    <t>02-09 07:58</t>
  </si>
  <si>
    <t>01-29 07:54</t>
  </si>
  <si>
    <t>01-30 07:55</t>
  </si>
  <si>
    <t>01-30 08:21</t>
  </si>
  <si>
    <t>01-30 08:00</t>
  </si>
  <si>
    <t>02-02 07:46</t>
  </si>
  <si>
    <t>02-03 07:33</t>
  </si>
  <si>
    <t>02-04 07:30</t>
  </si>
  <si>
    <t>02-05 08:14</t>
  </si>
  <si>
    <t>02-06 08:08</t>
  </si>
  <si>
    <t>02-07 08:18</t>
  </si>
  <si>
    <t>02-08 08:14</t>
  </si>
  <si>
    <t>02-09 07:55</t>
  </si>
  <si>
    <t>01-29 07:31</t>
  </si>
  <si>
    <t>01-30 07:46</t>
  </si>
  <si>
    <t>01-30 08:01</t>
  </si>
  <si>
    <t>01-30 07:42</t>
  </si>
  <si>
    <t>02-02 07:34</t>
  </si>
  <si>
    <t>02-03 07:27</t>
  </si>
  <si>
    <t>02-04 07:29</t>
  </si>
  <si>
    <t>02-05 08:13</t>
  </si>
  <si>
    <t>02-06 08:06</t>
  </si>
  <si>
    <t>02-07 08:05</t>
  </si>
  <si>
    <t>02-08 08:02</t>
  </si>
  <si>
    <t>02-09 07:50</t>
  </si>
  <si>
    <t>01-29 07:20</t>
  </si>
  <si>
    <t>01-30 07:22</t>
  </si>
  <si>
    <t>01-30 07:59</t>
  </si>
  <si>
    <t>01-30 07:38</t>
  </si>
  <si>
    <t>02-02 07:30</t>
  </si>
  <si>
    <t>02-03 07:09</t>
  </si>
  <si>
    <t>02-04 07:28</t>
  </si>
  <si>
    <t>02-05 08:02</t>
  </si>
  <si>
    <t>02-06 07:55</t>
  </si>
  <si>
    <t>02-07 08:04</t>
  </si>
  <si>
    <t>02-08 07:57</t>
  </si>
  <si>
    <t>02-09 07:12</t>
  </si>
  <si>
    <t>01-29 07:19</t>
  </si>
  <si>
    <t>01-30 07:21</t>
  </si>
  <si>
    <t>01-30 07:34</t>
  </si>
  <si>
    <t>01-30 07:37</t>
  </si>
  <si>
    <t>02-03 07:03</t>
  </si>
  <si>
    <t>02-04 07:27</t>
  </si>
  <si>
    <t>02-05 07:57</t>
  </si>
  <si>
    <t>02-06 07:53</t>
  </si>
  <si>
    <t>02-07 08:01</t>
  </si>
  <si>
    <t>02-08 07:31</t>
  </si>
  <si>
    <t>02-09 07:00</t>
  </si>
  <si>
    <t>01-29 07:01</t>
  </si>
  <si>
    <t>01-30 07:16</t>
  </si>
  <si>
    <t>01-30 07:31</t>
  </si>
  <si>
    <t>01-30 07:35</t>
  </si>
  <si>
    <t>02-02 07:28</t>
  </si>
  <si>
    <t>02-03 06:49</t>
  </si>
  <si>
    <t>02-05 07:46</t>
  </si>
  <si>
    <t>02-06 07:46</t>
  </si>
  <si>
    <t>02-07 07:42</t>
  </si>
  <si>
    <t>02-08 07:19</t>
  </si>
  <si>
    <t>02-09 06:45</t>
  </si>
  <si>
    <t>01-30 07:03</t>
  </si>
  <si>
    <t>01-30 07:29</t>
  </si>
  <si>
    <t>01-30 07:28</t>
  </si>
  <si>
    <t>02-02 07:10</t>
  </si>
  <si>
    <t>02-03 06:46</t>
  </si>
  <si>
    <t>02-04 07:10</t>
  </si>
  <si>
    <t>02-05 07:44</t>
  </si>
  <si>
    <t>02-06 07:29</t>
  </si>
  <si>
    <t>02-08 07:11</t>
  </si>
  <si>
    <t>02-09 06:43</t>
  </si>
  <si>
    <t>01-29 06:59</t>
  </si>
  <si>
    <t>01-30 06:44</t>
  </si>
  <si>
    <t>01-30 07:26</t>
  </si>
  <si>
    <t>02-02 06:39</t>
  </si>
  <si>
    <t>02-03 06:43</t>
  </si>
  <si>
    <t>02-04 06:29</t>
  </si>
  <si>
    <t>02-05 07:37</t>
  </si>
  <si>
    <t>02-06 07:25</t>
  </si>
  <si>
    <t>02-07 07:41</t>
  </si>
  <si>
    <t>02-08 07:03</t>
  </si>
  <si>
    <t>02-09 05:43</t>
  </si>
  <si>
    <t>01-29 06:13</t>
  </si>
  <si>
    <t>01-30 06:40</t>
  </si>
  <si>
    <t>01-30 07:24</t>
  </si>
  <si>
    <t>01-30 07:27</t>
  </si>
  <si>
    <t>02-02 05:34</t>
  </si>
  <si>
    <t>02-03 06:23</t>
  </si>
  <si>
    <t>02-04 06:06</t>
  </si>
  <si>
    <t>02-05 07:30</t>
  </si>
  <si>
    <t>02-06 06:52</t>
  </si>
  <si>
    <t>02-07 07:39</t>
  </si>
  <si>
    <t>02-08 06:48</t>
  </si>
  <si>
    <t>01-29 05:40</t>
  </si>
  <si>
    <t>01-30 06:24</t>
  </si>
  <si>
    <t>01-30 07:25</t>
  </si>
  <si>
    <t>02-02 05:24</t>
  </si>
  <si>
    <t>02-03 05:35</t>
  </si>
  <si>
    <t>02-04 05:46</t>
  </si>
  <si>
    <t>02-05 07:28</t>
  </si>
  <si>
    <t>02-06 05:35</t>
  </si>
  <si>
    <t>02-07 07:33</t>
  </si>
  <si>
    <t>02-08 06:38</t>
  </si>
  <si>
    <t>02-09 05:32</t>
  </si>
  <si>
    <t>01-29 05:13</t>
  </si>
  <si>
    <t>01-30 05:34</t>
  </si>
  <si>
    <t>01-30 07:23</t>
  </si>
  <si>
    <t>02-03 05:24</t>
  </si>
  <si>
    <t>02-04 05:37</t>
  </si>
  <si>
    <t>02-05 07:15</t>
  </si>
  <si>
    <t>02-06 05:27</t>
  </si>
  <si>
    <t>02-07 07:23</t>
  </si>
  <si>
    <t>02-08 06:26</t>
  </si>
  <si>
    <t>02-09 05:18</t>
  </si>
  <si>
    <t>01-30 05:15</t>
  </si>
  <si>
    <t>01-30 07:15</t>
  </si>
  <si>
    <t>02-02 05:12</t>
  </si>
  <si>
    <t>02-04 05:28</t>
  </si>
  <si>
    <t>02-06 05:26</t>
  </si>
  <si>
    <t>02-07 07:22</t>
  </si>
  <si>
    <t>02-08 06:17</t>
  </si>
  <si>
    <t>02-09 05:17</t>
  </si>
  <si>
    <t>01-30 05:12</t>
  </si>
  <si>
    <t>02-02 05:11</t>
  </si>
  <si>
    <t>02-03 05:13</t>
  </si>
  <si>
    <t>02-04 05:15</t>
  </si>
  <si>
    <t>02-05 07:00</t>
  </si>
  <si>
    <t>02-06 05:12</t>
  </si>
  <si>
    <t>02-08 06:14</t>
  </si>
  <si>
    <t>02-09 05:13</t>
  </si>
  <si>
    <t>Software_Version</t>
  </si>
  <si>
    <t>Data_Version</t>
  </si>
  <si>
    <t>上次检查更新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</si>
</sst>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&quot;月&quot;d&quot;日&quot;;@"/>
    <numFmt numFmtId="177" formatCode="yyyy/m/d;@"/>
  </numFmts>
  <fonts count="35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sz val="10"/>
      <color theme="0"/>
      <name val="微软雅黑"/>
      <charset val="134"/>
    </font>
    <font>
      <sz val="10"/>
      <color rgb="FF000000"/>
      <name val="微软雅黑"/>
      <charset val="134"/>
    </font>
    <font>
      <sz val="10"/>
      <color rgb="FFB8B8B8"/>
      <name val="微软雅黑"/>
      <charset val="134"/>
    </font>
    <font>
      <sz val="10"/>
      <color rgb="FF2786E4"/>
      <name val="微软雅黑"/>
      <charset val="134"/>
    </font>
    <font>
      <b/>
      <sz val="22"/>
      <color theme="1"/>
      <name val="楷体"/>
      <charset val="134"/>
    </font>
    <font>
      <b/>
      <sz val="12"/>
      <color theme="1"/>
      <name val="微软雅黑"/>
      <charset val="134"/>
    </font>
    <font>
      <b/>
      <sz val="14"/>
      <color theme="1"/>
      <name val="宋体"/>
      <charset val="134"/>
      <scheme val="minor"/>
    </font>
    <font>
      <b/>
      <sz val="14"/>
      <color theme="1"/>
      <name val="宋体"/>
      <charset val="134"/>
      <scheme val="maj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b/>
      <sz val="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微软雅黑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9" fillId="9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8" borderId="14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30" fillId="22" borderId="19" applyNumberFormat="0" applyAlignment="0" applyProtection="0">
      <alignment vertical="center"/>
    </xf>
    <xf numFmtId="0" fontId="34" fillId="22" borderId="15" applyNumberFormat="0" applyAlignment="0" applyProtection="0">
      <alignment vertical="center"/>
    </xf>
    <xf numFmtId="0" fontId="26" fillId="19" borderId="17" applyNumberForma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0" fillId="0" borderId="0" xfId="0" applyNumberFormat="1" applyAlignment="1" applyProtection="1">
      <alignment horizontal="center" vertical="center"/>
      <protection hidden="1"/>
    </xf>
    <xf numFmtId="0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177" fontId="0" fillId="0" borderId="1" xfId="0" applyNumberFormat="1" applyBorder="1" applyAlignment="1" applyProtection="1">
      <alignment horizontal="center" vertical="center"/>
      <protection locked="0" hidden="1"/>
    </xf>
    <xf numFmtId="176" fontId="1" fillId="0" borderId="0" xfId="0" applyNumberFormat="1" applyFont="1" applyFill="1" applyAlignment="1" applyProtection="1">
      <alignment horizontal="center" vertical="center" wrapText="1"/>
      <protection hidden="1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2" fillId="0" borderId="0" xfId="0" applyNumberFormat="1" applyFont="1" applyFill="1" applyAlignment="1" applyProtection="1">
      <alignment vertical="center" wrapText="1"/>
      <protection locked="0"/>
    </xf>
    <xf numFmtId="0" fontId="2" fillId="0" borderId="0" xfId="0" applyNumberFormat="1" applyFont="1" applyFill="1" applyAlignment="1" applyProtection="1">
      <alignment horizontal="center" vertical="center" wrapText="1"/>
      <protection locked="0"/>
    </xf>
    <xf numFmtId="176" fontId="1" fillId="0" borderId="0" xfId="0" applyNumberFormat="1" applyFont="1" applyFill="1" applyAlignment="1" applyProtection="1">
      <alignment horizontal="center" vertical="center"/>
      <protection hidden="1"/>
    </xf>
    <xf numFmtId="176" fontId="3" fillId="2" borderId="0" xfId="0" applyNumberFormat="1" applyFont="1" applyFill="1" applyAlignment="1" applyProtection="1">
      <alignment horizontal="center" vertical="top" textRotation="255"/>
      <protection hidden="1"/>
    </xf>
    <xf numFmtId="176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top" textRotation="255"/>
      <protection locked="0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>
      <alignment horizontal="left" vertical="center" indent="1"/>
    </xf>
    <xf numFmtId="0" fontId="5" fillId="0" borderId="0" xfId="0" applyNumberFormat="1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wrapText="1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wrapText="1" indent="1"/>
    </xf>
    <xf numFmtId="0" fontId="1" fillId="0" borderId="0" xfId="0" applyNumberFormat="1" applyFont="1" applyFill="1" applyAlignment="1" applyProtection="1">
      <alignment vertical="center"/>
      <protection locked="0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wrapText="1" indent="1"/>
    </xf>
    <xf numFmtId="0" fontId="0" fillId="0" borderId="0" xfId="0" applyBorder="1" applyProtection="1">
      <alignment vertical="center"/>
      <protection hidden="1"/>
    </xf>
    <xf numFmtId="0" fontId="0" fillId="0" borderId="0" xfId="0" applyBorder="1" applyProtection="1">
      <alignment vertical="center"/>
      <protection locked="0" hidden="1"/>
    </xf>
    <xf numFmtId="0" fontId="0" fillId="0" borderId="0" xfId="0" applyProtection="1">
      <alignment vertical="center"/>
      <protection hidden="1"/>
    </xf>
    <xf numFmtId="176" fontId="7" fillId="0" borderId="0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176" fontId="9" fillId="0" borderId="0" xfId="0" applyNumberFormat="1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locked="0" hidden="1"/>
    </xf>
    <xf numFmtId="58" fontId="10" fillId="0" borderId="0" xfId="0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locked="0" hidden="1"/>
    </xf>
    <xf numFmtId="0" fontId="11" fillId="0" borderId="0" xfId="0" applyFont="1" applyAlignment="1" applyProtection="1">
      <alignment horizontal="center" vertical="center"/>
      <protection hidden="1"/>
    </xf>
    <xf numFmtId="0" fontId="12" fillId="3" borderId="2" xfId="0" applyFont="1" applyFill="1" applyBorder="1" applyAlignment="1" applyProtection="1">
      <alignment horizontal="center" vertical="center"/>
      <protection hidden="1"/>
    </xf>
    <xf numFmtId="0" fontId="12" fillId="3" borderId="3" xfId="0" applyFont="1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hidden="1"/>
    </xf>
    <xf numFmtId="0" fontId="12" fillId="3" borderId="5" xfId="0" applyFont="1" applyFill="1" applyBorder="1" applyAlignment="1" applyProtection="1">
      <alignment horizontal="center" vertical="center" wrapText="1"/>
      <protection hidden="1"/>
    </xf>
    <xf numFmtId="0" fontId="12" fillId="3" borderId="5" xfId="0" applyFont="1" applyFill="1" applyBorder="1" applyAlignment="1" applyProtection="1">
      <alignment horizontal="center" vertical="center"/>
      <protection hidden="1"/>
    </xf>
    <xf numFmtId="10" fontId="12" fillId="3" borderId="5" xfId="0" applyNumberFormat="1" applyFont="1" applyFill="1" applyBorder="1" applyAlignment="1" applyProtection="1">
      <alignment horizontal="center" vertical="center" wrapText="1"/>
      <protection hidden="1"/>
    </xf>
    <xf numFmtId="0" fontId="12" fillId="3" borderId="5" xfId="0" applyNumberFormat="1" applyFont="1" applyFill="1" applyBorder="1" applyAlignment="1" applyProtection="1">
      <alignment horizontal="center" vertical="center"/>
      <protection locked="0"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0" fontId="0" fillId="4" borderId="0" xfId="0" applyFill="1" applyProtection="1">
      <alignment vertical="center"/>
      <protection hidden="1"/>
    </xf>
    <xf numFmtId="0" fontId="0" fillId="4" borderId="7" xfId="0" applyFill="1" applyBorder="1" applyProtection="1">
      <alignment vertical="center"/>
      <protection hidden="1"/>
    </xf>
    <xf numFmtId="0" fontId="0" fillId="4" borderId="8" xfId="0" applyFill="1" applyBorder="1" applyProtection="1">
      <alignment vertical="center"/>
      <protection hidden="1"/>
    </xf>
    <xf numFmtId="0" fontId="0" fillId="4" borderId="9" xfId="0" applyFill="1" applyBorder="1" applyProtection="1">
      <alignment vertical="center"/>
      <protection hidden="1"/>
    </xf>
    <xf numFmtId="0" fontId="0" fillId="4" borderId="10" xfId="0" applyFill="1" applyBorder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alignment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5" borderId="5" xfId="0" applyFont="1" applyFill="1" applyBorder="1" applyAlignment="1" applyProtection="1">
      <alignment horizontal="center" vertical="center"/>
      <protection hidden="1"/>
    </xf>
    <xf numFmtId="0" fontId="15" fillId="5" borderId="3" xfId="0" applyFont="1" applyFill="1" applyBorder="1" applyAlignment="1" applyProtection="1">
      <alignment horizontal="center" vertical="center"/>
      <protection hidden="1"/>
    </xf>
    <xf numFmtId="0" fontId="15" fillId="5" borderId="4" xfId="0" applyFont="1" applyFill="1" applyBorder="1" applyAlignment="1" applyProtection="1">
      <alignment horizontal="center" vertical="center"/>
      <protection hidden="1"/>
    </xf>
    <xf numFmtId="0" fontId="15" fillId="5" borderId="2" xfId="0" applyFont="1" applyFill="1" applyBorder="1" applyAlignment="1" applyProtection="1">
      <alignment horizontal="center" vertical="center"/>
      <protection hidden="1"/>
    </xf>
    <xf numFmtId="0" fontId="15" fillId="5" borderId="11" xfId="0" applyFont="1" applyFill="1" applyBorder="1" applyAlignment="1" applyProtection="1">
      <alignment horizontal="center" vertical="center" wrapText="1"/>
      <protection hidden="1"/>
    </xf>
    <xf numFmtId="0" fontId="15" fillId="5" borderId="10" xfId="0" applyFont="1" applyFill="1" applyBorder="1" applyAlignment="1" applyProtection="1">
      <alignment horizontal="center" vertical="center"/>
      <protection hidden="1"/>
    </xf>
    <xf numFmtId="0" fontId="15" fillId="5" borderId="12" xfId="0" applyFont="1" applyFill="1" applyBorder="1" applyAlignment="1" applyProtection="1">
      <alignment horizontal="center" vertical="center"/>
      <protection hidden="1"/>
    </xf>
    <xf numFmtId="0" fontId="15" fillId="5" borderId="12" xfId="0" applyFont="1" applyFill="1" applyBorder="1" applyAlignment="1" applyProtection="1">
      <alignment horizontal="center" vertical="center" wrapText="1"/>
      <protection hidden="1"/>
    </xf>
    <xf numFmtId="0" fontId="15" fillId="5" borderId="5" xfId="0" applyNumberFormat="1" applyFont="1" applyFill="1" applyBorder="1" applyAlignment="1" applyProtection="1">
      <alignment horizontal="center" vertical="center"/>
      <protection locked="0" hidden="1"/>
    </xf>
    <xf numFmtId="0" fontId="15" fillId="5" borderId="11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14" fontId="15" fillId="5" borderId="0" xfId="0" applyNumberFormat="1" applyFont="1" applyFill="1" applyBorder="1" applyAlignment="1" applyProtection="1">
      <alignment horizontal="center" vertical="center"/>
      <protection hidden="1"/>
    </xf>
    <xf numFmtId="14" fontId="15" fillId="5" borderId="5" xfId="0" applyNumberFormat="1" applyFont="1" applyFill="1" applyBorder="1" applyAlignment="1" applyProtection="1">
      <alignment horizontal="center" vertical="center" wrapText="1"/>
      <protection hidden="1"/>
    </xf>
    <xf numFmtId="14" fontId="15" fillId="5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5" borderId="7" xfId="0" applyFont="1" applyFill="1" applyBorder="1" applyAlignment="1" applyProtection="1">
      <alignment horizontal="center" vertical="center"/>
      <protection hidden="1"/>
    </xf>
    <xf numFmtId="0" fontId="15" fillId="5" borderId="9" xfId="0" applyFont="1" applyFill="1" applyBorder="1" applyAlignment="1" applyProtection="1">
      <alignment horizontal="center" vertical="center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000686537352992355"/>
          <c:w val="0.776059551290431"/>
          <c:h val="1"/>
        </c:manualLayout>
      </c:layout>
      <c:doughnutChart>
        <c:varyColors val="1"/>
        <c:ser>
          <c:idx val="0"/>
          <c:order val="0"/>
          <c:tx>
            <c:strRef>
              <c:f>每日审计!$D$2:$E$2</c:f>
              <c:strCache>
                <c:ptCount val="1"/>
                <c:pt idx="0">
                  <c:v>缺报 上报</c:v>
                </c:pt>
              </c:strCache>
            </c:strRef>
          </c:tx>
          <c:spPr>
            <a:solidFill>
              <a:srgbClr val="00B050"/>
            </a:solidFill>
          </c:spPr>
          <c:explosion val="8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2000" b="0" i="0" u="none" strike="noStrike" kern="1200" cap="none" spc="0" normalizeH="0" baseline="0">
                    <a:solidFill>
                      <a:schemeClr val="bg1"/>
                    </a:solidFill>
                    <a:uFill>
                      <a:solidFill>
                        <a:schemeClr val="tx2"/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每日审计!$D$2:$E$2</c:f>
              <c:strCache>
                <c:ptCount val="2"/>
                <c:pt idx="0">
                  <c:v>缺报</c:v>
                </c:pt>
                <c:pt idx="1">
                  <c:v>上报</c:v>
                </c:pt>
              </c:strCache>
            </c:strRef>
          </c:cat>
          <c:val>
            <c:numRef>
              <c:f>每日审计!$D$3:$E$3</c:f>
              <c:numCache>
                <c:formatCode>General</c:formatCode>
                <c:ptCount val="2"/>
                <c:pt idx="0">
                  <c:v>1</c:v>
                </c:pt>
                <c:pt idx="1">
                  <c:v>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zh-CN" sz="2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2"/>
                  </a:solidFill>
                </a:u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zh-CN" sz="2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2"/>
                  </a:solidFill>
                </a:u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2000" b="0" i="0" u="none" strike="noStrike" kern="1200" cap="none" spc="0" normalizeH="0" baseline="0">
              <a:solidFill>
                <a:schemeClr val="bg1"/>
              </a:solidFill>
              <a:uFill>
                <a:solidFill>
                  <a:schemeClr val="tx2"/>
                </a:solidFill>
              </a:u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rgbClr val="002060">
        <a:alpha val="2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2000" u="none" strike="noStrike" kern="1200" cap="none" spc="0" normalizeH="0">
          <a:solidFill>
            <a:schemeClr val="bg1"/>
          </a:solidFill>
          <a:uFill>
            <a:solidFill>
              <a:schemeClr val="tx2"/>
            </a:solidFill>
          </a:uFill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月平均上报率分布图</a:t>
            </a:r>
            <a:endParaRPr lang="zh-CN" altLang="en-US"/>
          </a:p>
        </c:rich>
      </c:tx>
      <c:layout>
        <c:manualLayout>
          <c:xMode val="edge"/>
          <c:yMode val="edge"/>
          <c:x val="0.0139257947052455"/>
          <c:y val="0.023120397328309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608032286642"/>
          <c:y val="0.00515995872033024"/>
          <c:w val="0.569248941824983"/>
          <c:h val="0.989731302413144"/>
        </c:manualLayout>
      </c:layout>
      <c:doughnutChart>
        <c:varyColors val="1"/>
        <c:ser>
          <c:idx val="0"/>
          <c:order val="0"/>
          <c:tx>
            <c:strRef>
              <c:f>"当月平均出勤率分布"</c:f>
              <c:strCache>
                <c:ptCount val="1"/>
                <c:pt idx="0">
                  <c:v>当月平均出勤率分布</c:v>
                </c:pt>
              </c:strCache>
            </c:strRef>
          </c:tx>
          <c:spPr>
            <a:ln w="19050">
              <a:noFill/>
            </a:ln>
          </c:spPr>
          <c:explosion val="8"/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c46edf4b-97f4-4aba-9d94-4a490aaa3009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e6ab9e3b-c60c-4eb4-b6e6-70631f2b1a52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262e6255-fad1-4d88-a862-2a0cca801bfc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3d1ad258-cf7c-4ffc-b65a-b44107f41ae9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bc669427-44f5-4862-b118-09529cff1b4b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>
                <a:glow>
                  <a:schemeClr val="accent5"/>
                </a:glow>
              </a:effectLst>
            </c:spPr>
            <c:txPr>
              <a:bodyPr rot="0" spcFirstLastPara="0" vertOverflow="ellipsis" vert="horz" wrap="square" lIns="0" tIns="0" rIns="0" bIns="0" anchor="ctr" anchorCtr="1"/>
              <a:lstStyle/>
              <a:p>
                <a:pPr>
                  <a:defRPr lang="zh-CN" sz="15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'API2'!$F$8:$F$12</c:f>
              <c:strCache>
                <c:ptCount val="5"/>
                <c:pt idx="0">
                  <c:v>0%-20%</c:v>
                </c:pt>
                <c:pt idx="1">
                  <c:v>20%-40%</c:v>
                </c:pt>
                <c:pt idx="2">
                  <c:v>40%-60%</c:v>
                </c:pt>
                <c:pt idx="3">
                  <c:v>60%-80%</c:v>
                </c:pt>
                <c:pt idx="4">
                  <c:v>80%-100%</c:v>
                </c:pt>
              </c:strCache>
            </c:strRef>
          </c:cat>
          <c:val>
            <c:numRef>
              <c:f>'API2'!$G$8:$G$12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'API2'!$G$8:$G$12</c15:f>
                <c15:dlblRangeCache>
                  <c:ptCount val="5"/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40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5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1500" b="1" i="0" baseline="0">
          <a:solidFill>
            <a:schemeClr val="bg1"/>
          </a:solidFill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99" Type="http://schemas.openxmlformats.org/officeDocument/2006/relationships/image" Target="../media/image100.jpeg"/><Relationship Id="rId98" Type="http://schemas.openxmlformats.org/officeDocument/2006/relationships/image" Target="../media/image99.jpeg"/><Relationship Id="rId97" Type="http://schemas.openxmlformats.org/officeDocument/2006/relationships/image" Target="../media/image98.jpeg"/><Relationship Id="rId96" Type="http://schemas.openxmlformats.org/officeDocument/2006/relationships/image" Target="../media/image97.jpeg"/><Relationship Id="rId95" Type="http://schemas.openxmlformats.org/officeDocument/2006/relationships/image" Target="../media/image96.jpeg"/><Relationship Id="rId94" Type="http://schemas.openxmlformats.org/officeDocument/2006/relationships/image" Target="../media/image95.jpeg"/><Relationship Id="rId93" Type="http://schemas.openxmlformats.org/officeDocument/2006/relationships/image" Target="../media/image94.jpeg"/><Relationship Id="rId92" Type="http://schemas.openxmlformats.org/officeDocument/2006/relationships/image" Target="../media/image93.jpeg"/><Relationship Id="rId91" Type="http://schemas.openxmlformats.org/officeDocument/2006/relationships/image" Target="../media/image92.jpeg"/><Relationship Id="rId90" Type="http://schemas.openxmlformats.org/officeDocument/2006/relationships/image" Target="../media/image91.jpeg"/><Relationship Id="rId9" Type="http://schemas.openxmlformats.org/officeDocument/2006/relationships/image" Target="../media/image10.jpeg"/><Relationship Id="rId89" Type="http://schemas.openxmlformats.org/officeDocument/2006/relationships/image" Target="../media/image90.jpeg"/><Relationship Id="rId88" Type="http://schemas.openxmlformats.org/officeDocument/2006/relationships/image" Target="../media/image89.jpeg"/><Relationship Id="rId87" Type="http://schemas.openxmlformats.org/officeDocument/2006/relationships/image" Target="../media/image88.jpeg"/><Relationship Id="rId86" Type="http://schemas.openxmlformats.org/officeDocument/2006/relationships/image" Target="../media/image87.jpeg"/><Relationship Id="rId85" Type="http://schemas.openxmlformats.org/officeDocument/2006/relationships/image" Target="../media/image86.jpeg"/><Relationship Id="rId84" Type="http://schemas.openxmlformats.org/officeDocument/2006/relationships/image" Target="../media/image85.jpeg"/><Relationship Id="rId83" Type="http://schemas.openxmlformats.org/officeDocument/2006/relationships/image" Target="../media/image84.jpeg"/><Relationship Id="rId82" Type="http://schemas.openxmlformats.org/officeDocument/2006/relationships/image" Target="../media/image83.jpeg"/><Relationship Id="rId81" Type="http://schemas.openxmlformats.org/officeDocument/2006/relationships/image" Target="../media/image82.jpeg"/><Relationship Id="rId80" Type="http://schemas.openxmlformats.org/officeDocument/2006/relationships/image" Target="../media/image81.jpeg"/><Relationship Id="rId8" Type="http://schemas.openxmlformats.org/officeDocument/2006/relationships/image" Target="../media/image9.jpeg"/><Relationship Id="rId79" Type="http://schemas.openxmlformats.org/officeDocument/2006/relationships/image" Target="../media/image80.jpeg"/><Relationship Id="rId78" Type="http://schemas.openxmlformats.org/officeDocument/2006/relationships/image" Target="../media/image79.jpeg"/><Relationship Id="rId77" Type="http://schemas.openxmlformats.org/officeDocument/2006/relationships/image" Target="../media/image78.jpeg"/><Relationship Id="rId76" Type="http://schemas.openxmlformats.org/officeDocument/2006/relationships/image" Target="../media/image77.jpeg"/><Relationship Id="rId75" Type="http://schemas.openxmlformats.org/officeDocument/2006/relationships/image" Target="../media/image76.jpeg"/><Relationship Id="rId74" Type="http://schemas.openxmlformats.org/officeDocument/2006/relationships/image" Target="../media/image75.jpeg"/><Relationship Id="rId73" Type="http://schemas.openxmlformats.org/officeDocument/2006/relationships/image" Target="../media/image74.jpeg"/><Relationship Id="rId72" Type="http://schemas.openxmlformats.org/officeDocument/2006/relationships/image" Target="../media/image73.jpeg"/><Relationship Id="rId71" Type="http://schemas.openxmlformats.org/officeDocument/2006/relationships/image" Target="../media/image72.jpeg"/><Relationship Id="rId70" Type="http://schemas.openxmlformats.org/officeDocument/2006/relationships/image" Target="../media/image71.jpeg"/><Relationship Id="rId7" Type="http://schemas.openxmlformats.org/officeDocument/2006/relationships/image" Target="../media/image8.png"/><Relationship Id="rId69" Type="http://schemas.openxmlformats.org/officeDocument/2006/relationships/image" Target="../media/image70.jpeg"/><Relationship Id="rId68" Type="http://schemas.openxmlformats.org/officeDocument/2006/relationships/image" Target="../media/image69.jpeg"/><Relationship Id="rId67" Type="http://schemas.openxmlformats.org/officeDocument/2006/relationships/image" Target="../media/image68.jpeg"/><Relationship Id="rId66" Type="http://schemas.openxmlformats.org/officeDocument/2006/relationships/image" Target="../media/image67.jpeg"/><Relationship Id="rId65" Type="http://schemas.openxmlformats.org/officeDocument/2006/relationships/image" Target="../media/image66.jpeg"/><Relationship Id="rId64" Type="http://schemas.openxmlformats.org/officeDocument/2006/relationships/image" Target="../media/image65.jpeg"/><Relationship Id="rId63" Type="http://schemas.openxmlformats.org/officeDocument/2006/relationships/image" Target="../media/image64.jpeg"/><Relationship Id="rId62" Type="http://schemas.openxmlformats.org/officeDocument/2006/relationships/image" Target="../media/image63.jpeg"/><Relationship Id="rId61" Type="http://schemas.openxmlformats.org/officeDocument/2006/relationships/image" Target="../media/image62.jpeg"/><Relationship Id="rId60" Type="http://schemas.openxmlformats.org/officeDocument/2006/relationships/image" Target="../media/image61.jpeg"/><Relationship Id="rId6" Type="http://schemas.openxmlformats.org/officeDocument/2006/relationships/image" Target="../media/image7.jpeg"/><Relationship Id="rId59" Type="http://schemas.openxmlformats.org/officeDocument/2006/relationships/image" Target="../media/image60.jpeg"/><Relationship Id="rId58" Type="http://schemas.openxmlformats.org/officeDocument/2006/relationships/image" Target="../media/image59.jpeg"/><Relationship Id="rId57" Type="http://schemas.openxmlformats.org/officeDocument/2006/relationships/image" Target="../media/image58.jpeg"/><Relationship Id="rId56" Type="http://schemas.openxmlformats.org/officeDocument/2006/relationships/image" Target="../media/image57.jpeg"/><Relationship Id="rId55" Type="http://schemas.openxmlformats.org/officeDocument/2006/relationships/image" Target="../media/image56.jpeg"/><Relationship Id="rId54" Type="http://schemas.openxmlformats.org/officeDocument/2006/relationships/image" Target="../media/image55.jpeg"/><Relationship Id="rId53" Type="http://schemas.openxmlformats.org/officeDocument/2006/relationships/image" Target="../media/image54.jpeg"/><Relationship Id="rId52" Type="http://schemas.openxmlformats.org/officeDocument/2006/relationships/image" Target="../media/image53.jpeg"/><Relationship Id="rId51" Type="http://schemas.openxmlformats.org/officeDocument/2006/relationships/image" Target="../media/image52.jpeg"/><Relationship Id="rId50" Type="http://schemas.openxmlformats.org/officeDocument/2006/relationships/image" Target="../media/image51.jpeg"/><Relationship Id="rId5" Type="http://schemas.openxmlformats.org/officeDocument/2006/relationships/image" Target="../media/image6.jpeg"/><Relationship Id="rId49" Type="http://schemas.openxmlformats.org/officeDocument/2006/relationships/image" Target="../media/image50.jpeg"/><Relationship Id="rId48" Type="http://schemas.openxmlformats.org/officeDocument/2006/relationships/image" Target="../media/image49.jpeg"/><Relationship Id="rId47" Type="http://schemas.openxmlformats.org/officeDocument/2006/relationships/image" Target="../media/image48.jpeg"/><Relationship Id="rId46" Type="http://schemas.openxmlformats.org/officeDocument/2006/relationships/image" Target="../media/image47.jpeg"/><Relationship Id="rId45" Type="http://schemas.openxmlformats.org/officeDocument/2006/relationships/image" Target="../media/image46.jpeg"/><Relationship Id="rId44" Type="http://schemas.openxmlformats.org/officeDocument/2006/relationships/image" Target="../media/image45.jpeg"/><Relationship Id="rId43" Type="http://schemas.openxmlformats.org/officeDocument/2006/relationships/image" Target="../media/image44.jpeg"/><Relationship Id="rId42" Type="http://schemas.openxmlformats.org/officeDocument/2006/relationships/image" Target="../media/image43.jpeg"/><Relationship Id="rId410" Type="http://schemas.openxmlformats.org/officeDocument/2006/relationships/image" Target="../media/image411.jpeg"/><Relationship Id="rId41" Type="http://schemas.openxmlformats.org/officeDocument/2006/relationships/image" Target="../media/image42.jpeg"/><Relationship Id="rId409" Type="http://schemas.openxmlformats.org/officeDocument/2006/relationships/image" Target="../media/image410.jpeg"/><Relationship Id="rId408" Type="http://schemas.openxmlformats.org/officeDocument/2006/relationships/image" Target="../media/image409.jpeg"/><Relationship Id="rId407" Type="http://schemas.openxmlformats.org/officeDocument/2006/relationships/image" Target="../media/image408.jpeg"/><Relationship Id="rId406" Type="http://schemas.openxmlformats.org/officeDocument/2006/relationships/image" Target="../media/image407.jpeg"/><Relationship Id="rId405" Type="http://schemas.openxmlformats.org/officeDocument/2006/relationships/image" Target="../media/image406.jpeg"/><Relationship Id="rId404" Type="http://schemas.openxmlformats.org/officeDocument/2006/relationships/image" Target="../media/image405.jpeg"/><Relationship Id="rId403" Type="http://schemas.openxmlformats.org/officeDocument/2006/relationships/image" Target="../media/image404.jpeg"/><Relationship Id="rId402" Type="http://schemas.openxmlformats.org/officeDocument/2006/relationships/image" Target="../media/image403.jpeg"/><Relationship Id="rId401" Type="http://schemas.openxmlformats.org/officeDocument/2006/relationships/image" Target="../media/image402.jpeg"/><Relationship Id="rId400" Type="http://schemas.openxmlformats.org/officeDocument/2006/relationships/image" Target="../media/image401.jpeg"/><Relationship Id="rId40" Type="http://schemas.openxmlformats.org/officeDocument/2006/relationships/image" Target="../media/image41.jpeg"/><Relationship Id="rId4" Type="http://schemas.openxmlformats.org/officeDocument/2006/relationships/image" Target="../media/image5.jpeg"/><Relationship Id="rId399" Type="http://schemas.openxmlformats.org/officeDocument/2006/relationships/image" Target="../media/image400.jpeg"/><Relationship Id="rId398" Type="http://schemas.openxmlformats.org/officeDocument/2006/relationships/image" Target="../media/image399.jpeg"/><Relationship Id="rId397" Type="http://schemas.openxmlformats.org/officeDocument/2006/relationships/image" Target="../media/image398.jpeg"/><Relationship Id="rId396" Type="http://schemas.openxmlformats.org/officeDocument/2006/relationships/image" Target="../media/image397.jpeg"/><Relationship Id="rId395" Type="http://schemas.openxmlformats.org/officeDocument/2006/relationships/image" Target="../media/image396.jpeg"/><Relationship Id="rId394" Type="http://schemas.openxmlformats.org/officeDocument/2006/relationships/image" Target="../media/image395.jpeg"/><Relationship Id="rId393" Type="http://schemas.openxmlformats.org/officeDocument/2006/relationships/image" Target="../media/image394.jpeg"/><Relationship Id="rId392" Type="http://schemas.openxmlformats.org/officeDocument/2006/relationships/image" Target="../media/image393.jpeg"/><Relationship Id="rId391" Type="http://schemas.openxmlformats.org/officeDocument/2006/relationships/image" Target="../media/image392.jpeg"/><Relationship Id="rId390" Type="http://schemas.openxmlformats.org/officeDocument/2006/relationships/image" Target="../media/image391.jpeg"/><Relationship Id="rId39" Type="http://schemas.openxmlformats.org/officeDocument/2006/relationships/image" Target="../media/image40.jpeg"/><Relationship Id="rId389" Type="http://schemas.openxmlformats.org/officeDocument/2006/relationships/image" Target="../media/image390.jpeg"/><Relationship Id="rId388" Type="http://schemas.openxmlformats.org/officeDocument/2006/relationships/image" Target="../media/image389.jpeg"/><Relationship Id="rId387" Type="http://schemas.openxmlformats.org/officeDocument/2006/relationships/image" Target="../media/image388.jpeg"/><Relationship Id="rId386" Type="http://schemas.openxmlformats.org/officeDocument/2006/relationships/image" Target="../media/image387.jpeg"/><Relationship Id="rId385" Type="http://schemas.openxmlformats.org/officeDocument/2006/relationships/image" Target="../media/image386.jpeg"/><Relationship Id="rId384" Type="http://schemas.openxmlformats.org/officeDocument/2006/relationships/image" Target="../media/image385.jpeg"/><Relationship Id="rId383" Type="http://schemas.openxmlformats.org/officeDocument/2006/relationships/image" Target="../media/image384.jpeg"/><Relationship Id="rId382" Type="http://schemas.openxmlformats.org/officeDocument/2006/relationships/image" Target="../media/image383.jpeg"/><Relationship Id="rId381" Type="http://schemas.openxmlformats.org/officeDocument/2006/relationships/image" Target="../media/image382.jpeg"/><Relationship Id="rId380" Type="http://schemas.openxmlformats.org/officeDocument/2006/relationships/image" Target="../media/image381.jpeg"/><Relationship Id="rId38" Type="http://schemas.openxmlformats.org/officeDocument/2006/relationships/image" Target="../media/image39.jpeg"/><Relationship Id="rId379" Type="http://schemas.openxmlformats.org/officeDocument/2006/relationships/image" Target="../media/image380.jpeg"/><Relationship Id="rId378" Type="http://schemas.openxmlformats.org/officeDocument/2006/relationships/image" Target="../media/image379.jpeg"/><Relationship Id="rId377" Type="http://schemas.openxmlformats.org/officeDocument/2006/relationships/image" Target="../media/image378.jpeg"/><Relationship Id="rId376" Type="http://schemas.openxmlformats.org/officeDocument/2006/relationships/image" Target="../media/image377.jpeg"/><Relationship Id="rId375" Type="http://schemas.openxmlformats.org/officeDocument/2006/relationships/image" Target="../media/image376.jpeg"/><Relationship Id="rId374" Type="http://schemas.openxmlformats.org/officeDocument/2006/relationships/image" Target="../media/image375.jpeg"/><Relationship Id="rId373" Type="http://schemas.openxmlformats.org/officeDocument/2006/relationships/image" Target="../media/image374.jpeg"/><Relationship Id="rId372" Type="http://schemas.openxmlformats.org/officeDocument/2006/relationships/image" Target="../media/image373.jpeg"/><Relationship Id="rId371" Type="http://schemas.openxmlformats.org/officeDocument/2006/relationships/image" Target="../media/image372.jpeg"/><Relationship Id="rId370" Type="http://schemas.openxmlformats.org/officeDocument/2006/relationships/image" Target="../media/image371.jpeg"/><Relationship Id="rId37" Type="http://schemas.openxmlformats.org/officeDocument/2006/relationships/image" Target="../media/image38.jpeg"/><Relationship Id="rId369" Type="http://schemas.openxmlformats.org/officeDocument/2006/relationships/image" Target="../media/image370.jpeg"/><Relationship Id="rId368" Type="http://schemas.openxmlformats.org/officeDocument/2006/relationships/image" Target="../media/image369.jpeg"/><Relationship Id="rId367" Type="http://schemas.openxmlformats.org/officeDocument/2006/relationships/image" Target="../media/image368.jpeg"/><Relationship Id="rId366" Type="http://schemas.openxmlformats.org/officeDocument/2006/relationships/image" Target="../media/image367.jpeg"/><Relationship Id="rId365" Type="http://schemas.openxmlformats.org/officeDocument/2006/relationships/image" Target="../media/image366.jpeg"/><Relationship Id="rId364" Type="http://schemas.openxmlformats.org/officeDocument/2006/relationships/image" Target="../media/image365.jpeg"/><Relationship Id="rId363" Type="http://schemas.openxmlformats.org/officeDocument/2006/relationships/image" Target="../media/image364.jpeg"/><Relationship Id="rId362" Type="http://schemas.openxmlformats.org/officeDocument/2006/relationships/image" Target="../media/image363.jpeg"/><Relationship Id="rId361" Type="http://schemas.openxmlformats.org/officeDocument/2006/relationships/image" Target="../media/image362.jpeg"/><Relationship Id="rId360" Type="http://schemas.openxmlformats.org/officeDocument/2006/relationships/image" Target="../media/image361.jpeg"/><Relationship Id="rId36" Type="http://schemas.openxmlformats.org/officeDocument/2006/relationships/image" Target="../media/image37.jpeg"/><Relationship Id="rId359" Type="http://schemas.openxmlformats.org/officeDocument/2006/relationships/image" Target="../media/image360.jpeg"/><Relationship Id="rId358" Type="http://schemas.openxmlformats.org/officeDocument/2006/relationships/image" Target="../media/image359.jpeg"/><Relationship Id="rId357" Type="http://schemas.openxmlformats.org/officeDocument/2006/relationships/image" Target="../media/image358.jpeg"/><Relationship Id="rId356" Type="http://schemas.openxmlformats.org/officeDocument/2006/relationships/image" Target="../media/image357.jpeg"/><Relationship Id="rId355" Type="http://schemas.openxmlformats.org/officeDocument/2006/relationships/image" Target="../media/image356.jpeg"/><Relationship Id="rId354" Type="http://schemas.openxmlformats.org/officeDocument/2006/relationships/image" Target="../media/image355.jpeg"/><Relationship Id="rId353" Type="http://schemas.openxmlformats.org/officeDocument/2006/relationships/image" Target="../media/image354.jpeg"/><Relationship Id="rId352" Type="http://schemas.openxmlformats.org/officeDocument/2006/relationships/image" Target="../media/image353.jpeg"/><Relationship Id="rId351" Type="http://schemas.openxmlformats.org/officeDocument/2006/relationships/image" Target="../media/image352.jpeg"/><Relationship Id="rId350" Type="http://schemas.openxmlformats.org/officeDocument/2006/relationships/image" Target="../media/image351.jpeg"/><Relationship Id="rId35" Type="http://schemas.openxmlformats.org/officeDocument/2006/relationships/image" Target="../media/image36.jpeg"/><Relationship Id="rId349" Type="http://schemas.openxmlformats.org/officeDocument/2006/relationships/image" Target="../media/image350.jpeg"/><Relationship Id="rId348" Type="http://schemas.openxmlformats.org/officeDocument/2006/relationships/image" Target="../media/image349.jpeg"/><Relationship Id="rId347" Type="http://schemas.openxmlformats.org/officeDocument/2006/relationships/image" Target="../media/image348.jpeg"/><Relationship Id="rId346" Type="http://schemas.openxmlformats.org/officeDocument/2006/relationships/image" Target="../media/image347.jpeg"/><Relationship Id="rId345" Type="http://schemas.openxmlformats.org/officeDocument/2006/relationships/image" Target="../media/image346.jpeg"/><Relationship Id="rId344" Type="http://schemas.openxmlformats.org/officeDocument/2006/relationships/image" Target="../media/image345.jpeg"/><Relationship Id="rId343" Type="http://schemas.openxmlformats.org/officeDocument/2006/relationships/image" Target="../media/image344.jpeg"/><Relationship Id="rId342" Type="http://schemas.openxmlformats.org/officeDocument/2006/relationships/image" Target="../media/image343.jpeg"/><Relationship Id="rId341" Type="http://schemas.openxmlformats.org/officeDocument/2006/relationships/image" Target="../media/image342.jpeg"/><Relationship Id="rId340" Type="http://schemas.openxmlformats.org/officeDocument/2006/relationships/image" Target="../media/image341.jpeg"/><Relationship Id="rId34" Type="http://schemas.openxmlformats.org/officeDocument/2006/relationships/image" Target="../media/image35.jpeg"/><Relationship Id="rId339" Type="http://schemas.openxmlformats.org/officeDocument/2006/relationships/image" Target="../media/image340.jpeg"/><Relationship Id="rId338" Type="http://schemas.openxmlformats.org/officeDocument/2006/relationships/image" Target="../media/image339.jpeg"/><Relationship Id="rId337" Type="http://schemas.openxmlformats.org/officeDocument/2006/relationships/image" Target="../media/image338.jpeg"/><Relationship Id="rId336" Type="http://schemas.openxmlformats.org/officeDocument/2006/relationships/image" Target="../media/image337.jpeg"/><Relationship Id="rId335" Type="http://schemas.openxmlformats.org/officeDocument/2006/relationships/image" Target="../media/image336.jpeg"/><Relationship Id="rId334" Type="http://schemas.openxmlformats.org/officeDocument/2006/relationships/image" Target="../media/image335.jpeg"/><Relationship Id="rId333" Type="http://schemas.openxmlformats.org/officeDocument/2006/relationships/image" Target="../media/image334.jpeg"/><Relationship Id="rId332" Type="http://schemas.openxmlformats.org/officeDocument/2006/relationships/image" Target="../media/image333.jpeg"/><Relationship Id="rId331" Type="http://schemas.openxmlformats.org/officeDocument/2006/relationships/image" Target="../media/image332.jpeg"/><Relationship Id="rId330" Type="http://schemas.openxmlformats.org/officeDocument/2006/relationships/image" Target="../media/image331.jpeg"/><Relationship Id="rId33" Type="http://schemas.openxmlformats.org/officeDocument/2006/relationships/image" Target="../media/image34.jpeg"/><Relationship Id="rId329" Type="http://schemas.openxmlformats.org/officeDocument/2006/relationships/image" Target="../media/image330.jpeg"/><Relationship Id="rId328" Type="http://schemas.openxmlformats.org/officeDocument/2006/relationships/image" Target="../media/image329.jpeg"/><Relationship Id="rId327" Type="http://schemas.openxmlformats.org/officeDocument/2006/relationships/image" Target="../media/image328.jpeg"/><Relationship Id="rId326" Type="http://schemas.openxmlformats.org/officeDocument/2006/relationships/image" Target="../media/image327.jpeg"/><Relationship Id="rId325" Type="http://schemas.openxmlformats.org/officeDocument/2006/relationships/image" Target="../media/image326.jpeg"/><Relationship Id="rId324" Type="http://schemas.openxmlformats.org/officeDocument/2006/relationships/image" Target="../media/image325.jpeg"/><Relationship Id="rId323" Type="http://schemas.openxmlformats.org/officeDocument/2006/relationships/image" Target="../media/image324.jpeg"/><Relationship Id="rId322" Type="http://schemas.openxmlformats.org/officeDocument/2006/relationships/image" Target="../media/image323.jpeg"/><Relationship Id="rId321" Type="http://schemas.openxmlformats.org/officeDocument/2006/relationships/image" Target="../media/image322.jpeg"/><Relationship Id="rId320" Type="http://schemas.openxmlformats.org/officeDocument/2006/relationships/image" Target="../media/image321.jpeg"/><Relationship Id="rId32" Type="http://schemas.openxmlformats.org/officeDocument/2006/relationships/image" Target="../media/image33.jpeg"/><Relationship Id="rId319" Type="http://schemas.openxmlformats.org/officeDocument/2006/relationships/image" Target="../media/image320.jpeg"/><Relationship Id="rId318" Type="http://schemas.openxmlformats.org/officeDocument/2006/relationships/image" Target="../media/image319.jpeg"/><Relationship Id="rId317" Type="http://schemas.openxmlformats.org/officeDocument/2006/relationships/image" Target="../media/image318.jpeg"/><Relationship Id="rId316" Type="http://schemas.openxmlformats.org/officeDocument/2006/relationships/image" Target="../media/image317.jpeg"/><Relationship Id="rId315" Type="http://schemas.openxmlformats.org/officeDocument/2006/relationships/image" Target="../media/image316.jpeg"/><Relationship Id="rId314" Type="http://schemas.openxmlformats.org/officeDocument/2006/relationships/image" Target="../media/image315.jpeg"/><Relationship Id="rId313" Type="http://schemas.openxmlformats.org/officeDocument/2006/relationships/image" Target="../media/image314.jpeg"/><Relationship Id="rId312" Type="http://schemas.openxmlformats.org/officeDocument/2006/relationships/image" Target="../media/image313.jpeg"/><Relationship Id="rId311" Type="http://schemas.openxmlformats.org/officeDocument/2006/relationships/image" Target="../media/image312.jpeg"/><Relationship Id="rId310" Type="http://schemas.openxmlformats.org/officeDocument/2006/relationships/image" Target="../media/image311.jpeg"/><Relationship Id="rId31" Type="http://schemas.openxmlformats.org/officeDocument/2006/relationships/image" Target="../media/image32.jpeg"/><Relationship Id="rId309" Type="http://schemas.openxmlformats.org/officeDocument/2006/relationships/image" Target="../media/image310.jpeg"/><Relationship Id="rId308" Type="http://schemas.openxmlformats.org/officeDocument/2006/relationships/image" Target="../media/image309.jpeg"/><Relationship Id="rId307" Type="http://schemas.openxmlformats.org/officeDocument/2006/relationships/image" Target="../media/image308.jpeg"/><Relationship Id="rId306" Type="http://schemas.openxmlformats.org/officeDocument/2006/relationships/image" Target="../media/image307.jpeg"/><Relationship Id="rId305" Type="http://schemas.openxmlformats.org/officeDocument/2006/relationships/image" Target="../media/image306.jpeg"/><Relationship Id="rId304" Type="http://schemas.openxmlformats.org/officeDocument/2006/relationships/image" Target="../media/image305.jpeg"/><Relationship Id="rId303" Type="http://schemas.openxmlformats.org/officeDocument/2006/relationships/image" Target="../media/image304.jpeg"/><Relationship Id="rId302" Type="http://schemas.openxmlformats.org/officeDocument/2006/relationships/image" Target="../media/image303.jpeg"/><Relationship Id="rId301" Type="http://schemas.openxmlformats.org/officeDocument/2006/relationships/image" Target="../media/image302.jpeg"/><Relationship Id="rId300" Type="http://schemas.openxmlformats.org/officeDocument/2006/relationships/image" Target="../media/image301.jpeg"/><Relationship Id="rId30" Type="http://schemas.openxmlformats.org/officeDocument/2006/relationships/image" Target="../media/image31.jpeg"/><Relationship Id="rId3" Type="http://schemas.openxmlformats.org/officeDocument/2006/relationships/image" Target="../media/image4.jpeg"/><Relationship Id="rId299" Type="http://schemas.openxmlformats.org/officeDocument/2006/relationships/image" Target="../media/image300.jpeg"/><Relationship Id="rId298" Type="http://schemas.openxmlformats.org/officeDocument/2006/relationships/image" Target="../media/image299.jpeg"/><Relationship Id="rId297" Type="http://schemas.openxmlformats.org/officeDocument/2006/relationships/image" Target="../media/image298.jpeg"/><Relationship Id="rId296" Type="http://schemas.openxmlformats.org/officeDocument/2006/relationships/image" Target="../media/image297.jpeg"/><Relationship Id="rId295" Type="http://schemas.openxmlformats.org/officeDocument/2006/relationships/image" Target="../media/image296.jpeg"/><Relationship Id="rId294" Type="http://schemas.openxmlformats.org/officeDocument/2006/relationships/image" Target="../media/image295.jpeg"/><Relationship Id="rId293" Type="http://schemas.openxmlformats.org/officeDocument/2006/relationships/image" Target="../media/image294.jpeg"/><Relationship Id="rId292" Type="http://schemas.openxmlformats.org/officeDocument/2006/relationships/image" Target="../media/image293.jpeg"/><Relationship Id="rId291" Type="http://schemas.openxmlformats.org/officeDocument/2006/relationships/image" Target="../media/image292.jpeg"/><Relationship Id="rId290" Type="http://schemas.openxmlformats.org/officeDocument/2006/relationships/image" Target="../media/image291.jpeg"/><Relationship Id="rId29" Type="http://schemas.openxmlformats.org/officeDocument/2006/relationships/image" Target="../media/image30.jpeg"/><Relationship Id="rId289" Type="http://schemas.openxmlformats.org/officeDocument/2006/relationships/image" Target="../media/image290.jpeg"/><Relationship Id="rId288" Type="http://schemas.openxmlformats.org/officeDocument/2006/relationships/image" Target="../media/image289.jpeg"/><Relationship Id="rId287" Type="http://schemas.openxmlformats.org/officeDocument/2006/relationships/image" Target="../media/image288.jpeg"/><Relationship Id="rId286" Type="http://schemas.openxmlformats.org/officeDocument/2006/relationships/image" Target="../media/image287.jpeg"/><Relationship Id="rId285" Type="http://schemas.openxmlformats.org/officeDocument/2006/relationships/image" Target="../media/image286.jpeg"/><Relationship Id="rId284" Type="http://schemas.openxmlformats.org/officeDocument/2006/relationships/image" Target="../media/image285.jpeg"/><Relationship Id="rId283" Type="http://schemas.openxmlformats.org/officeDocument/2006/relationships/image" Target="../media/image284.jpeg"/><Relationship Id="rId282" Type="http://schemas.openxmlformats.org/officeDocument/2006/relationships/image" Target="../media/image283.jpeg"/><Relationship Id="rId281" Type="http://schemas.openxmlformats.org/officeDocument/2006/relationships/image" Target="../media/image282.jpeg"/><Relationship Id="rId280" Type="http://schemas.openxmlformats.org/officeDocument/2006/relationships/image" Target="../media/image281.jpeg"/><Relationship Id="rId28" Type="http://schemas.openxmlformats.org/officeDocument/2006/relationships/image" Target="../media/image29.jpeg"/><Relationship Id="rId279" Type="http://schemas.openxmlformats.org/officeDocument/2006/relationships/image" Target="../media/image280.jpeg"/><Relationship Id="rId278" Type="http://schemas.openxmlformats.org/officeDocument/2006/relationships/image" Target="../media/image279.jpeg"/><Relationship Id="rId277" Type="http://schemas.openxmlformats.org/officeDocument/2006/relationships/image" Target="../media/image278.jpeg"/><Relationship Id="rId276" Type="http://schemas.openxmlformats.org/officeDocument/2006/relationships/image" Target="../media/image277.jpeg"/><Relationship Id="rId275" Type="http://schemas.openxmlformats.org/officeDocument/2006/relationships/image" Target="../media/image276.jpeg"/><Relationship Id="rId274" Type="http://schemas.openxmlformats.org/officeDocument/2006/relationships/image" Target="../media/image275.jpeg"/><Relationship Id="rId273" Type="http://schemas.openxmlformats.org/officeDocument/2006/relationships/image" Target="../media/image274.jpeg"/><Relationship Id="rId272" Type="http://schemas.openxmlformats.org/officeDocument/2006/relationships/image" Target="../media/image273.jpeg"/><Relationship Id="rId271" Type="http://schemas.openxmlformats.org/officeDocument/2006/relationships/image" Target="../media/image272.jpeg"/><Relationship Id="rId270" Type="http://schemas.openxmlformats.org/officeDocument/2006/relationships/image" Target="../media/image271.jpeg"/><Relationship Id="rId27" Type="http://schemas.openxmlformats.org/officeDocument/2006/relationships/image" Target="../media/image28.jpeg"/><Relationship Id="rId269" Type="http://schemas.openxmlformats.org/officeDocument/2006/relationships/image" Target="../media/image270.jpeg"/><Relationship Id="rId268" Type="http://schemas.openxmlformats.org/officeDocument/2006/relationships/image" Target="../media/image269.jpeg"/><Relationship Id="rId267" Type="http://schemas.openxmlformats.org/officeDocument/2006/relationships/image" Target="../media/image268.jpeg"/><Relationship Id="rId266" Type="http://schemas.openxmlformats.org/officeDocument/2006/relationships/image" Target="../media/image267.jpeg"/><Relationship Id="rId265" Type="http://schemas.openxmlformats.org/officeDocument/2006/relationships/image" Target="../media/image266.jpeg"/><Relationship Id="rId264" Type="http://schemas.openxmlformats.org/officeDocument/2006/relationships/image" Target="../media/image265.jpeg"/><Relationship Id="rId263" Type="http://schemas.openxmlformats.org/officeDocument/2006/relationships/image" Target="../media/image264.jpeg"/><Relationship Id="rId262" Type="http://schemas.openxmlformats.org/officeDocument/2006/relationships/image" Target="../media/image263.jpeg"/><Relationship Id="rId261" Type="http://schemas.openxmlformats.org/officeDocument/2006/relationships/image" Target="../media/image262.jpeg"/><Relationship Id="rId260" Type="http://schemas.openxmlformats.org/officeDocument/2006/relationships/image" Target="../media/image261.jpeg"/><Relationship Id="rId26" Type="http://schemas.openxmlformats.org/officeDocument/2006/relationships/image" Target="../media/image27.jpeg"/><Relationship Id="rId259" Type="http://schemas.openxmlformats.org/officeDocument/2006/relationships/image" Target="../media/image260.jpeg"/><Relationship Id="rId258" Type="http://schemas.openxmlformats.org/officeDocument/2006/relationships/image" Target="../media/image259.jpeg"/><Relationship Id="rId257" Type="http://schemas.openxmlformats.org/officeDocument/2006/relationships/image" Target="../media/image258.jpeg"/><Relationship Id="rId256" Type="http://schemas.openxmlformats.org/officeDocument/2006/relationships/image" Target="../media/image257.jpeg"/><Relationship Id="rId255" Type="http://schemas.openxmlformats.org/officeDocument/2006/relationships/image" Target="../media/image256.jpeg"/><Relationship Id="rId254" Type="http://schemas.openxmlformats.org/officeDocument/2006/relationships/image" Target="../media/image255.jpeg"/><Relationship Id="rId253" Type="http://schemas.openxmlformats.org/officeDocument/2006/relationships/image" Target="../media/image254.jpeg"/><Relationship Id="rId252" Type="http://schemas.openxmlformats.org/officeDocument/2006/relationships/image" Target="../media/image253.jpeg"/><Relationship Id="rId251" Type="http://schemas.openxmlformats.org/officeDocument/2006/relationships/image" Target="../media/image252.jpeg"/><Relationship Id="rId250" Type="http://schemas.openxmlformats.org/officeDocument/2006/relationships/image" Target="../media/image251.jpeg"/><Relationship Id="rId25" Type="http://schemas.openxmlformats.org/officeDocument/2006/relationships/image" Target="../media/image26.jpeg"/><Relationship Id="rId249" Type="http://schemas.openxmlformats.org/officeDocument/2006/relationships/image" Target="../media/image250.jpeg"/><Relationship Id="rId248" Type="http://schemas.openxmlformats.org/officeDocument/2006/relationships/image" Target="../media/image249.jpeg"/><Relationship Id="rId247" Type="http://schemas.openxmlformats.org/officeDocument/2006/relationships/image" Target="../media/image248.jpeg"/><Relationship Id="rId246" Type="http://schemas.openxmlformats.org/officeDocument/2006/relationships/image" Target="../media/image247.jpeg"/><Relationship Id="rId245" Type="http://schemas.openxmlformats.org/officeDocument/2006/relationships/image" Target="../media/image246.jpeg"/><Relationship Id="rId244" Type="http://schemas.openxmlformats.org/officeDocument/2006/relationships/image" Target="../media/image245.jpeg"/><Relationship Id="rId243" Type="http://schemas.openxmlformats.org/officeDocument/2006/relationships/image" Target="../media/image244.jpeg"/><Relationship Id="rId242" Type="http://schemas.openxmlformats.org/officeDocument/2006/relationships/image" Target="../media/image243.jpeg"/><Relationship Id="rId241" Type="http://schemas.openxmlformats.org/officeDocument/2006/relationships/image" Target="../media/image242.jpeg"/><Relationship Id="rId240" Type="http://schemas.openxmlformats.org/officeDocument/2006/relationships/image" Target="../media/image241.jpeg"/><Relationship Id="rId24" Type="http://schemas.openxmlformats.org/officeDocument/2006/relationships/image" Target="../media/image25.jpeg"/><Relationship Id="rId239" Type="http://schemas.openxmlformats.org/officeDocument/2006/relationships/image" Target="../media/image240.jpeg"/><Relationship Id="rId238" Type="http://schemas.openxmlformats.org/officeDocument/2006/relationships/image" Target="../media/image239.jpeg"/><Relationship Id="rId237" Type="http://schemas.openxmlformats.org/officeDocument/2006/relationships/image" Target="../media/image238.jpeg"/><Relationship Id="rId236" Type="http://schemas.openxmlformats.org/officeDocument/2006/relationships/image" Target="../media/image237.jpeg"/><Relationship Id="rId235" Type="http://schemas.openxmlformats.org/officeDocument/2006/relationships/image" Target="../media/image236.jpeg"/><Relationship Id="rId234" Type="http://schemas.openxmlformats.org/officeDocument/2006/relationships/image" Target="../media/image235.jpeg"/><Relationship Id="rId233" Type="http://schemas.openxmlformats.org/officeDocument/2006/relationships/image" Target="../media/image234.jpeg"/><Relationship Id="rId232" Type="http://schemas.openxmlformats.org/officeDocument/2006/relationships/image" Target="../media/image233.jpeg"/><Relationship Id="rId231" Type="http://schemas.openxmlformats.org/officeDocument/2006/relationships/image" Target="../media/image232.jpeg"/><Relationship Id="rId230" Type="http://schemas.openxmlformats.org/officeDocument/2006/relationships/image" Target="../media/image231.jpeg"/><Relationship Id="rId23" Type="http://schemas.openxmlformats.org/officeDocument/2006/relationships/image" Target="../media/image24.jpeg"/><Relationship Id="rId229" Type="http://schemas.openxmlformats.org/officeDocument/2006/relationships/image" Target="../media/image230.jpeg"/><Relationship Id="rId228" Type="http://schemas.openxmlformats.org/officeDocument/2006/relationships/image" Target="../media/image229.jpeg"/><Relationship Id="rId227" Type="http://schemas.openxmlformats.org/officeDocument/2006/relationships/image" Target="../media/image228.jpeg"/><Relationship Id="rId226" Type="http://schemas.openxmlformats.org/officeDocument/2006/relationships/image" Target="../media/image227.jpeg"/><Relationship Id="rId225" Type="http://schemas.openxmlformats.org/officeDocument/2006/relationships/image" Target="../media/image226.jpeg"/><Relationship Id="rId224" Type="http://schemas.openxmlformats.org/officeDocument/2006/relationships/image" Target="../media/image225.jpeg"/><Relationship Id="rId223" Type="http://schemas.openxmlformats.org/officeDocument/2006/relationships/image" Target="../media/image224.jpeg"/><Relationship Id="rId222" Type="http://schemas.openxmlformats.org/officeDocument/2006/relationships/image" Target="../media/image223.jpeg"/><Relationship Id="rId221" Type="http://schemas.openxmlformats.org/officeDocument/2006/relationships/image" Target="../media/image222.jpeg"/><Relationship Id="rId220" Type="http://schemas.openxmlformats.org/officeDocument/2006/relationships/image" Target="../media/image221.jpeg"/><Relationship Id="rId22" Type="http://schemas.openxmlformats.org/officeDocument/2006/relationships/image" Target="../media/image23.jpeg"/><Relationship Id="rId219" Type="http://schemas.openxmlformats.org/officeDocument/2006/relationships/image" Target="../media/image220.jpeg"/><Relationship Id="rId218" Type="http://schemas.openxmlformats.org/officeDocument/2006/relationships/image" Target="../media/image219.jpeg"/><Relationship Id="rId217" Type="http://schemas.openxmlformats.org/officeDocument/2006/relationships/image" Target="../media/image218.jpeg"/><Relationship Id="rId216" Type="http://schemas.openxmlformats.org/officeDocument/2006/relationships/image" Target="../media/image217.jpeg"/><Relationship Id="rId215" Type="http://schemas.openxmlformats.org/officeDocument/2006/relationships/image" Target="../media/image216.jpeg"/><Relationship Id="rId214" Type="http://schemas.openxmlformats.org/officeDocument/2006/relationships/image" Target="../media/image215.jpeg"/><Relationship Id="rId213" Type="http://schemas.openxmlformats.org/officeDocument/2006/relationships/image" Target="../media/image214.jpeg"/><Relationship Id="rId212" Type="http://schemas.openxmlformats.org/officeDocument/2006/relationships/image" Target="../media/image213.jpeg"/><Relationship Id="rId211" Type="http://schemas.openxmlformats.org/officeDocument/2006/relationships/image" Target="../media/image212.jpeg"/><Relationship Id="rId210" Type="http://schemas.openxmlformats.org/officeDocument/2006/relationships/image" Target="../media/image211.jpeg"/><Relationship Id="rId21" Type="http://schemas.openxmlformats.org/officeDocument/2006/relationships/image" Target="../media/image22.jpeg"/><Relationship Id="rId209" Type="http://schemas.openxmlformats.org/officeDocument/2006/relationships/image" Target="../media/image210.jpeg"/><Relationship Id="rId208" Type="http://schemas.openxmlformats.org/officeDocument/2006/relationships/image" Target="../media/image209.jpeg"/><Relationship Id="rId207" Type="http://schemas.openxmlformats.org/officeDocument/2006/relationships/image" Target="../media/image208.jpeg"/><Relationship Id="rId206" Type="http://schemas.openxmlformats.org/officeDocument/2006/relationships/image" Target="../media/image207.jpeg"/><Relationship Id="rId205" Type="http://schemas.openxmlformats.org/officeDocument/2006/relationships/image" Target="../media/image206.jpeg"/><Relationship Id="rId204" Type="http://schemas.openxmlformats.org/officeDocument/2006/relationships/image" Target="../media/image205.jpeg"/><Relationship Id="rId203" Type="http://schemas.openxmlformats.org/officeDocument/2006/relationships/image" Target="../media/image204.jpeg"/><Relationship Id="rId202" Type="http://schemas.openxmlformats.org/officeDocument/2006/relationships/image" Target="../media/image203.jpeg"/><Relationship Id="rId201" Type="http://schemas.openxmlformats.org/officeDocument/2006/relationships/image" Target="../media/image202.jpeg"/><Relationship Id="rId200" Type="http://schemas.openxmlformats.org/officeDocument/2006/relationships/image" Target="../media/image201.jpeg"/><Relationship Id="rId20" Type="http://schemas.openxmlformats.org/officeDocument/2006/relationships/image" Target="../media/image21.jpeg"/><Relationship Id="rId2" Type="http://schemas.openxmlformats.org/officeDocument/2006/relationships/image" Target="NULL" TargetMode="External"/><Relationship Id="rId199" Type="http://schemas.openxmlformats.org/officeDocument/2006/relationships/image" Target="../media/image200.jpeg"/><Relationship Id="rId198" Type="http://schemas.openxmlformats.org/officeDocument/2006/relationships/image" Target="../media/image199.jpeg"/><Relationship Id="rId197" Type="http://schemas.openxmlformats.org/officeDocument/2006/relationships/image" Target="../media/image198.jpeg"/><Relationship Id="rId196" Type="http://schemas.openxmlformats.org/officeDocument/2006/relationships/image" Target="../media/image197.jpeg"/><Relationship Id="rId195" Type="http://schemas.openxmlformats.org/officeDocument/2006/relationships/image" Target="../media/image196.jpeg"/><Relationship Id="rId194" Type="http://schemas.openxmlformats.org/officeDocument/2006/relationships/image" Target="../media/image195.jpeg"/><Relationship Id="rId193" Type="http://schemas.openxmlformats.org/officeDocument/2006/relationships/image" Target="../media/image194.jpeg"/><Relationship Id="rId192" Type="http://schemas.openxmlformats.org/officeDocument/2006/relationships/image" Target="../media/image193.jpeg"/><Relationship Id="rId191" Type="http://schemas.openxmlformats.org/officeDocument/2006/relationships/image" Target="../media/image192.jpeg"/><Relationship Id="rId190" Type="http://schemas.openxmlformats.org/officeDocument/2006/relationships/image" Target="../media/image191.jpeg"/><Relationship Id="rId19" Type="http://schemas.openxmlformats.org/officeDocument/2006/relationships/image" Target="../media/image20.jpeg"/><Relationship Id="rId189" Type="http://schemas.openxmlformats.org/officeDocument/2006/relationships/image" Target="../media/image190.jpeg"/><Relationship Id="rId188" Type="http://schemas.openxmlformats.org/officeDocument/2006/relationships/image" Target="../media/image189.jpeg"/><Relationship Id="rId187" Type="http://schemas.openxmlformats.org/officeDocument/2006/relationships/image" Target="../media/image188.jpeg"/><Relationship Id="rId186" Type="http://schemas.openxmlformats.org/officeDocument/2006/relationships/image" Target="../media/image187.jpeg"/><Relationship Id="rId185" Type="http://schemas.openxmlformats.org/officeDocument/2006/relationships/image" Target="../media/image186.jpeg"/><Relationship Id="rId184" Type="http://schemas.openxmlformats.org/officeDocument/2006/relationships/image" Target="../media/image185.jpeg"/><Relationship Id="rId183" Type="http://schemas.openxmlformats.org/officeDocument/2006/relationships/image" Target="../media/image184.jpeg"/><Relationship Id="rId182" Type="http://schemas.openxmlformats.org/officeDocument/2006/relationships/image" Target="../media/image183.jpeg"/><Relationship Id="rId181" Type="http://schemas.openxmlformats.org/officeDocument/2006/relationships/image" Target="../media/image182.jpeg"/><Relationship Id="rId180" Type="http://schemas.openxmlformats.org/officeDocument/2006/relationships/image" Target="../media/image181.jpeg"/><Relationship Id="rId18" Type="http://schemas.openxmlformats.org/officeDocument/2006/relationships/image" Target="../media/image19.jpeg"/><Relationship Id="rId179" Type="http://schemas.openxmlformats.org/officeDocument/2006/relationships/image" Target="../media/image180.jpeg"/><Relationship Id="rId178" Type="http://schemas.openxmlformats.org/officeDocument/2006/relationships/image" Target="../media/image179.jpeg"/><Relationship Id="rId177" Type="http://schemas.openxmlformats.org/officeDocument/2006/relationships/image" Target="../media/image178.jpeg"/><Relationship Id="rId176" Type="http://schemas.openxmlformats.org/officeDocument/2006/relationships/image" Target="../media/image177.jpeg"/><Relationship Id="rId175" Type="http://schemas.openxmlformats.org/officeDocument/2006/relationships/image" Target="../media/image176.jpeg"/><Relationship Id="rId174" Type="http://schemas.openxmlformats.org/officeDocument/2006/relationships/image" Target="../media/image175.jpeg"/><Relationship Id="rId173" Type="http://schemas.openxmlformats.org/officeDocument/2006/relationships/image" Target="../media/image174.jpeg"/><Relationship Id="rId172" Type="http://schemas.openxmlformats.org/officeDocument/2006/relationships/image" Target="../media/image173.jpeg"/><Relationship Id="rId171" Type="http://schemas.openxmlformats.org/officeDocument/2006/relationships/image" Target="../media/image172.jpeg"/><Relationship Id="rId170" Type="http://schemas.openxmlformats.org/officeDocument/2006/relationships/image" Target="../media/image171.jpeg"/><Relationship Id="rId17" Type="http://schemas.openxmlformats.org/officeDocument/2006/relationships/image" Target="../media/image18.jpeg"/><Relationship Id="rId169" Type="http://schemas.openxmlformats.org/officeDocument/2006/relationships/image" Target="../media/image170.jpeg"/><Relationship Id="rId168" Type="http://schemas.openxmlformats.org/officeDocument/2006/relationships/image" Target="../media/image169.jpeg"/><Relationship Id="rId167" Type="http://schemas.openxmlformats.org/officeDocument/2006/relationships/image" Target="../media/image168.jpeg"/><Relationship Id="rId166" Type="http://schemas.openxmlformats.org/officeDocument/2006/relationships/image" Target="../media/image167.jpeg"/><Relationship Id="rId165" Type="http://schemas.openxmlformats.org/officeDocument/2006/relationships/image" Target="../media/image166.jpeg"/><Relationship Id="rId164" Type="http://schemas.openxmlformats.org/officeDocument/2006/relationships/image" Target="../media/image165.jpeg"/><Relationship Id="rId163" Type="http://schemas.openxmlformats.org/officeDocument/2006/relationships/image" Target="../media/image164.jpeg"/><Relationship Id="rId162" Type="http://schemas.openxmlformats.org/officeDocument/2006/relationships/image" Target="../media/image163.jpeg"/><Relationship Id="rId161" Type="http://schemas.openxmlformats.org/officeDocument/2006/relationships/image" Target="../media/image162.jpeg"/><Relationship Id="rId160" Type="http://schemas.openxmlformats.org/officeDocument/2006/relationships/image" Target="../media/image161.jpeg"/><Relationship Id="rId16" Type="http://schemas.openxmlformats.org/officeDocument/2006/relationships/image" Target="../media/image17.jpeg"/><Relationship Id="rId159" Type="http://schemas.openxmlformats.org/officeDocument/2006/relationships/image" Target="../media/image160.jpeg"/><Relationship Id="rId158" Type="http://schemas.openxmlformats.org/officeDocument/2006/relationships/image" Target="../media/image159.jpeg"/><Relationship Id="rId157" Type="http://schemas.openxmlformats.org/officeDocument/2006/relationships/image" Target="../media/image158.jpeg"/><Relationship Id="rId156" Type="http://schemas.openxmlformats.org/officeDocument/2006/relationships/image" Target="../media/image157.jpeg"/><Relationship Id="rId155" Type="http://schemas.openxmlformats.org/officeDocument/2006/relationships/image" Target="../media/image156.jpeg"/><Relationship Id="rId154" Type="http://schemas.openxmlformats.org/officeDocument/2006/relationships/image" Target="../media/image155.jpeg"/><Relationship Id="rId153" Type="http://schemas.openxmlformats.org/officeDocument/2006/relationships/image" Target="../media/image154.jpeg"/><Relationship Id="rId152" Type="http://schemas.openxmlformats.org/officeDocument/2006/relationships/image" Target="../media/image153.jpeg"/><Relationship Id="rId151" Type="http://schemas.openxmlformats.org/officeDocument/2006/relationships/image" Target="../media/image152.jpeg"/><Relationship Id="rId150" Type="http://schemas.openxmlformats.org/officeDocument/2006/relationships/image" Target="../media/image151.jpeg"/><Relationship Id="rId15" Type="http://schemas.openxmlformats.org/officeDocument/2006/relationships/image" Target="../media/image16.jpeg"/><Relationship Id="rId149" Type="http://schemas.openxmlformats.org/officeDocument/2006/relationships/image" Target="../media/image150.jpeg"/><Relationship Id="rId148" Type="http://schemas.openxmlformats.org/officeDocument/2006/relationships/image" Target="../media/image149.jpeg"/><Relationship Id="rId147" Type="http://schemas.openxmlformats.org/officeDocument/2006/relationships/image" Target="../media/image148.jpeg"/><Relationship Id="rId146" Type="http://schemas.openxmlformats.org/officeDocument/2006/relationships/image" Target="../media/image147.jpeg"/><Relationship Id="rId145" Type="http://schemas.openxmlformats.org/officeDocument/2006/relationships/image" Target="../media/image146.jpeg"/><Relationship Id="rId144" Type="http://schemas.openxmlformats.org/officeDocument/2006/relationships/image" Target="../media/image145.jpeg"/><Relationship Id="rId143" Type="http://schemas.openxmlformats.org/officeDocument/2006/relationships/image" Target="../media/image144.jpeg"/><Relationship Id="rId142" Type="http://schemas.openxmlformats.org/officeDocument/2006/relationships/image" Target="../media/image143.jpeg"/><Relationship Id="rId141" Type="http://schemas.openxmlformats.org/officeDocument/2006/relationships/image" Target="../media/image142.jpeg"/><Relationship Id="rId140" Type="http://schemas.openxmlformats.org/officeDocument/2006/relationships/image" Target="../media/image141.jpeg"/><Relationship Id="rId14" Type="http://schemas.openxmlformats.org/officeDocument/2006/relationships/image" Target="../media/image15.jpeg"/><Relationship Id="rId139" Type="http://schemas.openxmlformats.org/officeDocument/2006/relationships/image" Target="../media/image140.jpeg"/><Relationship Id="rId138" Type="http://schemas.openxmlformats.org/officeDocument/2006/relationships/image" Target="../media/image139.jpeg"/><Relationship Id="rId137" Type="http://schemas.openxmlformats.org/officeDocument/2006/relationships/image" Target="../media/image138.jpeg"/><Relationship Id="rId136" Type="http://schemas.openxmlformats.org/officeDocument/2006/relationships/image" Target="../media/image137.jpeg"/><Relationship Id="rId135" Type="http://schemas.openxmlformats.org/officeDocument/2006/relationships/image" Target="../media/image136.jpeg"/><Relationship Id="rId134" Type="http://schemas.openxmlformats.org/officeDocument/2006/relationships/image" Target="../media/image135.jpeg"/><Relationship Id="rId133" Type="http://schemas.openxmlformats.org/officeDocument/2006/relationships/image" Target="../media/image134.jpeg"/><Relationship Id="rId132" Type="http://schemas.openxmlformats.org/officeDocument/2006/relationships/image" Target="../media/image133.jpeg"/><Relationship Id="rId131" Type="http://schemas.openxmlformats.org/officeDocument/2006/relationships/image" Target="../media/image132.jpeg"/><Relationship Id="rId130" Type="http://schemas.openxmlformats.org/officeDocument/2006/relationships/image" Target="../media/image131.jpeg"/><Relationship Id="rId13" Type="http://schemas.openxmlformats.org/officeDocument/2006/relationships/image" Target="../media/image14.jpeg"/><Relationship Id="rId129" Type="http://schemas.openxmlformats.org/officeDocument/2006/relationships/image" Target="../media/image130.jpeg"/><Relationship Id="rId128" Type="http://schemas.openxmlformats.org/officeDocument/2006/relationships/image" Target="../media/image129.jpeg"/><Relationship Id="rId127" Type="http://schemas.openxmlformats.org/officeDocument/2006/relationships/image" Target="../media/image128.jpeg"/><Relationship Id="rId126" Type="http://schemas.openxmlformats.org/officeDocument/2006/relationships/image" Target="../media/image127.jpeg"/><Relationship Id="rId125" Type="http://schemas.openxmlformats.org/officeDocument/2006/relationships/image" Target="../media/image126.jpeg"/><Relationship Id="rId124" Type="http://schemas.openxmlformats.org/officeDocument/2006/relationships/image" Target="../media/image125.jpeg"/><Relationship Id="rId123" Type="http://schemas.openxmlformats.org/officeDocument/2006/relationships/image" Target="../media/image124.jpeg"/><Relationship Id="rId122" Type="http://schemas.openxmlformats.org/officeDocument/2006/relationships/image" Target="../media/image123.jpeg"/><Relationship Id="rId121" Type="http://schemas.openxmlformats.org/officeDocument/2006/relationships/image" Target="../media/image122.jpeg"/><Relationship Id="rId120" Type="http://schemas.openxmlformats.org/officeDocument/2006/relationships/image" Target="../media/image121.jpeg"/><Relationship Id="rId12" Type="http://schemas.openxmlformats.org/officeDocument/2006/relationships/image" Target="../media/image13.jpeg"/><Relationship Id="rId119" Type="http://schemas.openxmlformats.org/officeDocument/2006/relationships/image" Target="../media/image120.jpeg"/><Relationship Id="rId118" Type="http://schemas.openxmlformats.org/officeDocument/2006/relationships/image" Target="../media/image119.jpeg"/><Relationship Id="rId117" Type="http://schemas.openxmlformats.org/officeDocument/2006/relationships/image" Target="../media/image118.jpeg"/><Relationship Id="rId116" Type="http://schemas.openxmlformats.org/officeDocument/2006/relationships/image" Target="../media/image117.jpeg"/><Relationship Id="rId115" Type="http://schemas.openxmlformats.org/officeDocument/2006/relationships/image" Target="../media/image116.jpeg"/><Relationship Id="rId114" Type="http://schemas.openxmlformats.org/officeDocument/2006/relationships/image" Target="../media/image115.jpeg"/><Relationship Id="rId113" Type="http://schemas.openxmlformats.org/officeDocument/2006/relationships/image" Target="../media/image114.jpeg"/><Relationship Id="rId112" Type="http://schemas.openxmlformats.org/officeDocument/2006/relationships/image" Target="../media/image113.jpeg"/><Relationship Id="rId111" Type="http://schemas.openxmlformats.org/officeDocument/2006/relationships/image" Target="../media/image112.jpeg"/><Relationship Id="rId110" Type="http://schemas.openxmlformats.org/officeDocument/2006/relationships/image" Target="../media/image111.jpeg"/><Relationship Id="rId11" Type="http://schemas.openxmlformats.org/officeDocument/2006/relationships/image" Target="../media/image12.jpeg"/><Relationship Id="rId109" Type="http://schemas.openxmlformats.org/officeDocument/2006/relationships/image" Target="../media/image110.jpeg"/><Relationship Id="rId108" Type="http://schemas.openxmlformats.org/officeDocument/2006/relationships/image" Target="../media/image109.jpeg"/><Relationship Id="rId107" Type="http://schemas.openxmlformats.org/officeDocument/2006/relationships/image" Target="../media/image108.jpeg"/><Relationship Id="rId106" Type="http://schemas.openxmlformats.org/officeDocument/2006/relationships/image" Target="../media/image107.jpeg"/><Relationship Id="rId105" Type="http://schemas.openxmlformats.org/officeDocument/2006/relationships/image" Target="../media/image106.jpeg"/><Relationship Id="rId104" Type="http://schemas.openxmlformats.org/officeDocument/2006/relationships/image" Target="../media/image105.jpeg"/><Relationship Id="rId103" Type="http://schemas.openxmlformats.org/officeDocument/2006/relationships/image" Target="../media/image104.jpeg"/><Relationship Id="rId102" Type="http://schemas.openxmlformats.org/officeDocument/2006/relationships/image" Target="../media/image103.jpeg"/><Relationship Id="rId101" Type="http://schemas.openxmlformats.org/officeDocument/2006/relationships/image" Target="../media/image102.jpeg"/><Relationship Id="rId100" Type="http://schemas.openxmlformats.org/officeDocument/2006/relationships/image" Target="../media/image101.jpeg"/><Relationship Id="rId10" Type="http://schemas.openxmlformats.org/officeDocument/2006/relationships/image" Target="../media/image11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3.wmf"/><Relationship Id="rId1" Type="http://schemas.openxmlformats.org/officeDocument/2006/relationships/image" Target="../media/image41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20320</xdr:colOff>
      <xdr:row>3</xdr:row>
      <xdr:rowOff>34925</xdr:rowOff>
    </xdr:from>
    <xdr:to>
      <xdr:col>9</xdr:col>
      <xdr:colOff>784225</xdr:colOff>
      <xdr:row>20</xdr:row>
      <xdr:rowOff>155575</xdr:rowOff>
    </xdr:to>
    <xdr:graphicFrame>
      <xdr:nvGraphicFramePr>
        <xdr:cNvPr id="4" name="图表 3"/>
        <xdr:cNvGraphicFramePr/>
      </xdr:nvGraphicFramePr>
      <xdr:xfrm>
        <a:off x="1591945" y="976630"/>
        <a:ext cx="5621655" cy="4460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16383</xdr:col>
          <xdr:colOff>9525</xdr:colOff>
          <xdr:row>3</xdr:row>
          <xdr:rowOff>9525</xdr:rowOff>
        </xdr:to>
        <xdr:sp>
          <xdr:nvSpPr>
            <xdr:cNvPr id="1031" name="GetTim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6438900" y="695960"/>
              <a:ext cx="809625" cy="255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635</xdr:colOff>
      <xdr:row>3</xdr:row>
      <xdr:rowOff>26035</xdr:rowOff>
    </xdr:from>
    <xdr:to>
      <xdr:col>7</xdr:col>
      <xdr:colOff>786130</xdr:colOff>
      <xdr:row>16</xdr:row>
      <xdr:rowOff>257175</xdr:rowOff>
    </xdr:to>
    <xdr:graphicFrame>
      <xdr:nvGraphicFramePr>
        <xdr:cNvPr id="3" name="图表 2"/>
        <xdr:cNvGraphicFramePr/>
      </xdr:nvGraphicFramePr>
      <xdr:xfrm>
        <a:off x="635" y="883285"/>
        <a:ext cx="6452870" cy="37077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>
          <xdr:nvSpPr>
            <xdr:cNvPr id="2050" name="GetTim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4857750" y="0"/>
              <a:ext cx="1619250" cy="285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2876" name="图片 287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8860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2877" name="图片 2876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28860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2878" name="图片 2877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28860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2879" name="图片 2878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28860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2880" name="图片 2879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28860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2881" name="图片 288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8860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2882" name="图片 2881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28860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2883" name="图片 2882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28860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2884" name="图片 2883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28860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2885" name="图片 2884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28860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2886" name="图片 2885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28860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2887" name="图片 2886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28860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2888" name="图片 2887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28860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2889" name="图片 288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8860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2890" name="图片 2889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28860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2891" name="图片 2890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28860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2892" name="图片 2891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28860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2893" name="图片 2892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28860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2894" name="图片 2893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28860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2895" name="图片 2894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28860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2896" name="图片 2895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28860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2897" name="图片 2896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28860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2898" name="图片 2897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28860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2899" name="图片 2898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28860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2900" name="图片 2899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28860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2901" name="图片 2900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28860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2902" name="图片 2901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28860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2903" name="图片 2902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28860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2904" name="图片 2903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28860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2905" name="图片 2904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28860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2906" name="图片 2905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28860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2907" name="图片 2906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28860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2908" name="图片 2907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28860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2909" name="图片 2908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28860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2910" name="图片 2909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28860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2911" name="图片 2910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28860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2912" name="图片 2911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28860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2913" name="图片 2912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28860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2914" name="图片 2913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28860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2915" name="图片 2914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38481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2916" name="图片 2915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38481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2917" name="图片 2916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38481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2918" name="图片 2917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38481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2919" name="图片 2918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38481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2920" name="图片 2919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38481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2921" name="图片 2920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38481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2922" name="图片 2921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38481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2923" name="图片 292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8481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2924" name="图片 2923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38481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2925" name="图片 2924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38481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2926" name="图片 2925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38481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2927" name="图片 2926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38481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2928" name="图片 2927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38481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2929" name="图片 2928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38481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2930" name="图片 2929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38481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2931" name="图片 2930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38481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2932" name="图片 293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8481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2933" name="图片 2932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38481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2934" name="图片 2933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38481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2935" name="图片 2934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38481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2936" name="图片 2935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38481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2937" name="图片 2936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38481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2938" name="图片 2937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38481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2939" name="图片 2938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38481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2940" name="图片 2939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38481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2941" name="图片 2940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38481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2942" name="图片 2941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38481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2943" name="图片 2942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38481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2944" name="图片 2943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38481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2945" name="图片 2944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38481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2946" name="图片 2945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38481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2947" name="图片 2946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38481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2948" name="图片 2947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38481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2949" name="图片 2948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38481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2950" name="图片 2949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38481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2951" name="图片 2950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38481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2952" name="图片 295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8481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2953" name="图片 2952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38481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2954" name="图片 2953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38481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2955" name="图片 2954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48101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2956" name="图片 2955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48101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2957" name="图片 2956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48101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2958" name="图片 2957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48101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2959" name="图片 2958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48101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2960" name="图片 2959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48101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2961" name="图片 2960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48101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2962" name="图片 2961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48101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2963" name="图片 2962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48101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2964" name="图片 2963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48101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2965" name="图片 296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8101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2966" name="图片 2965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48101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2967" name="图片 296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8101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2968" name="图片 2967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48101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2969" name="图片 2968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48101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2970" name="图片 2969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48101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2971" name="图片 2970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48101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2972" name="图片 2971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48101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2973" name="图片 2972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48101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2974" name="图片 2973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48101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2975" name="图片 2974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48101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2976" name="图片 2975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48101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2977" name="图片 2976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48101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2978" name="图片 2977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48101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2979" name="图片 2978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48101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2980" name="图片 2979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48101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2981" name="图片 2980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48101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2982" name="图片 2981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48101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2983" name="图片 2982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48101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2984" name="图片 2983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48101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2985" name="图片 2984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48101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2986" name="图片 2985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48101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2987" name="图片 2986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48101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2988" name="图片 2987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48101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2989" name="图片 2988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48101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2990" name="图片 298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8101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2991" name="图片 2990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48101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2992" name="图片 2991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48101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2993" name="图片 2992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48101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2994" name="图片 2993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48101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2995" name="图片 2994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5772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2996" name="图片 2995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5772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2997" name="图片 2996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5772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2998" name="图片 2997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5772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2999" name="图片 2998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5772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3000" name="图片 2999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5772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3001" name="图片 300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772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3002" name="图片 3001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5772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3003" name="图片 3002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5772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3004" name="图片 300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772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3005" name="图片 3004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5772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3006" name="图片 300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772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3007" name="图片 3006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5772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3008" name="图片 3007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5772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3009" name="图片 3008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5772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3010" name="图片 3009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5772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3011" name="图片 3010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5772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3012" name="图片 3011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5772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3013" name="图片 3012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5772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3014" name="图片 3013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5772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3015" name="图片 3014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5772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3016" name="图片 3015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5772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3017" name="图片 3016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5772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3018" name="图片 3017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5772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3019" name="图片 3018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5772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3020" name="图片 3019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5772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3021" name="图片 3020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5772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3022" name="图片 3021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5772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3023" name="图片 3022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5772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3024" name="图片 3023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5772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3025" name="图片 3024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5772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3026" name="图片 3025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5772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3027" name="图片 3026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5772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3028" name="图片 3027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5772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3029" name="图片 3028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5772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3030" name="图片 3029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5772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3031" name="图片 3030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5772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3032" name="图片 3031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5772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3033" name="图片 3032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5772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3034" name="图片 3033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5772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3035" name="图片 3034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67341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3036" name="图片 3035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67341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3037" name="图片 303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7341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3038" name="图片 3037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67341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3039" name="图片 3038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67341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3040" name="图片 3039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67341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3041" name="图片 3040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67341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3042" name="图片 3041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67341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3043" name="图片 3042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67341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3044" name="图片 304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7341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3045" name="图片 3044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67341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3046" name="图片 3045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67341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3047" name="图片 3046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67341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3048" name="图片 3047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67341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3049" name="图片 3048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67341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3050" name="图片 3049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67341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3051" name="图片 3050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67341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3052" name="图片 3051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67341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3053" name="图片 3052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67341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3054" name="图片 3053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67341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3055" name="图片 3054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67341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3056" name="图片 3055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67341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3057" name="图片 3056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67341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3058" name="图片 3057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67341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3059" name="图片 3058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67341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3060" name="图片 305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7341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3061" name="图片 3060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67341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3062" name="图片 3061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67341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3063" name="图片 3062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67341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3064" name="图片 3063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67341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3065" name="图片 3064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67341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3066" name="图片 3065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67341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3067" name="图片 3066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67341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3068" name="图片 3067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67341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3069" name="图片 3068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67341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3070" name="图片 3069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67341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3071" name="图片 3070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67341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3072" name="图片 3071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67341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3073" name="图片 3072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67341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3074" name="图片 3073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67341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3075" name="图片 3074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962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3076" name="图片 3075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962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3077" name="图片 3076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962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3078" name="图片 3077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962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3079" name="图片 3078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962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3080" name="图片 3079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962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3081" name="图片 3080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962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3082" name="图片 3081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962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3083" name="图片 3082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962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3084" name="图片 3083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962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3085" name="图片 3084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962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3086" name="图片 3085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962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3087" name="图片 3086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962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3088" name="图片 3087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962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3089" name="图片 308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962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3090" name="图片 3089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962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3091" name="图片 3090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962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3092" name="图片 3091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962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3093" name="图片 309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962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3094" name="图片 3093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962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3095" name="图片 3094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962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3096" name="图片 3095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962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3097" name="图片 3096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962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3098" name="图片 3097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962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3099" name="图片 3098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962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3100" name="图片 3099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962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3101" name="图片 3100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962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3102" name="图片 3101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962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3103" name="图片 3102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962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3104" name="图片 3103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962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3105" name="图片 3104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962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3106" name="图片 3105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962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3107" name="图片 3106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962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3108" name="图片 3107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962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3109" name="图片 3108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962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3110" name="图片 3109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962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3111" name="图片 311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962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3112" name="图片 3111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962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3113" name="图片 3112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962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3114" name="图片 3113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962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3115" name="图片 3114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86582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3116" name="图片 311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86582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3117" name="图片 3116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86582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3118" name="图片 3117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86582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3119" name="图片 3118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86582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3120" name="图片 3119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86582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3121" name="图片 3120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86582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3122" name="图片 3121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86582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3123" name="图片 3122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86582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3124" name="图片 312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86582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3125" name="图片 3124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86582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3126" name="图片 3125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86582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3127" name="图片 3126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86582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3128" name="图片 3127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86582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3129" name="图片 3128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86582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3130" name="图片 3129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86582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3131" name="图片 3130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86582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3132" name="图片 3131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86582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3133" name="图片 3132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86582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3134" name="图片 3133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86582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3135" name="图片 3134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86582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3136" name="图片 3135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86582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3137" name="图片 3136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86582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3138" name="图片 3137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86582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3139" name="图片 3138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86582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3140" name="图片 3139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86582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3141" name="图片 3140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86582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3142" name="图片 3141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86582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3143" name="图片 3142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86582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3144" name="图片 3143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86582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3145" name="图片 3144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86582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3146" name="图片 3145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86582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3147" name="图片 3146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86582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3148" name="图片 3147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86582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3149" name="图片 3148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86582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3150" name="图片 3149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86582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3151" name="图片 3150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86582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3152" name="图片 315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86582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3153" name="图片 3152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86582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3154" name="图片 3153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86582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381000</xdr:colOff>
      <xdr:row>4</xdr:row>
      <xdr:rowOff>171450</xdr:rowOff>
    </xdr:to>
    <xdr:pic>
      <xdr:nvPicPr>
        <xdr:cNvPr id="3155" name="图片 3154"/>
        <xdr:cNvPicPr>
          <a:picLocks noChangeAspect="1"/>
        </xdr:cNvPicPr>
      </xdr:nvPicPr>
      <xdr:blipFill>
        <a:blip r:embed="rId226" r:link="rId2"/>
        <a:stretch>
          <a:fillRect/>
        </a:stretch>
      </xdr:blipFill>
      <xdr:spPr>
        <a:xfrm>
          <a:off x="96202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381000</xdr:colOff>
      <xdr:row>8</xdr:row>
      <xdr:rowOff>171450</xdr:rowOff>
    </xdr:to>
    <xdr:pic>
      <xdr:nvPicPr>
        <xdr:cNvPr id="3156" name="图片 315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96202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381000</xdr:colOff>
      <xdr:row>12</xdr:row>
      <xdr:rowOff>171450</xdr:rowOff>
    </xdr:to>
    <xdr:pic>
      <xdr:nvPicPr>
        <xdr:cNvPr id="3157" name="图片 3156"/>
        <xdr:cNvPicPr>
          <a:picLocks noChangeAspect="1"/>
        </xdr:cNvPicPr>
      </xdr:nvPicPr>
      <xdr:blipFill>
        <a:blip r:embed="rId227" r:link="rId2"/>
        <a:stretch>
          <a:fillRect/>
        </a:stretch>
      </xdr:blipFill>
      <xdr:spPr>
        <a:xfrm>
          <a:off x="96202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381000</xdr:colOff>
      <xdr:row>15</xdr:row>
      <xdr:rowOff>171450</xdr:rowOff>
    </xdr:to>
    <xdr:pic>
      <xdr:nvPicPr>
        <xdr:cNvPr id="3158" name="图片 3157"/>
        <xdr:cNvPicPr>
          <a:picLocks noChangeAspect="1"/>
        </xdr:cNvPicPr>
      </xdr:nvPicPr>
      <xdr:blipFill>
        <a:blip r:embed="rId228" r:link="rId2"/>
        <a:stretch>
          <a:fillRect/>
        </a:stretch>
      </xdr:blipFill>
      <xdr:spPr>
        <a:xfrm>
          <a:off x="96202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381000</xdr:colOff>
      <xdr:row>19</xdr:row>
      <xdr:rowOff>171450</xdr:rowOff>
    </xdr:to>
    <xdr:pic>
      <xdr:nvPicPr>
        <xdr:cNvPr id="3159" name="图片 3158"/>
        <xdr:cNvPicPr>
          <a:picLocks noChangeAspect="1"/>
        </xdr:cNvPicPr>
      </xdr:nvPicPr>
      <xdr:blipFill>
        <a:blip r:embed="rId229" r:link="rId2"/>
        <a:stretch>
          <a:fillRect/>
        </a:stretch>
      </xdr:blipFill>
      <xdr:spPr>
        <a:xfrm>
          <a:off x="96202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10</xdr:col>
      <xdr:colOff>381000</xdr:colOff>
      <xdr:row>23</xdr:row>
      <xdr:rowOff>171450</xdr:rowOff>
    </xdr:to>
    <xdr:pic>
      <xdr:nvPicPr>
        <xdr:cNvPr id="3160" name="图片 315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96202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10</xdr:col>
      <xdr:colOff>381000</xdr:colOff>
      <xdr:row>26</xdr:row>
      <xdr:rowOff>171450</xdr:rowOff>
    </xdr:to>
    <xdr:pic>
      <xdr:nvPicPr>
        <xdr:cNvPr id="3161" name="图片 3160"/>
        <xdr:cNvPicPr>
          <a:picLocks noChangeAspect="1"/>
        </xdr:cNvPicPr>
      </xdr:nvPicPr>
      <xdr:blipFill>
        <a:blip r:embed="rId230" r:link="rId2"/>
        <a:stretch>
          <a:fillRect/>
        </a:stretch>
      </xdr:blipFill>
      <xdr:spPr>
        <a:xfrm>
          <a:off x="96202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10</xdr:col>
      <xdr:colOff>381000</xdr:colOff>
      <xdr:row>30</xdr:row>
      <xdr:rowOff>171450</xdr:rowOff>
    </xdr:to>
    <xdr:pic>
      <xdr:nvPicPr>
        <xdr:cNvPr id="3162" name="图片 3161"/>
        <xdr:cNvPicPr>
          <a:picLocks noChangeAspect="1"/>
        </xdr:cNvPicPr>
      </xdr:nvPicPr>
      <xdr:blipFill>
        <a:blip r:embed="rId231" r:link="rId2"/>
        <a:stretch>
          <a:fillRect/>
        </a:stretch>
      </xdr:blipFill>
      <xdr:spPr>
        <a:xfrm>
          <a:off x="96202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33</xdr:row>
      <xdr:rowOff>0</xdr:rowOff>
    </xdr:from>
    <xdr:to>
      <xdr:col>10</xdr:col>
      <xdr:colOff>381000</xdr:colOff>
      <xdr:row>34</xdr:row>
      <xdr:rowOff>171450</xdr:rowOff>
    </xdr:to>
    <xdr:pic>
      <xdr:nvPicPr>
        <xdr:cNvPr id="3163" name="图片 3162"/>
        <xdr:cNvPicPr>
          <a:picLocks noChangeAspect="1"/>
        </xdr:cNvPicPr>
      </xdr:nvPicPr>
      <xdr:blipFill>
        <a:blip r:embed="rId232" r:link="rId2"/>
        <a:stretch>
          <a:fillRect/>
        </a:stretch>
      </xdr:blipFill>
      <xdr:spPr>
        <a:xfrm>
          <a:off x="96202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36</xdr:row>
      <xdr:rowOff>0</xdr:rowOff>
    </xdr:from>
    <xdr:to>
      <xdr:col>10</xdr:col>
      <xdr:colOff>381000</xdr:colOff>
      <xdr:row>37</xdr:row>
      <xdr:rowOff>171450</xdr:rowOff>
    </xdr:to>
    <xdr:pic>
      <xdr:nvPicPr>
        <xdr:cNvPr id="3164" name="图片 3163"/>
        <xdr:cNvPicPr>
          <a:picLocks noChangeAspect="1"/>
        </xdr:cNvPicPr>
      </xdr:nvPicPr>
      <xdr:blipFill>
        <a:blip r:embed="rId233" r:link="rId2"/>
        <a:stretch>
          <a:fillRect/>
        </a:stretch>
      </xdr:blipFill>
      <xdr:spPr>
        <a:xfrm>
          <a:off x="96202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381000</xdr:colOff>
      <xdr:row>41</xdr:row>
      <xdr:rowOff>171450</xdr:rowOff>
    </xdr:to>
    <xdr:pic>
      <xdr:nvPicPr>
        <xdr:cNvPr id="3165" name="图片 3164"/>
        <xdr:cNvPicPr>
          <a:picLocks noChangeAspect="1"/>
        </xdr:cNvPicPr>
      </xdr:nvPicPr>
      <xdr:blipFill>
        <a:blip r:embed="rId234" r:link="rId2"/>
        <a:stretch>
          <a:fillRect/>
        </a:stretch>
      </xdr:blipFill>
      <xdr:spPr>
        <a:xfrm>
          <a:off x="96202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10</xdr:col>
      <xdr:colOff>381000</xdr:colOff>
      <xdr:row>45</xdr:row>
      <xdr:rowOff>171450</xdr:rowOff>
    </xdr:to>
    <xdr:pic>
      <xdr:nvPicPr>
        <xdr:cNvPr id="3166" name="图片 3165"/>
        <xdr:cNvPicPr>
          <a:picLocks noChangeAspect="1"/>
        </xdr:cNvPicPr>
      </xdr:nvPicPr>
      <xdr:blipFill>
        <a:blip r:embed="rId235" r:link="rId2"/>
        <a:stretch>
          <a:fillRect/>
        </a:stretch>
      </xdr:blipFill>
      <xdr:spPr>
        <a:xfrm>
          <a:off x="96202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10</xdr:col>
      <xdr:colOff>381000</xdr:colOff>
      <xdr:row>48</xdr:row>
      <xdr:rowOff>171450</xdr:rowOff>
    </xdr:to>
    <xdr:pic>
      <xdr:nvPicPr>
        <xdr:cNvPr id="3167" name="图片 3166"/>
        <xdr:cNvPicPr>
          <a:picLocks noChangeAspect="1"/>
        </xdr:cNvPicPr>
      </xdr:nvPicPr>
      <xdr:blipFill>
        <a:blip r:embed="rId236" r:link="rId2"/>
        <a:stretch>
          <a:fillRect/>
        </a:stretch>
      </xdr:blipFill>
      <xdr:spPr>
        <a:xfrm>
          <a:off x="96202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51</xdr:row>
      <xdr:rowOff>0</xdr:rowOff>
    </xdr:from>
    <xdr:to>
      <xdr:col>10</xdr:col>
      <xdr:colOff>381000</xdr:colOff>
      <xdr:row>52</xdr:row>
      <xdr:rowOff>171450</xdr:rowOff>
    </xdr:to>
    <xdr:pic>
      <xdr:nvPicPr>
        <xdr:cNvPr id="3168" name="图片 3167"/>
        <xdr:cNvPicPr>
          <a:picLocks noChangeAspect="1"/>
        </xdr:cNvPicPr>
      </xdr:nvPicPr>
      <xdr:blipFill>
        <a:blip r:embed="rId237" r:link="rId2"/>
        <a:stretch>
          <a:fillRect/>
        </a:stretch>
      </xdr:blipFill>
      <xdr:spPr>
        <a:xfrm>
          <a:off x="96202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55</xdr:row>
      <xdr:rowOff>0</xdr:rowOff>
    </xdr:from>
    <xdr:to>
      <xdr:col>10</xdr:col>
      <xdr:colOff>381000</xdr:colOff>
      <xdr:row>56</xdr:row>
      <xdr:rowOff>171450</xdr:rowOff>
    </xdr:to>
    <xdr:pic>
      <xdr:nvPicPr>
        <xdr:cNvPr id="3169" name="图片 3168"/>
        <xdr:cNvPicPr>
          <a:picLocks noChangeAspect="1"/>
        </xdr:cNvPicPr>
      </xdr:nvPicPr>
      <xdr:blipFill>
        <a:blip r:embed="rId238" r:link="rId2"/>
        <a:stretch>
          <a:fillRect/>
        </a:stretch>
      </xdr:blipFill>
      <xdr:spPr>
        <a:xfrm>
          <a:off x="96202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58</xdr:row>
      <xdr:rowOff>0</xdr:rowOff>
    </xdr:from>
    <xdr:to>
      <xdr:col>10</xdr:col>
      <xdr:colOff>381000</xdr:colOff>
      <xdr:row>59</xdr:row>
      <xdr:rowOff>171450</xdr:rowOff>
    </xdr:to>
    <xdr:pic>
      <xdr:nvPicPr>
        <xdr:cNvPr id="3170" name="图片 3169"/>
        <xdr:cNvPicPr>
          <a:picLocks noChangeAspect="1"/>
        </xdr:cNvPicPr>
      </xdr:nvPicPr>
      <xdr:blipFill>
        <a:blip r:embed="rId239" r:link="rId2"/>
        <a:stretch>
          <a:fillRect/>
        </a:stretch>
      </xdr:blipFill>
      <xdr:spPr>
        <a:xfrm>
          <a:off x="96202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62</xdr:row>
      <xdr:rowOff>0</xdr:rowOff>
    </xdr:from>
    <xdr:to>
      <xdr:col>10</xdr:col>
      <xdr:colOff>381000</xdr:colOff>
      <xdr:row>63</xdr:row>
      <xdr:rowOff>171450</xdr:rowOff>
    </xdr:to>
    <xdr:pic>
      <xdr:nvPicPr>
        <xdr:cNvPr id="3171" name="图片 3170"/>
        <xdr:cNvPicPr>
          <a:picLocks noChangeAspect="1"/>
        </xdr:cNvPicPr>
      </xdr:nvPicPr>
      <xdr:blipFill>
        <a:blip r:embed="rId240" r:link="rId2"/>
        <a:stretch>
          <a:fillRect/>
        </a:stretch>
      </xdr:blipFill>
      <xdr:spPr>
        <a:xfrm>
          <a:off x="96202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66</xdr:row>
      <xdr:rowOff>0</xdr:rowOff>
    </xdr:from>
    <xdr:to>
      <xdr:col>10</xdr:col>
      <xdr:colOff>381000</xdr:colOff>
      <xdr:row>67</xdr:row>
      <xdr:rowOff>171450</xdr:rowOff>
    </xdr:to>
    <xdr:pic>
      <xdr:nvPicPr>
        <xdr:cNvPr id="3172" name="图片 3171"/>
        <xdr:cNvPicPr>
          <a:picLocks noChangeAspect="1"/>
        </xdr:cNvPicPr>
      </xdr:nvPicPr>
      <xdr:blipFill>
        <a:blip r:embed="rId241" r:link="rId2"/>
        <a:stretch>
          <a:fillRect/>
        </a:stretch>
      </xdr:blipFill>
      <xdr:spPr>
        <a:xfrm>
          <a:off x="96202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69</xdr:row>
      <xdr:rowOff>0</xdr:rowOff>
    </xdr:from>
    <xdr:to>
      <xdr:col>10</xdr:col>
      <xdr:colOff>381000</xdr:colOff>
      <xdr:row>70</xdr:row>
      <xdr:rowOff>171450</xdr:rowOff>
    </xdr:to>
    <xdr:pic>
      <xdr:nvPicPr>
        <xdr:cNvPr id="3173" name="图片 3172"/>
        <xdr:cNvPicPr>
          <a:picLocks noChangeAspect="1"/>
        </xdr:cNvPicPr>
      </xdr:nvPicPr>
      <xdr:blipFill>
        <a:blip r:embed="rId242" r:link="rId2"/>
        <a:stretch>
          <a:fillRect/>
        </a:stretch>
      </xdr:blipFill>
      <xdr:spPr>
        <a:xfrm>
          <a:off x="96202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73</xdr:row>
      <xdr:rowOff>0</xdr:rowOff>
    </xdr:from>
    <xdr:to>
      <xdr:col>10</xdr:col>
      <xdr:colOff>381000</xdr:colOff>
      <xdr:row>74</xdr:row>
      <xdr:rowOff>171450</xdr:rowOff>
    </xdr:to>
    <xdr:pic>
      <xdr:nvPicPr>
        <xdr:cNvPr id="3174" name="图片 3173"/>
        <xdr:cNvPicPr>
          <a:picLocks noChangeAspect="1"/>
        </xdr:cNvPicPr>
      </xdr:nvPicPr>
      <xdr:blipFill>
        <a:blip r:embed="rId243" r:link="rId2"/>
        <a:stretch>
          <a:fillRect/>
        </a:stretch>
      </xdr:blipFill>
      <xdr:spPr>
        <a:xfrm>
          <a:off x="96202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77</xdr:row>
      <xdr:rowOff>0</xdr:rowOff>
    </xdr:from>
    <xdr:to>
      <xdr:col>10</xdr:col>
      <xdr:colOff>381000</xdr:colOff>
      <xdr:row>78</xdr:row>
      <xdr:rowOff>171450</xdr:rowOff>
    </xdr:to>
    <xdr:pic>
      <xdr:nvPicPr>
        <xdr:cNvPr id="3175" name="图片 3174"/>
        <xdr:cNvPicPr>
          <a:picLocks noChangeAspect="1"/>
        </xdr:cNvPicPr>
      </xdr:nvPicPr>
      <xdr:blipFill>
        <a:blip r:embed="rId244" r:link="rId2"/>
        <a:stretch>
          <a:fillRect/>
        </a:stretch>
      </xdr:blipFill>
      <xdr:spPr>
        <a:xfrm>
          <a:off x="96202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80</xdr:row>
      <xdr:rowOff>0</xdr:rowOff>
    </xdr:from>
    <xdr:to>
      <xdr:col>10</xdr:col>
      <xdr:colOff>381000</xdr:colOff>
      <xdr:row>81</xdr:row>
      <xdr:rowOff>171450</xdr:rowOff>
    </xdr:to>
    <xdr:pic>
      <xdr:nvPicPr>
        <xdr:cNvPr id="3176" name="图片 3175"/>
        <xdr:cNvPicPr>
          <a:picLocks noChangeAspect="1"/>
        </xdr:cNvPicPr>
      </xdr:nvPicPr>
      <xdr:blipFill>
        <a:blip r:embed="rId245" r:link="rId2"/>
        <a:stretch>
          <a:fillRect/>
        </a:stretch>
      </xdr:blipFill>
      <xdr:spPr>
        <a:xfrm>
          <a:off x="96202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84</xdr:row>
      <xdr:rowOff>0</xdr:rowOff>
    </xdr:from>
    <xdr:to>
      <xdr:col>10</xdr:col>
      <xdr:colOff>381000</xdr:colOff>
      <xdr:row>85</xdr:row>
      <xdr:rowOff>171450</xdr:rowOff>
    </xdr:to>
    <xdr:pic>
      <xdr:nvPicPr>
        <xdr:cNvPr id="3177" name="图片 3176"/>
        <xdr:cNvPicPr>
          <a:picLocks noChangeAspect="1"/>
        </xdr:cNvPicPr>
      </xdr:nvPicPr>
      <xdr:blipFill>
        <a:blip r:embed="rId246" r:link="rId2"/>
        <a:stretch>
          <a:fillRect/>
        </a:stretch>
      </xdr:blipFill>
      <xdr:spPr>
        <a:xfrm>
          <a:off x="96202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88</xdr:row>
      <xdr:rowOff>0</xdr:rowOff>
    </xdr:from>
    <xdr:to>
      <xdr:col>10</xdr:col>
      <xdr:colOff>381000</xdr:colOff>
      <xdr:row>89</xdr:row>
      <xdr:rowOff>171450</xdr:rowOff>
    </xdr:to>
    <xdr:pic>
      <xdr:nvPicPr>
        <xdr:cNvPr id="3178" name="图片 3177"/>
        <xdr:cNvPicPr>
          <a:picLocks noChangeAspect="1"/>
        </xdr:cNvPicPr>
      </xdr:nvPicPr>
      <xdr:blipFill>
        <a:blip r:embed="rId247" r:link="rId2"/>
        <a:stretch>
          <a:fillRect/>
        </a:stretch>
      </xdr:blipFill>
      <xdr:spPr>
        <a:xfrm>
          <a:off x="96202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91</xdr:row>
      <xdr:rowOff>0</xdr:rowOff>
    </xdr:from>
    <xdr:to>
      <xdr:col>10</xdr:col>
      <xdr:colOff>381000</xdr:colOff>
      <xdr:row>92</xdr:row>
      <xdr:rowOff>171450</xdr:rowOff>
    </xdr:to>
    <xdr:pic>
      <xdr:nvPicPr>
        <xdr:cNvPr id="3179" name="图片 3178"/>
        <xdr:cNvPicPr>
          <a:picLocks noChangeAspect="1"/>
        </xdr:cNvPicPr>
      </xdr:nvPicPr>
      <xdr:blipFill>
        <a:blip r:embed="rId248" r:link="rId2"/>
        <a:stretch>
          <a:fillRect/>
        </a:stretch>
      </xdr:blipFill>
      <xdr:spPr>
        <a:xfrm>
          <a:off x="96202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95</xdr:row>
      <xdr:rowOff>0</xdr:rowOff>
    </xdr:from>
    <xdr:to>
      <xdr:col>10</xdr:col>
      <xdr:colOff>381000</xdr:colOff>
      <xdr:row>96</xdr:row>
      <xdr:rowOff>171450</xdr:rowOff>
    </xdr:to>
    <xdr:pic>
      <xdr:nvPicPr>
        <xdr:cNvPr id="3180" name="图片 3179"/>
        <xdr:cNvPicPr>
          <a:picLocks noChangeAspect="1"/>
        </xdr:cNvPicPr>
      </xdr:nvPicPr>
      <xdr:blipFill>
        <a:blip r:embed="rId249" r:link="rId2"/>
        <a:stretch>
          <a:fillRect/>
        </a:stretch>
      </xdr:blipFill>
      <xdr:spPr>
        <a:xfrm>
          <a:off x="96202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99</xdr:row>
      <xdr:rowOff>0</xdr:rowOff>
    </xdr:from>
    <xdr:to>
      <xdr:col>10</xdr:col>
      <xdr:colOff>381000</xdr:colOff>
      <xdr:row>100</xdr:row>
      <xdr:rowOff>171450</xdr:rowOff>
    </xdr:to>
    <xdr:pic>
      <xdr:nvPicPr>
        <xdr:cNvPr id="3181" name="图片 3180"/>
        <xdr:cNvPicPr>
          <a:picLocks noChangeAspect="1"/>
        </xdr:cNvPicPr>
      </xdr:nvPicPr>
      <xdr:blipFill>
        <a:blip r:embed="rId250" r:link="rId2"/>
        <a:stretch>
          <a:fillRect/>
        </a:stretch>
      </xdr:blipFill>
      <xdr:spPr>
        <a:xfrm>
          <a:off x="96202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102</xdr:row>
      <xdr:rowOff>0</xdr:rowOff>
    </xdr:from>
    <xdr:to>
      <xdr:col>10</xdr:col>
      <xdr:colOff>381000</xdr:colOff>
      <xdr:row>103</xdr:row>
      <xdr:rowOff>171450</xdr:rowOff>
    </xdr:to>
    <xdr:pic>
      <xdr:nvPicPr>
        <xdr:cNvPr id="3182" name="图片 3181"/>
        <xdr:cNvPicPr>
          <a:picLocks noChangeAspect="1"/>
        </xdr:cNvPicPr>
      </xdr:nvPicPr>
      <xdr:blipFill>
        <a:blip r:embed="rId251" r:link="rId2"/>
        <a:stretch>
          <a:fillRect/>
        </a:stretch>
      </xdr:blipFill>
      <xdr:spPr>
        <a:xfrm>
          <a:off x="96202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106</xdr:row>
      <xdr:rowOff>0</xdr:rowOff>
    </xdr:from>
    <xdr:to>
      <xdr:col>10</xdr:col>
      <xdr:colOff>381000</xdr:colOff>
      <xdr:row>107</xdr:row>
      <xdr:rowOff>171450</xdr:rowOff>
    </xdr:to>
    <xdr:pic>
      <xdr:nvPicPr>
        <xdr:cNvPr id="3183" name="图片 3182"/>
        <xdr:cNvPicPr>
          <a:picLocks noChangeAspect="1"/>
        </xdr:cNvPicPr>
      </xdr:nvPicPr>
      <xdr:blipFill>
        <a:blip r:embed="rId252" r:link="rId2"/>
        <a:stretch>
          <a:fillRect/>
        </a:stretch>
      </xdr:blipFill>
      <xdr:spPr>
        <a:xfrm>
          <a:off x="96202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110</xdr:row>
      <xdr:rowOff>0</xdr:rowOff>
    </xdr:from>
    <xdr:to>
      <xdr:col>10</xdr:col>
      <xdr:colOff>381000</xdr:colOff>
      <xdr:row>111</xdr:row>
      <xdr:rowOff>171450</xdr:rowOff>
    </xdr:to>
    <xdr:pic>
      <xdr:nvPicPr>
        <xdr:cNvPr id="3184" name="图片 3183"/>
        <xdr:cNvPicPr>
          <a:picLocks noChangeAspect="1"/>
        </xdr:cNvPicPr>
      </xdr:nvPicPr>
      <xdr:blipFill>
        <a:blip r:embed="rId253" r:link="rId2"/>
        <a:stretch>
          <a:fillRect/>
        </a:stretch>
      </xdr:blipFill>
      <xdr:spPr>
        <a:xfrm>
          <a:off x="96202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113</xdr:row>
      <xdr:rowOff>0</xdr:rowOff>
    </xdr:from>
    <xdr:to>
      <xdr:col>10</xdr:col>
      <xdr:colOff>381000</xdr:colOff>
      <xdr:row>114</xdr:row>
      <xdr:rowOff>171450</xdr:rowOff>
    </xdr:to>
    <xdr:pic>
      <xdr:nvPicPr>
        <xdr:cNvPr id="3185" name="图片 318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96202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117</xdr:row>
      <xdr:rowOff>0</xdr:rowOff>
    </xdr:from>
    <xdr:to>
      <xdr:col>10</xdr:col>
      <xdr:colOff>381000</xdr:colOff>
      <xdr:row>118</xdr:row>
      <xdr:rowOff>171450</xdr:rowOff>
    </xdr:to>
    <xdr:pic>
      <xdr:nvPicPr>
        <xdr:cNvPr id="3186" name="图片 3185"/>
        <xdr:cNvPicPr>
          <a:picLocks noChangeAspect="1"/>
        </xdr:cNvPicPr>
      </xdr:nvPicPr>
      <xdr:blipFill>
        <a:blip r:embed="rId254" r:link="rId2"/>
        <a:stretch>
          <a:fillRect/>
        </a:stretch>
      </xdr:blipFill>
      <xdr:spPr>
        <a:xfrm>
          <a:off x="96202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121</xdr:row>
      <xdr:rowOff>0</xdr:rowOff>
    </xdr:from>
    <xdr:to>
      <xdr:col>10</xdr:col>
      <xdr:colOff>381000</xdr:colOff>
      <xdr:row>122</xdr:row>
      <xdr:rowOff>171450</xdr:rowOff>
    </xdr:to>
    <xdr:pic>
      <xdr:nvPicPr>
        <xdr:cNvPr id="3187" name="图片 3186"/>
        <xdr:cNvPicPr>
          <a:picLocks noChangeAspect="1"/>
        </xdr:cNvPicPr>
      </xdr:nvPicPr>
      <xdr:blipFill>
        <a:blip r:embed="rId255" r:link="rId2"/>
        <a:stretch>
          <a:fillRect/>
        </a:stretch>
      </xdr:blipFill>
      <xdr:spPr>
        <a:xfrm>
          <a:off x="96202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124</xdr:row>
      <xdr:rowOff>0</xdr:rowOff>
    </xdr:from>
    <xdr:to>
      <xdr:col>10</xdr:col>
      <xdr:colOff>381000</xdr:colOff>
      <xdr:row>125</xdr:row>
      <xdr:rowOff>171450</xdr:rowOff>
    </xdr:to>
    <xdr:pic>
      <xdr:nvPicPr>
        <xdr:cNvPr id="3188" name="图片 3187"/>
        <xdr:cNvPicPr>
          <a:picLocks noChangeAspect="1"/>
        </xdr:cNvPicPr>
      </xdr:nvPicPr>
      <xdr:blipFill>
        <a:blip r:embed="rId256" r:link="rId2"/>
        <a:stretch>
          <a:fillRect/>
        </a:stretch>
      </xdr:blipFill>
      <xdr:spPr>
        <a:xfrm>
          <a:off x="96202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128</xdr:row>
      <xdr:rowOff>0</xdr:rowOff>
    </xdr:from>
    <xdr:to>
      <xdr:col>10</xdr:col>
      <xdr:colOff>381000</xdr:colOff>
      <xdr:row>129</xdr:row>
      <xdr:rowOff>171450</xdr:rowOff>
    </xdr:to>
    <xdr:pic>
      <xdr:nvPicPr>
        <xdr:cNvPr id="3189" name="图片 3188"/>
        <xdr:cNvPicPr>
          <a:picLocks noChangeAspect="1"/>
        </xdr:cNvPicPr>
      </xdr:nvPicPr>
      <xdr:blipFill>
        <a:blip r:embed="rId257" r:link="rId2"/>
        <a:stretch>
          <a:fillRect/>
        </a:stretch>
      </xdr:blipFill>
      <xdr:spPr>
        <a:xfrm>
          <a:off x="96202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132</xdr:row>
      <xdr:rowOff>0</xdr:rowOff>
    </xdr:from>
    <xdr:to>
      <xdr:col>10</xdr:col>
      <xdr:colOff>381000</xdr:colOff>
      <xdr:row>133</xdr:row>
      <xdr:rowOff>171450</xdr:rowOff>
    </xdr:to>
    <xdr:pic>
      <xdr:nvPicPr>
        <xdr:cNvPr id="3190" name="图片 3189"/>
        <xdr:cNvPicPr>
          <a:picLocks noChangeAspect="1"/>
        </xdr:cNvPicPr>
      </xdr:nvPicPr>
      <xdr:blipFill>
        <a:blip r:embed="rId258" r:link="rId2"/>
        <a:stretch>
          <a:fillRect/>
        </a:stretch>
      </xdr:blipFill>
      <xdr:spPr>
        <a:xfrm>
          <a:off x="96202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135</xdr:row>
      <xdr:rowOff>0</xdr:rowOff>
    </xdr:from>
    <xdr:to>
      <xdr:col>10</xdr:col>
      <xdr:colOff>381000</xdr:colOff>
      <xdr:row>136</xdr:row>
      <xdr:rowOff>171450</xdr:rowOff>
    </xdr:to>
    <xdr:pic>
      <xdr:nvPicPr>
        <xdr:cNvPr id="3191" name="图片 3190"/>
        <xdr:cNvPicPr>
          <a:picLocks noChangeAspect="1"/>
        </xdr:cNvPicPr>
      </xdr:nvPicPr>
      <xdr:blipFill>
        <a:blip r:embed="rId259" r:link="rId2"/>
        <a:stretch>
          <a:fillRect/>
        </a:stretch>
      </xdr:blipFill>
      <xdr:spPr>
        <a:xfrm>
          <a:off x="96202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139</xdr:row>
      <xdr:rowOff>0</xdr:rowOff>
    </xdr:from>
    <xdr:to>
      <xdr:col>10</xdr:col>
      <xdr:colOff>381000</xdr:colOff>
      <xdr:row>140</xdr:row>
      <xdr:rowOff>171450</xdr:rowOff>
    </xdr:to>
    <xdr:pic>
      <xdr:nvPicPr>
        <xdr:cNvPr id="3192" name="图片 3191"/>
        <xdr:cNvPicPr>
          <a:picLocks noChangeAspect="1"/>
        </xdr:cNvPicPr>
      </xdr:nvPicPr>
      <xdr:blipFill>
        <a:blip r:embed="rId260" r:link="rId2"/>
        <a:stretch>
          <a:fillRect/>
        </a:stretch>
      </xdr:blipFill>
      <xdr:spPr>
        <a:xfrm>
          <a:off x="96202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143</xdr:row>
      <xdr:rowOff>0</xdr:rowOff>
    </xdr:from>
    <xdr:to>
      <xdr:col>10</xdr:col>
      <xdr:colOff>381000</xdr:colOff>
      <xdr:row>144</xdr:row>
      <xdr:rowOff>171450</xdr:rowOff>
    </xdr:to>
    <xdr:pic>
      <xdr:nvPicPr>
        <xdr:cNvPr id="3193" name="图片 3192"/>
        <xdr:cNvPicPr>
          <a:picLocks noChangeAspect="1"/>
        </xdr:cNvPicPr>
      </xdr:nvPicPr>
      <xdr:blipFill>
        <a:blip r:embed="rId261" r:link="rId2"/>
        <a:stretch>
          <a:fillRect/>
        </a:stretch>
      </xdr:blipFill>
      <xdr:spPr>
        <a:xfrm>
          <a:off x="96202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146</xdr:row>
      <xdr:rowOff>0</xdr:rowOff>
    </xdr:from>
    <xdr:to>
      <xdr:col>10</xdr:col>
      <xdr:colOff>381000</xdr:colOff>
      <xdr:row>147</xdr:row>
      <xdr:rowOff>171450</xdr:rowOff>
    </xdr:to>
    <xdr:pic>
      <xdr:nvPicPr>
        <xdr:cNvPr id="3194" name="图片 3193"/>
        <xdr:cNvPicPr>
          <a:picLocks noChangeAspect="1"/>
        </xdr:cNvPicPr>
      </xdr:nvPicPr>
      <xdr:blipFill>
        <a:blip r:embed="rId262" r:link="rId2"/>
        <a:stretch>
          <a:fillRect/>
        </a:stretch>
      </xdr:blipFill>
      <xdr:spPr>
        <a:xfrm>
          <a:off x="96202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381000</xdr:colOff>
      <xdr:row>4</xdr:row>
      <xdr:rowOff>171450</xdr:rowOff>
    </xdr:to>
    <xdr:pic>
      <xdr:nvPicPr>
        <xdr:cNvPr id="3195" name="图片 3194"/>
        <xdr:cNvPicPr>
          <a:picLocks noChangeAspect="1"/>
        </xdr:cNvPicPr>
      </xdr:nvPicPr>
      <xdr:blipFill>
        <a:blip r:embed="rId263" r:link="rId2"/>
        <a:stretch>
          <a:fillRect/>
        </a:stretch>
      </xdr:blipFill>
      <xdr:spPr>
        <a:xfrm>
          <a:off x="105822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381000</xdr:colOff>
      <xdr:row>8</xdr:row>
      <xdr:rowOff>171450</xdr:rowOff>
    </xdr:to>
    <xdr:pic>
      <xdr:nvPicPr>
        <xdr:cNvPr id="3196" name="图片 3195"/>
        <xdr:cNvPicPr>
          <a:picLocks noChangeAspect="1"/>
        </xdr:cNvPicPr>
      </xdr:nvPicPr>
      <xdr:blipFill>
        <a:blip r:embed="rId264" r:link="rId2"/>
        <a:stretch>
          <a:fillRect/>
        </a:stretch>
      </xdr:blipFill>
      <xdr:spPr>
        <a:xfrm>
          <a:off x="105822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381000</xdr:colOff>
      <xdr:row>12</xdr:row>
      <xdr:rowOff>171450</xdr:rowOff>
    </xdr:to>
    <xdr:pic>
      <xdr:nvPicPr>
        <xdr:cNvPr id="3197" name="图片 3196"/>
        <xdr:cNvPicPr>
          <a:picLocks noChangeAspect="1"/>
        </xdr:cNvPicPr>
      </xdr:nvPicPr>
      <xdr:blipFill>
        <a:blip r:embed="rId265" r:link="rId2"/>
        <a:stretch>
          <a:fillRect/>
        </a:stretch>
      </xdr:blipFill>
      <xdr:spPr>
        <a:xfrm>
          <a:off x="105822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381000</xdr:colOff>
      <xdr:row>15</xdr:row>
      <xdr:rowOff>171450</xdr:rowOff>
    </xdr:to>
    <xdr:pic>
      <xdr:nvPicPr>
        <xdr:cNvPr id="3198" name="图片 3197"/>
        <xdr:cNvPicPr>
          <a:picLocks noChangeAspect="1"/>
        </xdr:cNvPicPr>
      </xdr:nvPicPr>
      <xdr:blipFill>
        <a:blip r:embed="rId266" r:link="rId2"/>
        <a:stretch>
          <a:fillRect/>
        </a:stretch>
      </xdr:blipFill>
      <xdr:spPr>
        <a:xfrm>
          <a:off x="105822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381000</xdr:colOff>
      <xdr:row>19</xdr:row>
      <xdr:rowOff>171450</xdr:rowOff>
    </xdr:to>
    <xdr:pic>
      <xdr:nvPicPr>
        <xdr:cNvPr id="3199" name="图片 3198"/>
        <xdr:cNvPicPr>
          <a:picLocks noChangeAspect="1"/>
        </xdr:cNvPicPr>
      </xdr:nvPicPr>
      <xdr:blipFill>
        <a:blip r:embed="rId267" r:link="rId2"/>
        <a:stretch>
          <a:fillRect/>
        </a:stretch>
      </xdr:blipFill>
      <xdr:spPr>
        <a:xfrm>
          <a:off x="105822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22</xdr:row>
      <xdr:rowOff>0</xdr:rowOff>
    </xdr:from>
    <xdr:to>
      <xdr:col>11</xdr:col>
      <xdr:colOff>381000</xdr:colOff>
      <xdr:row>23</xdr:row>
      <xdr:rowOff>171450</xdr:rowOff>
    </xdr:to>
    <xdr:pic>
      <xdr:nvPicPr>
        <xdr:cNvPr id="3200" name="图片 3199"/>
        <xdr:cNvPicPr>
          <a:picLocks noChangeAspect="1"/>
        </xdr:cNvPicPr>
      </xdr:nvPicPr>
      <xdr:blipFill>
        <a:blip r:embed="rId268" r:link="rId2"/>
        <a:stretch>
          <a:fillRect/>
        </a:stretch>
      </xdr:blipFill>
      <xdr:spPr>
        <a:xfrm>
          <a:off x="105822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25</xdr:row>
      <xdr:rowOff>0</xdr:rowOff>
    </xdr:from>
    <xdr:to>
      <xdr:col>11</xdr:col>
      <xdr:colOff>381000</xdr:colOff>
      <xdr:row>26</xdr:row>
      <xdr:rowOff>171450</xdr:rowOff>
    </xdr:to>
    <xdr:pic>
      <xdr:nvPicPr>
        <xdr:cNvPr id="3201" name="图片 320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05822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381000</xdr:colOff>
      <xdr:row>30</xdr:row>
      <xdr:rowOff>171450</xdr:rowOff>
    </xdr:to>
    <xdr:pic>
      <xdr:nvPicPr>
        <xdr:cNvPr id="3202" name="图片 320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05822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33</xdr:row>
      <xdr:rowOff>0</xdr:rowOff>
    </xdr:from>
    <xdr:to>
      <xdr:col>11</xdr:col>
      <xdr:colOff>381000</xdr:colOff>
      <xdr:row>34</xdr:row>
      <xdr:rowOff>171450</xdr:rowOff>
    </xdr:to>
    <xdr:pic>
      <xdr:nvPicPr>
        <xdr:cNvPr id="3203" name="图片 3202"/>
        <xdr:cNvPicPr>
          <a:picLocks noChangeAspect="1"/>
        </xdr:cNvPicPr>
      </xdr:nvPicPr>
      <xdr:blipFill>
        <a:blip r:embed="rId269" r:link="rId2"/>
        <a:stretch>
          <a:fillRect/>
        </a:stretch>
      </xdr:blipFill>
      <xdr:spPr>
        <a:xfrm>
          <a:off x="105822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36</xdr:row>
      <xdr:rowOff>0</xdr:rowOff>
    </xdr:from>
    <xdr:to>
      <xdr:col>11</xdr:col>
      <xdr:colOff>381000</xdr:colOff>
      <xdr:row>37</xdr:row>
      <xdr:rowOff>171450</xdr:rowOff>
    </xdr:to>
    <xdr:pic>
      <xdr:nvPicPr>
        <xdr:cNvPr id="3204" name="图片 3203"/>
        <xdr:cNvPicPr>
          <a:picLocks noChangeAspect="1"/>
        </xdr:cNvPicPr>
      </xdr:nvPicPr>
      <xdr:blipFill>
        <a:blip r:embed="rId270" r:link="rId2"/>
        <a:stretch>
          <a:fillRect/>
        </a:stretch>
      </xdr:blipFill>
      <xdr:spPr>
        <a:xfrm>
          <a:off x="105822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40</xdr:row>
      <xdr:rowOff>0</xdr:rowOff>
    </xdr:from>
    <xdr:to>
      <xdr:col>11</xdr:col>
      <xdr:colOff>381000</xdr:colOff>
      <xdr:row>41</xdr:row>
      <xdr:rowOff>171450</xdr:rowOff>
    </xdr:to>
    <xdr:pic>
      <xdr:nvPicPr>
        <xdr:cNvPr id="3205" name="图片 3204"/>
        <xdr:cNvPicPr>
          <a:picLocks noChangeAspect="1"/>
        </xdr:cNvPicPr>
      </xdr:nvPicPr>
      <xdr:blipFill>
        <a:blip r:embed="rId271" r:link="rId2"/>
        <a:stretch>
          <a:fillRect/>
        </a:stretch>
      </xdr:blipFill>
      <xdr:spPr>
        <a:xfrm>
          <a:off x="105822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44</xdr:row>
      <xdr:rowOff>0</xdr:rowOff>
    </xdr:from>
    <xdr:to>
      <xdr:col>11</xdr:col>
      <xdr:colOff>381000</xdr:colOff>
      <xdr:row>45</xdr:row>
      <xdr:rowOff>171450</xdr:rowOff>
    </xdr:to>
    <xdr:pic>
      <xdr:nvPicPr>
        <xdr:cNvPr id="3206" name="图片 3205"/>
        <xdr:cNvPicPr>
          <a:picLocks noChangeAspect="1"/>
        </xdr:cNvPicPr>
      </xdr:nvPicPr>
      <xdr:blipFill>
        <a:blip r:embed="rId272" r:link="rId2"/>
        <a:stretch>
          <a:fillRect/>
        </a:stretch>
      </xdr:blipFill>
      <xdr:spPr>
        <a:xfrm>
          <a:off x="105822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47</xdr:row>
      <xdr:rowOff>0</xdr:rowOff>
    </xdr:from>
    <xdr:to>
      <xdr:col>11</xdr:col>
      <xdr:colOff>381000</xdr:colOff>
      <xdr:row>48</xdr:row>
      <xdr:rowOff>171450</xdr:rowOff>
    </xdr:to>
    <xdr:pic>
      <xdr:nvPicPr>
        <xdr:cNvPr id="3207" name="图片 3206"/>
        <xdr:cNvPicPr>
          <a:picLocks noChangeAspect="1"/>
        </xdr:cNvPicPr>
      </xdr:nvPicPr>
      <xdr:blipFill>
        <a:blip r:embed="rId273" r:link="rId2"/>
        <a:stretch>
          <a:fillRect/>
        </a:stretch>
      </xdr:blipFill>
      <xdr:spPr>
        <a:xfrm>
          <a:off x="105822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11</xdr:col>
      <xdr:colOff>381000</xdr:colOff>
      <xdr:row>52</xdr:row>
      <xdr:rowOff>171450</xdr:rowOff>
    </xdr:to>
    <xdr:pic>
      <xdr:nvPicPr>
        <xdr:cNvPr id="3208" name="图片 3207"/>
        <xdr:cNvPicPr>
          <a:picLocks noChangeAspect="1"/>
        </xdr:cNvPicPr>
      </xdr:nvPicPr>
      <xdr:blipFill>
        <a:blip r:embed="rId274" r:link="rId2"/>
        <a:stretch>
          <a:fillRect/>
        </a:stretch>
      </xdr:blipFill>
      <xdr:spPr>
        <a:xfrm>
          <a:off x="105822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55</xdr:row>
      <xdr:rowOff>0</xdr:rowOff>
    </xdr:from>
    <xdr:to>
      <xdr:col>11</xdr:col>
      <xdr:colOff>381000</xdr:colOff>
      <xdr:row>56</xdr:row>
      <xdr:rowOff>171450</xdr:rowOff>
    </xdr:to>
    <xdr:pic>
      <xdr:nvPicPr>
        <xdr:cNvPr id="3209" name="图片 3208"/>
        <xdr:cNvPicPr>
          <a:picLocks noChangeAspect="1"/>
        </xdr:cNvPicPr>
      </xdr:nvPicPr>
      <xdr:blipFill>
        <a:blip r:embed="rId275" r:link="rId2"/>
        <a:stretch>
          <a:fillRect/>
        </a:stretch>
      </xdr:blipFill>
      <xdr:spPr>
        <a:xfrm>
          <a:off x="105822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58</xdr:row>
      <xdr:rowOff>0</xdr:rowOff>
    </xdr:from>
    <xdr:to>
      <xdr:col>11</xdr:col>
      <xdr:colOff>381000</xdr:colOff>
      <xdr:row>59</xdr:row>
      <xdr:rowOff>171450</xdr:rowOff>
    </xdr:to>
    <xdr:pic>
      <xdr:nvPicPr>
        <xdr:cNvPr id="3210" name="图片 3209"/>
        <xdr:cNvPicPr>
          <a:picLocks noChangeAspect="1"/>
        </xdr:cNvPicPr>
      </xdr:nvPicPr>
      <xdr:blipFill>
        <a:blip r:embed="rId276" r:link="rId2"/>
        <a:stretch>
          <a:fillRect/>
        </a:stretch>
      </xdr:blipFill>
      <xdr:spPr>
        <a:xfrm>
          <a:off x="105822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62</xdr:row>
      <xdr:rowOff>0</xdr:rowOff>
    </xdr:from>
    <xdr:to>
      <xdr:col>11</xdr:col>
      <xdr:colOff>381000</xdr:colOff>
      <xdr:row>63</xdr:row>
      <xdr:rowOff>171450</xdr:rowOff>
    </xdr:to>
    <xdr:pic>
      <xdr:nvPicPr>
        <xdr:cNvPr id="3211" name="图片 3210"/>
        <xdr:cNvPicPr>
          <a:picLocks noChangeAspect="1"/>
        </xdr:cNvPicPr>
      </xdr:nvPicPr>
      <xdr:blipFill>
        <a:blip r:embed="rId277" r:link="rId2"/>
        <a:stretch>
          <a:fillRect/>
        </a:stretch>
      </xdr:blipFill>
      <xdr:spPr>
        <a:xfrm>
          <a:off x="105822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66</xdr:row>
      <xdr:rowOff>0</xdr:rowOff>
    </xdr:from>
    <xdr:to>
      <xdr:col>11</xdr:col>
      <xdr:colOff>381000</xdr:colOff>
      <xdr:row>67</xdr:row>
      <xdr:rowOff>171450</xdr:rowOff>
    </xdr:to>
    <xdr:pic>
      <xdr:nvPicPr>
        <xdr:cNvPr id="3212" name="图片 3211"/>
        <xdr:cNvPicPr>
          <a:picLocks noChangeAspect="1"/>
        </xdr:cNvPicPr>
      </xdr:nvPicPr>
      <xdr:blipFill>
        <a:blip r:embed="rId278" r:link="rId2"/>
        <a:stretch>
          <a:fillRect/>
        </a:stretch>
      </xdr:blipFill>
      <xdr:spPr>
        <a:xfrm>
          <a:off x="105822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69</xdr:row>
      <xdr:rowOff>0</xdr:rowOff>
    </xdr:from>
    <xdr:to>
      <xdr:col>11</xdr:col>
      <xdr:colOff>381000</xdr:colOff>
      <xdr:row>70</xdr:row>
      <xdr:rowOff>171450</xdr:rowOff>
    </xdr:to>
    <xdr:pic>
      <xdr:nvPicPr>
        <xdr:cNvPr id="3213" name="图片 3212"/>
        <xdr:cNvPicPr>
          <a:picLocks noChangeAspect="1"/>
        </xdr:cNvPicPr>
      </xdr:nvPicPr>
      <xdr:blipFill>
        <a:blip r:embed="rId279" r:link="rId2"/>
        <a:stretch>
          <a:fillRect/>
        </a:stretch>
      </xdr:blipFill>
      <xdr:spPr>
        <a:xfrm>
          <a:off x="105822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73</xdr:row>
      <xdr:rowOff>0</xdr:rowOff>
    </xdr:from>
    <xdr:to>
      <xdr:col>11</xdr:col>
      <xdr:colOff>381000</xdr:colOff>
      <xdr:row>74</xdr:row>
      <xdr:rowOff>171450</xdr:rowOff>
    </xdr:to>
    <xdr:pic>
      <xdr:nvPicPr>
        <xdr:cNvPr id="3214" name="图片 3213"/>
        <xdr:cNvPicPr>
          <a:picLocks noChangeAspect="1"/>
        </xdr:cNvPicPr>
      </xdr:nvPicPr>
      <xdr:blipFill>
        <a:blip r:embed="rId280" r:link="rId2"/>
        <a:stretch>
          <a:fillRect/>
        </a:stretch>
      </xdr:blipFill>
      <xdr:spPr>
        <a:xfrm>
          <a:off x="105822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77</xdr:row>
      <xdr:rowOff>0</xdr:rowOff>
    </xdr:from>
    <xdr:to>
      <xdr:col>11</xdr:col>
      <xdr:colOff>381000</xdr:colOff>
      <xdr:row>78</xdr:row>
      <xdr:rowOff>171450</xdr:rowOff>
    </xdr:to>
    <xdr:pic>
      <xdr:nvPicPr>
        <xdr:cNvPr id="3215" name="图片 3214"/>
        <xdr:cNvPicPr>
          <a:picLocks noChangeAspect="1"/>
        </xdr:cNvPicPr>
      </xdr:nvPicPr>
      <xdr:blipFill>
        <a:blip r:embed="rId281" r:link="rId2"/>
        <a:stretch>
          <a:fillRect/>
        </a:stretch>
      </xdr:blipFill>
      <xdr:spPr>
        <a:xfrm>
          <a:off x="105822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80</xdr:row>
      <xdr:rowOff>0</xdr:rowOff>
    </xdr:from>
    <xdr:to>
      <xdr:col>11</xdr:col>
      <xdr:colOff>381000</xdr:colOff>
      <xdr:row>81</xdr:row>
      <xdr:rowOff>171450</xdr:rowOff>
    </xdr:to>
    <xdr:pic>
      <xdr:nvPicPr>
        <xdr:cNvPr id="3216" name="图片 3215"/>
        <xdr:cNvPicPr>
          <a:picLocks noChangeAspect="1"/>
        </xdr:cNvPicPr>
      </xdr:nvPicPr>
      <xdr:blipFill>
        <a:blip r:embed="rId282" r:link="rId2"/>
        <a:stretch>
          <a:fillRect/>
        </a:stretch>
      </xdr:blipFill>
      <xdr:spPr>
        <a:xfrm>
          <a:off x="105822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84</xdr:row>
      <xdr:rowOff>0</xdr:rowOff>
    </xdr:from>
    <xdr:to>
      <xdr:col>11</xdr:col>
      <xdr:colOff>381000</xdr:colOff>
      <xdr:row>85</xdr:row>
      <xdr:rowOff>171450</xdr:rowOff>
    </xdr:to>
    <xdr:pic>
      <xdr:nvPicPr>
        <xdr:cNvPr id="3217" name="图片 3216"/>
        <xdr:cNvPicPr>
          <a:picLocks noChangeAspect="1"/>
        </xdr:cNvPicPr>
      </xdr:nvPicPr>
      <xdr:blipFill>
        <a:blip r:embed="rId283" r:link="rId2"/>
        <a:stretch>
          <a:fillRect/>
        </a:stretch>
      </xdr:blipFill>
      <xdr:spPr>
        <a:xfrm>
          <a:off x="105822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88</xdr:row>
      <xdr:rowOff>0</xdr:rowOff>
    </xdr:from>
    <xdr:to>
      <xdr:col>11</xdr:col>
      <xdr:colOff>381000</xdr:colOff>
      <xdr:row>89</xdr:row>
      <xdr:rowOff>171450</xdr:rowOff>
    </xdr:to>
    <xdr:pic>
      <xdr:nvPicPr>
        <xdr:cNvPr id="3218" name="图片 3217"/>
        <xdr:cNvPicPr>
          <a:picLocks noChangeAspect="1"/>
        </xdr:cNvPicPr>
      </xdr:nvPicPr>
      <xdr:blipFill>
        <a:blip r:embed="rId284" r:link="rId2"/>
        <a:stretch>
          <a:fillRect/>
        </a:stretch>
      </xdr:blipFill>
      <xdr:spPr>
        <a:xfrm>
          <a:off x="105822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91</xdr:row>
      <xdr:rowOff>0</xdr:rowOff>
    </xdr:from>
    <xdr:to>
      <xdr:col>11</xdr:col>
      <xdr:colOff>381000</xdr:colOff>
      <xdr:row>92</xdr:row>
      <xdr:rowOff>171450</xdr:rowOff>
    </xdr:to>
    <xdr:pic>
      <xdr:nvPicPr>
        <xdr:cNvPr id="3219" name="图片 3218"/>
        <xdr:cNvPicPr>
          <a:picLocks noChangeAspect="1"/>
        </xdr:cNvPicPr>
      </xdr:nvPicPr>
      <xdr:blipFill>
        <a:blip r:embed="rId285" r:link="rId2"/>
        <a:stretch>
          <a:fillRect/>
        </a:stretch>
      </xdr:blipFill>
      <xdr:spPr>
        <a:xfrm>
          <a:off x="105822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95</xdr:row>
      <xdr:rowOff>0</xdr:rowOff>
    </xdr:from>
    <xdr:to>
      <xdr:col>11</xdr:col>
      <xdr:colOff>381000</xdr:colOff>
      <xdr:row>96</xdr:row>
      <xdr:rowOff>171450</xdr:rowOff>
    </xdr:to>
    <xdr:pic>
      <xdr:nvPicPr>
        <xdr:cNvPr id="3220" name="图片 3219"/>
        <xdr:cNvPicPr>
          <a:picLocks noChangeAspect="1"/>
        </xdr:cNvPicPr>
      </xdr:nvPicPr>
      <xdr:blipFill>
        <a:blip r:embed="rId286" r:link="rId2"/>
        <a:stretch>
          <a:fillRect/>
        </a:stretch>
      </xdr:blipFill>
      <xdr:spPr>
        <a:xfrm>
          <a:off x="105822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99</xdr:row>
      <xdr:rowOff>0</xdr:rowOff>
    </xdr:from>
    <xdr:to>
      <xdr:col>11</xdr:col>
      <xdr:colOff>381000</xdr:colOff>
      <xdr:row>100</xdr:row>
      <xdr:rowOff>171450</xdr:rowOff>
    </xdr:to>
    <xdr:pic>
      <xdr:nvPicPr>
        <xdr:cNvPr id="3221" name="图片 3220"/>
        <xdr:cNvPicPr>
          <a:picLocks noChangeAspect="1"/>
        </xdr:cNvPicPr>
      </xdr:nvPicPr>
      <xdr:blipFill>
        <a:blip r:embed="rId287" r:link="rId2"/>
        <a:stretch>
          <a:fillRect/>
        </a:stretch>
      </xdr:blipFill>
      <xdr:spPr>
        <a:xfrm>
          <a:off x="105822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102</xdr:row>
      <xdr:rowOff>0</xdr:rowOff>
    </xdr:from>
    <xdr:to>
      <xdr:col>11</xdr:col>
      <xdr:colOff>381000</xdr:colOff>
      <xdr:row>103</xdr:row>
      <xdr:rowOff>171450</xdr:rowOff>
    </xdr:to>
    <xdr:pic>
      <xdr:nvPicPr>
        <xdr:cNvPr id="3222" name="图片 3221"/>
        <xdr:cNvPicPr>
          <a:picLocks noChangeAspect="1"/>
        </xdr:cNvPicPr>
      </xdr:nvPicPr>
      <xdr:blipFill>
        <a:blip r:embed="rId288" r:link="rId2"/>
        <a:stretch>
          <a:fillRect/>
        </a:stretch>
      </xdr:blipFill>
      <xdr:spPr>
        <a:xfrm>
          <a:off x="105822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106</xdr:row>
      <xdr:rowOff>0</xdr:rowOff>
    </xdr:from>
    <xdr:to>
      <xdr:col>11</xdr:col>
      <xdr:colOff>381000</xdr:colOff>
      <xdr:row>107</xdr:row>
      <xdr:rowOff>171450</xdr:rowOff>
    </xdr:to>
    <xdr:pic>
      <xdr:nvPicPr>
        <xdr:cNvPr id="3223" name="图片 3222"/>
        <xdr:cNvPicPr>
          <a:picLocks noChangeAspect="1"/>
        </xdr:cNvPicPr>
      </xdr:nvPicPr>
      <xdr:blipFill>
        <a:blip r:embed="rId289" r:link="rId2"/>
        <a:stretch>
          <a:fillRect/>
        </a:stretch>
      </xdr:blipFill>
      <xdr:spPr>
        <a:xfrm>
          <a:off x="105822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110</xdr:row>
      <xdr:rowOff>0</xdr:rowOff>
    </xdr:from>
    <xdr:to>
      <xdr:col>11</xdr:col>
      <xdr:colOff>381000</xdr:colOff>
      <xdr:row>111</xdr:row>
      <xdr:rowOff>171450</xdr:rowOff>
    </xdr:to>
    <xdr:pic>
      <xdr:nvPicPr>
        <xdr:cNvPr id="3224" name="图片 3223"/>
        <xdr:cNvPicPr>
          <a:picLocks noChangeAspect="1"/>
        </xdr:cNvPicPr>
      </xdr:nvPicPr>
      <xdr:blipFill>
        <a:blip r:embed="rId290" r:link="rId2"/>
        <a:stretch>
          <a:fillRect/>
        </a:stretch>
      </xdr:blipFill>
      <xdr:spPr>
        <a:xfrm>
          <a:off x="105822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113</xdr:row>
      <xdr:rowOff>0</xdr:rowOff>
    </xdr:from>
    <xdr:to>
      <xdr:col>11</xdr:col>
      <xdr:colOff>381000</xdr:colOff>
      <xdr:row>114</xdr:row>
      <xdr:rowOff>171450</xdr:rowOff>
    </xdr:to>
    <xdr:pic>
      <xdr:nvPicPr>
        <xdr:cNvPr id="3225" name="图片 3224"/>
        <xdr:cNvPicPr>
          <a:picLocks noChangeAspect="1"/>
        </xdr:cNvPicPr>
      </xdr:nvPicPr>
      <xdr:blipFill>
        <a:blip r:embed="rId291" r:link="rId2"/>
        <a:stretch>
          <a:fillRect/>
        </a:stretch>
      </xdr:blipFill>
      <xdr:spPr>
        <a:xfrm>
          <a:off x="105822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117</xdr:row>
      <xdr:rowOff>0</xdr:rowOff>
    </xdr:from>
    <xdr:to>
      <xdr:col>11</xdr:col>
      <xdr:colOff>381000</xdr:colOff>
      <xdr:row>118</xdr:row>
      <xdr:rowOff>171450</xdr:rowOff>
    </xdr:to>
    <xdr:pic>
      <xdr:nvPicPr>
        <xdr:cNvPr id="3226" name="图片 3225"/>
        <xdr:cNvPicPr>
          <a:picLocks noChangeAspect="1"/>
        </xdr:cNvPicPr>
      </xdr:nvPicPr>
      <xdr:blipFill>
        <a:blip r:embed="rId292" r:link="rId2"/>
        <a:stretch>
          <a:fillRect/>
        </a:stretch>
      </xdr:blipFill>
      <xdr:spPr>
        <a:xfrm>
          <a:off x="105822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121</xdr:row>
      <xdr:rowOff>0</xdr:rowOff>
    </xdr:from>
    <xdr:to>
      <xdr:col>11</xdr:col>
      <xdr:colOff>381000</xdr:colOff>
      <xdr:row>122</xdr:row>
      <xdr:rowOff>171450</xdr:rowOff>
    </xdr:to>
    <xdr:pic>
      <xdr:nvPicPr>
        <xdr:cNvPr id="3227" name="图片 3226"/>
        <xdr:cNvPicPr>
          <a:picLocks noChangeAspect="1"/>
        </xdr:cNvPicPr>
      </xdr:nvPicPr>
      <xdr:blipFill>
        <a:blip r:embed="rId293" r:link="rId2"/>
        <a:stretch>
          <a:fillRect/>
        </a:stretch>
      </xdr:blipFill>
      <xdr:spPr>
        <a:xfrm>
          <a:off x="105822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124</xdr:row>
      <xdr:rowOff>0</xdr:rowOff>
    </xdr:from>
    <xdr:to>
      <xdr:col>11</xdr:col>
      <xdr:colOff>381000</xdr:colOff>
      <xdr:row>125</xdr:row>
      <xdr:rowOff>171450</xdr:rowOff>
    </xdr:to>
    <xdr:pic>
      <xdr:nvPicPr>
        <xdr:cNvPr id="3228" name="图片 3227"/>
        <xdr:cNvPicPr>
          <a:picLocks noChangeAspect="1"/>
        </xdr:cNvPicPr>
      </xdr:nvPicPr>
      <xdr:blipFill>
        <a:blip r:embed="rId294" r:link="rId2"/>
        <a:stretch>
          <a:fillRect/>
        </a:stretch>
      </xdr:blipFill>
      <xdr:spPr>
        <a:xfrm>
          <a:off x="105822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128</xdr:row>
      <xdr:rowOff>0</xdr:rowOff>
    </xdr:from>
    <xdr:to>
      <xdr:col>11</xdr:col>
      <xdr:colOff>381000</xdr:colOff>
      <xdr:row>129</xdr:row>
      <xdr:rowOff>171450</xdr:rowOff>
    </xdr:to>
    <xdr:pic>
      <xdr:nvPicPr>
        <xdr:cNvPr id="3229" name="图片 3228"/>
        <xdr:cNvPicPr>
          <a:picLocks noChangeAspect="1"/>
        </xdr:cNvPicPr>
      </xdr:nvPicPr>
      <xdr:blipFill>
        <a:blip r:embed="rId295" r:link="rId2"/>
        <a:stretch>
          <a:fillRect/>
        </a:stretch>
      </xdr:blipFill>
      <xdr:spPr>
        <a:xfrm>
          <a:off x="105822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132</xdr:row>
      <xdr:rowOff>0</xdr:rowOff>
    </xdr:from>
    <xdr:to>
      <xdr:col>11</xdr:col>
      <xdr:colOff>381000</xdr:colOff>
      <xdr:row>133</xdr:row>
      <xdr:rowOff>171450</xdr:rowOff>
    </xdr:to>
    <xdr:pic>
      <xdr:nvPicPr>
        <xdr:cNvPr id="3230" name="图片 3229"/>
        <xdr:cNvPicPr>
          <a:picLocks noChangeAspect="1"/>
        </xdr:cNvPicPr>
      </xdr:nvPicPr>
      <xdr:blipFill>
        <a:blip r:embed="rId296" r:link="rId2"/>
        <a:stretch>
          <a:fillRect/>
        </a:stretch>
      </xdr:blipFill>
      <xdr:spPr>
        <a:xfrm>
          <a:off x="105822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135</xdr:row>
      <xdr:rowOff>0</xdr:rowOff>
    </xdr:from>
    <xdr:to>
      <xdr:col>11</xdr:col>
      <xdr:colOff>381000</xdr:colOff>
      <xdr:row>136</xdr:row>
      <xdr:rowOff>171450</xdr:rowOff>
    </xdr:to>
    <xdr:pic>
      <xdr:nvPicPr>
        <xdr:cNvPr id="3231" name="图片 3230"/>
        <xdr:cNvPicPr>
          <a:picLocks noChangeAspect="1"/>
        </xdr:cNvPicPr>
      </xdr:nvPicPr>
      <xdr:blipFill>
        <a:blip r:embed="rId297" r:link="rId2"/>
        <a:stretch>
          <a:fillRect/>
        </a:stretch>
      </xdr:blipFill>
      <xdr:spPr>
        <a:xfrm>
          <a:off x="105822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139</xdr:row>
      <xdr:rowOff>0</xdr:rowOff>
    </xdr:from>
    <xdr:to>
      <xdr:col>11</xdr:col>
      <xdr:colOff>381000</xdr:colOff>
      <xdr:row>140</xdr:row>
      <xdr:rowOff>171450</xdr:rowOff>
    </xdr:to>
    <xdr:pic>
      <xdr:nvPicPr>
        <xdr:cNvPr id="3232" name="图片 323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05822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143</xdr:row>
      <xdr:rowOff>0</xdr:rowOff>
    </xdr:from>
    <xdr:to>
      <xdr:col>11</xdr:col>
      <xdr:colOff>381000</xdr:colOff>
      <xdr:row>144</xdr:row>
      <xdr:rowOff>171450</xdr:rowOff>
    </xdr:to>
    <xdr:pic>
      <xdr:nvPicPr>
        <xdr:cNvPr id="3233" name="图片 3232"/>
        <xdr:cNvPicPr>
          <a:picLocks noChangeAspect="1"/>
        </xdr:cNvPicPr>
      </xdr:nvPicPr>
      <xdr:blipFill>
        <a:blip r:embed="rId298" r:link="rId2"/>
        <a:stretch>
          <a:fillRect/>
        </a:stretch>
      </xdr:blipFill>
      <xdr:spPr>
        <a:xfrm>
          <a:off x="105822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146</xdr:row>
      <xdr:rowOff>0</xdr:rowOff>
    </xdr:from>
    <xdr:to>
      <xdr:col>11</xdr:col>
      <xdr:colOff>381000</xdr:colOff>
      <xdr:row>147</xdr:row>
      <xdr:rowOff>171450</xdr:rowOff>
    </xdr:to>
    <xdr:pic>
      <xdr:nvPicPr>
        <xdr:cNvPr id="3234" name="图片 3233"/>
        <xdr:cNvPicPr>
          <a:picLocks noChangeAspect="1"/>
        </xdr:cNvPicPr>
      </xdr:nvPicPr>
      <xdr:blipFill>
        <a:blip r:embed="rId299" r:link="rId2"/>
        <a:stretch>
          <a:fillRect/>
        </a:stretch>
      </xdr:blipFill>
      <xdr:spPr>
        <a:xfrm>
          <a:off x="105822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381000</xdr:colOff>
      <xdr:row>4</xdr:row>
      <xdr:rowOff>171450</xdr:rowOff>
    </xdr:to>
    <xdr:pic>
      <xdr:nvPicPr>
        <xdr:cNvPr id="3235" name="图片 3234"/>
        <xdr:cNvPicPr>
          <a:picLocks noChangeAspect="1"/>
        </xdr:cNvPicPr>
      </xdr:nvPicPr>
      <xdr:blipFill>
        <a:blip r:embed="rId300" r:link="rId2"/>
        <a:stretch>
          <a:fillRect/>
        </a:stretch>
      </xdr:blipFill>
      <xdr:spPr>
        <a:xfrm>
          <a:off x="115443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381000</xdr:colOff>
      <xdr:row>8</xdr:row>
      <xdr:rowOff>171450</xdr:rowOff>
    </xdr:to>
    <xdr:pic>
      <xdr:nvPicPr>
        <xdr:cNvPr id="3236" name="图片 3235"/>
        <xdr:cNvPicPr>
          <a:picLocks noChangeAspect="1"/>
        </xdr:cNvPicPr>
      </xdr:nvPicPr>
      <xdr:blipFill>
        <a:blip r:embed="rId301" r:link="rId2"/>
        <a:stretch>
          <a:fillRect/>
        </a:stretch>
      </xdr:blipFill>
      <xdr:spPr>
        <a:xfrm>
          <a:off x="115443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381000</xdr:colOff>
      <xdr:row>12</xdr:row>
      <xdr:rowOff>171450</xdr:rowOff>
    </xdr:to>
    <xdr:pic>
      <xdr:nvPicPr>
        <xdr:cNvPr id="3237" name="图片 3236"/>
        <xdr:cNvPicPr>
          <a:picLocks noChangeAspect="1"/>
        </xdr:cNvPicPr>
      </xdr:nvPicPr>
      <xdr:blipFill>
        <a:blip r:embed="rId302" r:link="rId2"/>
        <a:stretch>
          <a:fillRect/>
        </a:stretch>
      </xdr:blipFill>
      <xdr:spPr>
        <a:xfrm>
          <a:off x="115443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381000</xdr:colOff>
      <xdr:row>15</xdr:row>
      <xdr:rowOff>171450</xdr:rowOff>
    </xdr:to>
    <xdr:pic>
      <xdr:nvPicPr>
        <xdr:cNvPr id="3238" name="图片 3237"/>
        <xdr:cNvPicPr>
          <a:picLocks noChangeAspect="1"/>
        </xdr:cNvPicPr>
      </xdr:nvPicPr>
      <xdr:blipFill>
        <a:blip r:embed="rId303" r:link="rId2"/>
        <a:stretch>
          <a:fillRect/>
        </a:stretch>
      </xdr:blipFill>
      <xdr:spPr>
        <a:xfrm>
          <a:off x="115443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381000</xdr:colOff>
      <xdr:row>19</xdr:row>
      <xdr:rowOff>171450</xdr:rowOff>
    </xdr:to>
    <xdr:pic>
      <xdr:nvPicPr>
        <xdr:cNvPr id="3239" name="图片 3238"/>
        <xdr:cNvPicPr>
          <a:picLocks noChangeAspect="1"/>
        </xdr:cNvPicPr>
      </xdr:nvPicPr>
      <xdr:blipFill>
        <a:blip r:embed="rId304" r:link="rId2"/>
        <a:stretch>
          <a:fillRect/>
        </a:stretch>
      </xdr:blipFill>
      <xdr:spPr>
        <a:xfrm>
          <a:off x="115443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22</xdr:row>
      <xdr:rowOff>0</xdr:rowOff>
    </xdr:from>
    <xdr:to>
      <xdr:col>12</xdr:col>
      <xdr:colOff>381000</xdr:colOff>
      <xdr:row>23</xdr:row>
      <xdr:rowOff>171450</xdr:rowOff>
    </xdr:to>
    <xdr:pic>
      <xdr:nvPicPr>
        <xdr:cNvPr id="3240" name="图片 3239"/>
        <xdr:cNvPicPr>
          <a:picLocks noChangeAspect="1"/>
        </xdr:cNvPicPr>
      </xdr:nvPicPr>
      <xdr:blipFill>
        <a:blip r:embed="rId305" r:link="rId2"/>
        <a:stretch>
          <a:fillRect/>
        </a:stretch>
      </xdr:blipFill>
      <xdr:spPr>
        <a:xfrm>
          <a:off x="115443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381000</xdr:colOff>
      <xdr:row>26</xdr:row>
      <xdr:rowOff>171450</xdr:rowOff>
    </xdr:to>
    <xdr:pic>
      <xdr:nvPicPr>
        <xdr:cNvPr id="3241" name="图片 324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15443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29</xdr:row>
      <xdr:rowOff>0</xdr:rowOff>
    </xdr:from>
    <xdr:to>
      <xdr:col>12</xdr:col>
      <xdr:colOff>381000</xdr:colOff>
      <xdr:row>30</xdr:row>
      <xdr:rowOff>171450</xdr:rowOff>
    </xdr:to>
    <xdr:pic>
      <xdr:nvPicPr>
        <xdr:cNvPr id="3242" name="图片 324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15443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12</xdr:col>
      <xdr:colOff>381000</xdr:colOff>
      <xdr:row>34</xdr:row>
      <xdr:rowOff>171450</xdr:rowOff>
    </xdr:to>
    <xdr:pic>
      <xdr:nvPicPr>
        <xdr:cNvPr id="3243" name="图片 3242"/>
        <xdr:cNvPicPr>
          <a:picLocks noChangeAspect="1"/>
        </xdr:cNvPicPr>
      </xdr:nvPicPr>
      <xdr:blipFill>
        <a:blip r:embed="rId306" r:link="rId2"/>
        <a:stretch>
          <a:fillRect/>
        </a:stretch>
      </xdr:blipFill>
      <xdr:spPr>
        <a:xfrm>
          <a:off x="115443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36</xdr:row>
      <xdr:rowOff>0</xdr:rowOff>
    </xdr:from>
    <xdr:to>
      <xdr:col>12</xdr:col>
      <xdr:colOff>381000</xdr:colOff>
      <xdr:row>37</xdr:row>
      <xdr:rowOff>171450</xdr:rowOff>
    </xdr:to>
    <xdr:pic>
      <xdr:nvPicPr>
        <xdr:cNvPr id="3244" name="图片 3243"/>
        <xdr:cNvPicPr>
          <a:picLocks noChangeAspect="1"/>
        </xdr:cNvPicPr>
      </xdr:nvPicPr>
      <xdr:blipFill>
        <a:blip r:embed="rId307" r:link="rId2"/>
        <a:stretch>
          <a:fillRect/>
        </a:stretch>
      </xdr:blipFill>
      <xdr:spPr>
        <a:xfrm>
          <a:off x="115443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381000</xdr:colOff>
      <xdr:row>41</xdr:row>
      <xdr:rowOff>171450</xdr:rowOff>
    </xdr:to>
    <xdr:pic>
      <xdr:nvPicPr>
        <xdr:cNvPr id="3245" name="图片 3244"/>
        <xdr:cNvPicPr>
          <a:picLocks noChangeAspect="1"/>
        </xdr:cNvPicPr>
      </xdr:nvPicPr>
      <xdr:blipFill>
        <a:blip r:embed="rId308" r:link="rId2"/>
        <a:stretch>
          <a:fillRect/>
        </a:stretch>
      </xdr:blipFill>
      <xdr:spPr>
        <a:xfrm>
          <a:off x="115443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44</xdr:row>
      <xdr:rowOff>0</xdr:rowOff>
    </xdr:from>
    <xdr:to>
      <xdr:col>12</xdr:col>
      <xdr:colOff>381000</xdr:colOff>
      <xdr:row>45</xdr:row>
      <xdr:rowOff>171450</xdr:rowOff>
    </xdr:to>
    <xdr:pic>
      <xdr:nvPicPr>
        <xdr:cNvPr id="3246" name="图片 3245"/>
        <xdr:cNvPicPr>
          <a:picLocks noChangeAspect="1"/>
        </xdr:cNvPicPr>
      </xdr:nvPicPr>
      <xdr:blipFill>
        <a:blip r:embed="rId309" r:link="rId2"/>
        <a:stretch>
          <a:fillRect/>
        </a:stretch>
      </xdr:blipFill>
      <xdr:spPr>
        <a:xfrm>
          <a:off x="115443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47</xdr:row>
      <xdr:rowOff>0</xdr:rowOff>
    </xdr:from>
    <xdr:to>
      <xdr:col>12</xdr:col>
      <xdr:colOff>381000</xdr:colOff>
      <xdr:row>48</xdr:row>
      <xdr:rowOff>171450</xdr:rowOff>
    </xdr:to>
    <xdr:pic>
      <xdr:nvPicPr>
        <xdr:cNvPr id="3247" name="图片 3246"/>
        <xdr:cNvPicPr>
          <a:picLocks noChangeAspect="1"/>
        </xdr:cNvPicPr>
      </xdr:nvPicPr>
      <xdr:blipFill>
        <a:blip r:embed="rId310" r:link="rId2"/>
        <a:stretch>
          <a:fillRect/>
        </a:stretch>
      </xdr:blipFill>
      <xdr:spPr>
        <a:xfrm>
          <a:off x="115443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51</xdr:row>
      <xdr:rowOff>0</xdr:rowOff>
    </xdr:from>
    <xdr:to>
      <xdr:col>12</xdr:col>
      <xdr:colOff>381000</xdr:colOff>
      <xdr:row>52</xdr:row>
      <xdr:rowOff>171450</xdr:rowOff>
    </xdr:to>
    <xdr:pic>
      <xdr:nvPicPr>
        <xdr:cNvPr id="3248" name="图片 3247"/>
        <xdr:cNvPicPr>
          <a:picLocks noChangeAspect="1"/>
        </xdr:cNvPicPr>
      </xdr:nvPicPr>
      <xdr:blipFill>
        <a:blip r:embed="rId311" r:link="rId2"/>
        <a:stretch>
          <a:fillRect/>
        </a:stretch>
      </xdr:blipFill>
      <xdr:spPr>
        <a:xfrm>
          <a:off x="115443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55</xdr:row>
      <xdr:rowOff>0</xdr:rowOff>
    </xdr:from>
    <xdr:to>
      <xdr:col>12</xdr:col>
      <xdr:colOff>381000</xdr:colOff>
      <xdr:row>56</xdr:row>
      <xdr:rowOff>171450</xdr:rowOff>
    </xdr:to>
    <xdr:pic>
      <xdr:nvPicPr>
        <xdr:cNvPr id="3249" name="图片 3248"/>
        <xdr:cNvPicPr>
          <a:picLocks noChangeAspect="1"/>
        </xdr:cNvPicPr>
      </xdr:nvPicPr>
      <xdr:blipFill>
        <a:blip r:embed="rId312" r:link="rId2"/>
        <a:stretch>
          <a:fillRect/>
        </a:stretch>
      </xdr:blipFill>
      <xdr:spPr>
        <a:xfrm>
          <a:off x="115443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58</xdr:row>
      <xdr:rowOff>0</xdr:rowOff>
    </xdr:from>
    <xdr:to>
      <xdr:col>12</xdr:col>
      <xdr:colOff>381000</xdr:colOff>
      <xdr:row>59</xdr:row>
      <xdr:rowOff>171450</xdr:rowOff>
    </xdr:to>
    <xdr:pic>
      <xdr:nvPicPr>
        <xdr:cNvPr id="3250" name="图片 3249"/>
        <xdr:cNvPicPr>
          <a:picLocks noChangeAspect="1"/>
        </xdr:cNvPicPr>
      </xdr:nvPicPr>
      <xdr:blipFill>
        <a:blip r:embed="rId313" r:link="rId2"/>
        <a:stretch>
          <a:fillRect/>
        </a:stretch>
      </xdr:blipFill>
      <xdr:spPr>
        <a:xfrm>
          <a:off x="115443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62</xdr:row>
      <xdr:rowOff>0</xdr:rowOff>
    </xdr:from>
    <xdr:to>
      <xdr:col>12</xdr:col>
      <xdr:colOff>381000</xdr:colOff>
      <xdr:row>63</xdr:row>
      <xdr:rowOff>171450</xdr:rowOff>
    </xdr:to>
    <xdr:pic>
      <xdr:nvPicPr>
        <xdr:cNvPr id="3251" name="图片 3250"/>
        <xdr:cNvPicPr>
          <a:picLocks noChangeAspect="1"/>
        </xdr:cNvPicPr>
      </xdr:nvPicPr>
      <xdr:blipFill>
        <a:blip r:embed="rId314" r:link="rId2"/>
        <a:stretch>
          <a:fillRect/>
        </a:stretch>
      </xdr:blipFill>
      <xdr:spPr>
        <a:xfrm>
          <a:off x="115443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66</xdr:row>
      <xdr:rowOff>0</xdr:rowOff>
    </xdr:from>
    <xdr:to>
      <xdr:col>12</xdr:col>
      <xdr:colOff>381000</xdr:colOff>
      <xdr:row>67</xdr:row>
      <xdr:rowOff>171450</xdr:rowOff>
    </xdr:to>
    <xdr:pic>
      <xdr:nvPicPr>
        <xdr:cNvPr id="3252" name="图片 3251"/>
        <xdr:cNvPicPr>
          <a:picLocks noChangeAspect="1"/>
        </xdr:cNvPicPr>
      </xdr:nvPicPr>
      <xdr:blipFill>
        <a:blip r:embed="rId315" r:link="rId2"/>
        <a:stretch>
          <a:fillRect/>
        </a:stretch>
      </xdr:blipFill>
      <xdr:spPr>
        <a:xfrm>
          <a:off x="115443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69</xdr:row>
      <xdr:rowOff>0</xdr:rowOff>
    </xdr:from>
    <xdr:to>
      <xdr:col>12</xdr:col>
      <xdr:colOff>381000</xdr:colOff>
      <xdr:row>70</xdr:row>
      <xdr:rowOff>171450</xdr:rowOff>
    </xdr:to>
    <xdr:pic>
      <xdr:nvPicPr>
        <xdr:cNvPr id="3253" name="图片 3252"/>
        <xdr:cNvPicPr>
          <a:picLocks noChangeAspect="1"/>
        </xdr:cNvPicPr>
      </xdr:nvPicPr>
      <xdr:blipFill>
        <a:blip r:embed="rId316" r:link="rId2"/>
        <a:stretch>
          <a:fillRect/>
        </a:stretch>
      </xdr:blipFill>
      <xdr:spPr>
        <a:xfrm>
          <a:off x="115443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73</xdr:row>
      <xdr:rowOff>0</xdr:rowOff>
    </xdr:from>
    <xdr:to>
      <xdr:col>12</xdr:col>
      <xdr:colOff>381000</xdr:colOff>
      <xdr:row>74</xdr:row>
      <xdr:rowOff>171450</xdr:rowOff>
    </xdr:to>
    <xdr:pic>
      <xdr:nvPicPr>
        <xdr:cNvPr id="3254" name="图片 3253"/>
        <xdr:cNvPicPr>
          <a:picLocks noChangeAspect="1"/>
        </xdr:cNvPicPr>
      </xdr:nvPicPr>
      <xdr:blipFill>
        <a:blip r:embed="rId317" r:link="rId2"/>
        <a:stretch>
          <a:fillRect/>
        </a:stretch>
      </xdr:blipFill>
      <xdr:spPr>
        <a:xfrm>
          <a:off x="115443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77</xdr:row>
      <xdr:rowOff>0</xdr:rowOff>
    </xdr:from>
    <xdr:to>
      <xdr:col>12</xdr:col>
      <xdr:colOff>381000</xdr:colOff>
      <xdr:row>78</xdr:row>
      <xdr:rowOff>171450</xdr:rowOff>
    </xdr:to>
    <xdr:pic>
      <xdr:nvPicPr>
        <xdr:cNvPr id="3255" name="图片 3254"/>
        <xdr:cNvPicPr>
          <a:picLocks noChangeAspect="1"/>
        </xdr:cNvPicPr>
      </xdr:nvPicPr>
      <xdr:blipFill>
        <a:blip r:embed="rId318" r:link="rId2"/>
        <a:stretch>
          <a:fillRect/>
        </a:stretch>
      </xdr:blipFill>
      <xdr:spPr>
        <a:xfrm>
          <a:off x="115443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80</xdr:row>
      <xdr:rowOff>0</xdr:rowOff>
    </xdr:from>
    <xdr:to>
      <xdr:col>12</xdr:col>
      <xdr:colOff>381000</xdr:colOff>
      <xdr:row>81</xdr:row>
      <xdr:rowOff>171450</xdr:rowOff>
    </xdr:to>
    <xdr:pic>
      <xdr:nvPicPr>
        <xdr:cNvPr id="3256" name="图片 3255"/>
        <xdr:cNvPicPr>
          <a:picLocks noChangeAspect="1"/>
        </xdr:cNvPicPr>
      </xdr:nvPicPr>
      <xdr:blipFill>
        <a:blip r:embed="rId319" r:link="rId2"/>
        <a:stretch>
          <a:fillRect/>
        </a:stretch>
      </xdr:blipFill>
      <xdr:spPr>
        <a:xfrm>
          <a:off x="115443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84</xdr:row>
      <xdr:rowOff>0</xdr:rowOff>
    </xdr:from>
    <xdr:to>
      <xdr:col>12</xdr:col>
      <xdr:colOff>381000</xdr:colOff>
      <xdr:row>85</xdr:row>
      <xdr:rowOff>171450</xdr:rowOff>
    </xdr:to>
    <xdr:pic>
      <xdr:nvPicPr>
        <xdr:cNvPr id="3257" name="图片 325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15443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88</xdr:row>
      <xdr:rowOff>0</xdr:rowOff>
    </xdr:from>
    <xdr:to>
      <xdr:col>12</xdr:col>
      <xdr:colOff>381000</xdr:colOff>
      <xdr:row>89</xdr:row>
      <xdr:rowOff>171450</xdr:rowOff>
    </xdr:to>
    <xdr:pic>
      <xdr:nvPicPr>
        <xdr:cNvPr id="3258" name="图片 3257"/>
        <xdr:cNvPicPr>
          <a:picLocks noChangeAspect="1"/>
        </xdr:cNvPicPr>
      </xdr:nvPicPr>
      <xdr:blipFill>
        <a:blip r:embed="rId320" r:link="rId2"/>
        <a:stretch>
          <a:fillRect/>
        </a:stretch>
      </xdr:blipFill>
      <xdr:spPr>
        <a:xfrm>
          <a:off x="115443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91</xdr:row>
      <xdr:rowOff>0</xdr:rowOff>
    </xdr:from>
    <xdr:to>
      <xdr:col>12</xdr:col>
      <xdr:colOff>381000</xdr:colOff>
      <xdr:row>92</xdr:row>
      <xdr:rowOff>171450</xdr:rowOff>
    </xdr:to>
    <xdr:pic>
      <xdr:nvPicPr>
        <xdr:cNvPr id="3259" name="图片 3258"/>
        <xdr:cNvPicPr>
          <a:picLocks noChangeAspect="1"/>
        </xdr:cNvPicPr>
      </xdr:nvPicPr>
      <xdr:blipFill>
        <a:blip r:embed="rId321" r:link="rId2"/>
        <a:stretch>
          <a:fillRect/>
        </a:stretch>
      </xdr:blipFill>
      <xdr:spPr>
        <a:xfrm>
          <a:off x="115443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95</xdr:row>
      <xdr:rowOff>0</xdr:rowOff>
    </xdr:from>
    <xdr:to>
      <xdr:col>12</xdr:col>
      <xdr:colOff>381000</xdr:colOff>
      <xdr:row>96</xdr:row>
      <xdr:rowOff>171450</xdr:rowOff>
    </xdr:to>
    <xdr:pic>
      <xdr:nvPicPr>
        <xdr:cNvPr id="3260" name="图片 3259"/>
        <xdr:cNvPicPr>
          <a:picLocks noChangeAspect="1"/>
        </xdr:cNvPicPr>
      </xdr:nvPicPr>
      <xdr:blipFill>
        <a:blip r:embed="rId322" r:link="rId2"/>
        <a:stretch>
          <a:fillRect/>
        </a:stretch>
      </xdr:blipFill>
      <xdr:spPr>
        <a:xfrm>
          <a:off x="115443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99</xdr:row>
      <xdr:rowOff>0</xdr:rowOff>
    </xdr:from>
    <xdr:to>
      <xdr:col>12</xdr:col>
      <xdr:colOff>381000</xdr:colOff>
      <xdr:row>100</xdr:row>
      <xdr:rowOff>171450</xdr:rowOff>
    </xdr:to>
    <xdr:pic>
      <xdr:nvPicPr>
        <xdr:cNvPr id="3261" name="图片 3260"/>
        <xdr:cNvPicPr>
          <a:picLocks noChangeAspect="1"/>
        </xdr:cNvPicPr>
      </xdr:nvPicPr>
      <xdr:blipFill>
        <a:blip r:embed="rId323" r:link="rId2"/>
        <a:stretch>
          <a:fillRect/>
        </a:stretch>
      </xdr:blipFill>
      <xdr:spPr>
        <a:xfrm>
          <a:off x="115443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102</xdr:row>
      <xdr:rowOff>0</xdr:rowOff>
    </xdr:from>
    <xdr:to>
      <xdr:col>12</xdr:col>
      <xdr:colOff>381000</xdr:colOff>
      <xdr:row>103</xdr:row>
      <xdr:rowOff>171450</xdr:rowOff>
    </xdr:to>
    <xdr:pic>
      <xdr:nvPicPr>
        <xdr:cNvPr id="3262" name="图片 3261"/>
        <xdr:cNvPicPr>
          <a:picLocks noChangeAspect="1"/>
        </xdr:cNvPicPr>
      </xdr:nvPicPr>
      <xdr:blipFill>
        <a:blip r:embed="rId324" r:link="rId2"/>
        <a:stretch>
          <a:fillRect/>
        </a:stretch>
      </xdr:blipFill>
      <xdr:spPr>
        <a:xfrm>
          <a:off x="115443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106</xdr:row>
      <xdr:rowOff>0</xdr:rowOff>
    </xdr:from>
    <xdr:to>
      <xdr:col>12</xdr:col>
      <xdr:colOff>381000</xdr:colOff>
      <xdr:row>107</xdr:row>
      <xdr:rowOff>171450</xdr:rowOff>
    </xdr:to>
    <xdr:pic>
      <xdr:nvPicPr>
        <xdr:cNvPr id="3263" name="图片 3262"/>
        <xdr:cNvPicPr>
          <a:picLocks noChangeAspect="1"/>
        </xdr:cNvPicPr>
      </xdr:nvPicPr>
      <xdr:blipFill>
        <a:blip r:embed="rId325" r:link="rId2"/>
        <a:stretch>
          <a:fillRect/>
        </a:stretch>
      </xdr:blipFill>
      <xdr:spPr>
        <a:xfrm>
          <a:off x="115443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110</xdr:row>
      <xdr:rowOff>0</xdr:rowOff>
    </xdr:from>
    <xdr:to>
      <xdr:col>12</xdr:col>
      <xdr:colOff>381000</xdr:colOff>
      <xdr:row>111</xdr:row>
      <xdr:rowOff>171450</xdr:rowOff>
    </xdr:to>
    <xdr:pic>
      <xdr:nvPicPr>
        <xdr:cNvPr id="3264" name="图片 3263"/>
        <xdr:cNvPicPr>
          <a:picLocks noChangeAspect="1"/>
        </xdr:cNvPicPr>
      </xdr:nvPicPr>
      <xdr:blipFill>
        <a:blip r:embed="rId326" r:link="rId2"/>
        <a:stretch>
          <a:fillRect/>
        </a:stretch>
      </xdr:blipFill>
      <xdr:spPr>
        <a:xfrm>
          <a:off x="115443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113</xdr:row>
      <xdr:rowOff>0</xdr:rowOff>
    </xdr:from>
    <xdr:to>
      <xdr:col>12</xdr:col>
      <xdr:colOff>381000</xdr:colOff>
      <xdr:row>114</xdr:row>
      <xdr:rowOff>171450</xdr:rowOff>
    </xdr:to>
    <xdr:pic>
      <xdr:nvPicPr>
        <xdr:cNvPr id="3265" name="图片 3264"/>
        <xdr:cNvPicPr>
          <a:picLocks noChangeAspect="1"/>
        </xdr:cNvPicPr>
      </xdr:nvPicPr>
      <xdr:blipFill>
        <a:blip r:embed="rId327" r:link="rId2"/>
        <a:stretch>
          <a:fillRect/>
        </a:stretch>
      </xdr:blipFill>
      <xdr:spPr>
        <a:xfrm>
          <a:off x="115443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117</xdr:row>
      <xdr:rowOff>0</xdr:rowOff>
    </xdr:from>
    <xdr:to>
      <xdr:col>12</xdr:col>
      <xdr:colOff>381000</xdr:colOff>
      <xdr:row>118</xdr:row>
      <xdr:rowOff>171450</xdr:rowOff>
    </xdr:to>
    <xdr:pic>
      <xdr:nvPicPr>
        <xdr:cNvPr id="3266" name="图片 3265"/>
        <xdr:cNvPicPr>
          <a:picLocks noChangeAspect="1"/>
        </xdr:cNvPicPr>
      </xdr:nvPicPr>
      <xdr:blipFill>
        <a:blip r:embed="rId328" r:link="rId2"/>
        <a:stretch>
          <a:fillRect/>
        </a:stretch>
      </xdr:blipFill>
      <xdr:spPr>
        <a:xfrm>
          <a:off x="115443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121</xdr:row>
      <xdr:rowOff>0</xdr:rowOff>
    </xdr:from>
    <xdr:to>
      <xdr:col>12</xdr:col>
      <xdr:colOff>381000</xdr:colOff>
      <xdr:row>122</xdr:row>
      <xdr:rowOff>171450</xdr:rowOff>
    </xdr:to>
    <xdr:pic>
      <xdr:nvPicPr>
        <xdr:cNvPr id="3267" name="图片 3266"/>
        <xdr:cNvPicPr>
          <a:picLocks noChangeAspect="1"/>
        </xdr:cNvPicPr>
      </xdr:nvPicPr>
      <xdr:blipFill>
        <a:blip r:embed="rId329" r:link="rId2"/>
        <a:stretch>
          <a:fillRect/>
        </a:stretch>
      </xdr:blipFill>
      <xdr:spPr>
        <a:xfrm>
          <a:off x="115443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124</xdr:row>
      <xdr:rowOff>0</xdr:rowOff>
    </xdr:from>
    <xdr:to>
      <xdr:col>12</xdr:col>
      <xdr:colOff>381000</xdr:colOff>
      <xdr:row>125</xdr:row>
      <xdr:rowOff>171450</xdr:rowOff>
    </xdr:to>
    <xdr:pic>
      <xdr:nvPicPr>
        <xdr:cNvPr id="3268" name="图片 3267"/>
        <xdr:cNvPicPr>
          <a:picLocks noChangeAspect="1"/>
        </xdr:cNvPicPr>
      </xdr:nvPicPr>
      <xdr:blipFill>
        <a:blip r:embed="rId330" r:link="rId2"/>
        <a:stretch>
          <a:fillRect/>
        </a:stretch>
      </xdr:blipFill>
      <xdr:spPr>
        <a:xfrm>
          <a:off x="115443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128</xdr:row>
      <xdr:rowOff>0</xdr:rowOff>
    </xdr:from>
    <xdr:to>
      <xdr:col>12</xdr:col>
      <xdr:colOff>381000</xdr:colOff>
      <xdr:row>129</xdr:row>
      <xdr:rowOff>171450</xdr:rowOff>
    </xdr:to>
    <xdr:pic>
      <xdr:nvPicPr>
        <xdr:cNvPr id="3269" name="图片 3268"/>
        <xdr:cNvPicPr>
          <a:picLocks noChangeAspect="1"/>
        </xdr:cNvPicPr>
      </xdr:nvPicPr>
      <xdr:blipFill>
        <a:blip r:embed="rId331" r:link="rId2"/>
        <a:stretch>
          <a:fillRect/>
        </a:stretch>
      </xdr:blipFill>
      <xdr:spPr>
        <a:xfrm>
          <a:off x="115443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132</xdr:row>
      <xdr:rowOff>0</xdr:rowOff>
    </xdr:from>
    <xdr:to>
      <xdr:col>12</xdr:col>
      <xdr:colOff>381000</xdr:colOff>
      <xdr:row>133</xdr:row>
      <xdr:rowOff>171450</xdr:rowOff>
    </xdr:to>
    <xdr:pic>
      <xdr:nvPicPr>
        <xdr:cNvPr id="3270" name="图片 3269"/>
        <xdr:cNvPicPr>
          <a:picLocks noChangeAspect="1"/>
        </xdr:cNvPicPr>
      </xdr:nvPicPr>
      <xdr:blipFill>
        <a:blip r:embed="rId332" r:link="rId2"/>
        <a:stretch>
          <a:fillRect/>
        </a:stretch>
      </xdr:blipFill>
      <xdr:spPr>
        <a:xfrm>
          <a:off x="115443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135</xdr:row>
      <xdr:rowOff>0</xdr:rowOff>
    </xdr:from>
    <xdr:to>
      <xdr:col>12</xdr:col>
      <xdr:colOff>381000</xdr:colOff>
      <xdr:row>136</xdr:row>
      <xdr:rowOff>171450</xdr:rowOff>
    </xdr:to>
    <xdr:pic>
      <xdr:nvPicPr>
        <xdr:cNvPr id="3271" name="图片 3270"/>
        <xdr:cNvPicPr>
          <a:picLocks noChangeAspect="1"/>
        </xdr:cNvPicPr>
      </xdr:nvPicPr>
      <xdr:blipFill>
        <a:blip r:embed="rId333" r:link="rId2"/>
        <a:stretch>
          <a:fillRect/>
        </a:stretch>
      </xdr:blipFill>
      <xdr:spPr>
        <a:xfrm>
          <a:off x="115443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139</xdr:row>
      <xdr:rowOff>0</xdr:rowOff>
    </xdr:from>
    <xdr:to>
      <xdr:col>12</xdr:col>
      <xdr:colOff>381000</xdr:colOff>
      <xdr:row>140</xdr:row>
      <xdr:rowOff>171450</xdr:rowOff>
    </xdr:to>
    <xdr:pic>
      <xdr:nvPicPr>
        <xdr:cNvPr id="3272" name="图片 3271"/>
        <xdr:cNvPicPr>
          <a:picLocks noChangeAspect="1"/>
        </xdr:cNvPicPr>
      </xdr:nvPicPr>
      <xdr:blipFill>
        <a:blip r:embed="rId334" r:link="rId2"/>
        <a:stretch>
          <a:fillRect/>
        </a:stretch>
      </xdr:blipFill>
      <xdr:spPr>
        <a:xfrm>
          <a:off x="115443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143</xdr:row>
      <xdr:rowOff>0</xdr:rowOff>
    </xdr:from>
    <xdr:to>
      <xdr:col>12</xdr:col>
      <xdr:colOff>381000</xdr:colOff>
      <xdr:row>144</xdr:row>
      <xdr:rowOff>171450</xdr:rowOff>
    </xdr:to>
    <xdr:pic>
      <xdr:nvPicPr>
        <xdr:cNvPr id="3273" name="图片 3272"/>
        <xdr:cNvPicPr>
          <a:picLocks noChangeAspect="1"/>
        </xdr:cNvPicPr>
      </xdr:nvPicPr>
      <xdr:blipFill>
        <a:blip r:embed="rId335" r:link="rId2"/>
        <a:stretch>
          <a:fillRect/>
        </a:stretch>
      </xdr:blipFill>
      <xdr:spPr>
        <a:xfrm>
          <a:off x="115443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146</xdr:row>
      <xdr:rowOff>0</xdr:rowOff>
    </xdr:from>
    <xdr:to>
      <xdr:col>12</xdr:col>
      <xdr:colOff>381000</xdr:colOff>
      <xdr:row>147</xdr:row>
      <xdr:rowOff>171450</xdr:rowOff>
    </xdr:to>
    <xdr:pic>
      <xdr:nvPicPr>
        <xdr:cNvPr id="3274" name="图片 3273"/>
        <xdr:cNvPicPr>
          <a:picLocks noChangeAspect="1"/>
        </xdr:cNvPicPr>
      </xdr:nvPicPr>
      <xdr:blipFill>
        <a:blip r:embed="rId336" r:link="rId2"/>
        <a:stretch>
          <a:fillRect/>
        </a:stretch>
      </xdr:blipFill>
      <xdr:spPr>
        <a:xfrm>
          <a:off x="115443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381000</xdr:colOff>
      <xdr:row>4</xdr:row>
      <xdr:rowOff>171450</xdr:rowOff>
    </xdr:to>
    <xdr:pic>
      <xdr:nvPicPr>
        <xdr:cNvPr id="3275" name="图片 3274"/>
        <xdr:cNvPicPr>
          <a:picLocks noChangeAspect="1"/>
        </xdr:cNvPicPr>
      </xdr:nvPicPr>
      <xdr:blipFill>
        <a:blip r:embed="rId337" r:link="rId2"/>
        <a:stretch>
          <a:fillRect/>
        </a:stretch>
      </xdr:blipFill>
      <xdr:spPr>
        <a:xfrm>
          <a:off x="125063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7</xdr:row>
      <xdr:rowOff>0</xdr:rowOff>
    </xdr:from>
    <xdr:to>
      <xdr:col>13</xdr:col>
      <xdr:colOff>381000</xdr:colOff>
      <xdr:row>8</xdr:row>
      <xdr:rowOff>171450</xdr:rowOff>
    </xdr:to>
    <xdr:pic>
      <xdr:nvPicPr>
        <xdr:cNvPr id="3276" name="图片 3275"/>
        <xdr:cNvPicPr>
          <a:picLocks noChangeAspect="1"/>
        </xdr:cNvPicPr>
      </xdr:nvPicPr>
      <xdr:blipFill>
        <a:blip r:embed="rId338" r:link="rId2"/>
        <a:stretch>
          <a:fillRect/>
        </a:stretch>
      </xdr:blipFill>
      <xdr:spPr>
        <a:xfrm>
          <a:off x="125063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381000</xdr:colOff>
      <xdr:row>12</xdr:row>
      <xdr:rowOff>171450</xdr:rowOff>
    </xdr:to>
    <xdr:pic>
      <xdr:nvPicPr>
        <xdr:cNvPr id="3277" name="图片 3276"/>
        <xdr:cNvPicPr>
          <a:picLocks noChangeAspect="1"/>
        </xdr:cNvPicPr>
      </xdr:nvPicPr>
      <xdr:blipFill>
        <a:blip r:embed="rId339" r:link="rId2"/>
        <a:stretch>
          <a:fillRect/>
        </a:stretch>
      </xdr:blipFill>
      <xdr:spPr>
        <a:xfrm>
          <a:off x="125063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14</xdr:row>
      <xdr:rowOff>0</xdr:rowOff>
    </xdr:from>
    <xdr:to>
      <xdr:col>13</xdr:col>
      <xdr:colOff>381000</xdr:colOff>
      <xdr:row>15</xdr:row>
      <xdr:rowOff>171450</xdr:rowOff>
    </xdr:to>
    <xdr:pic>
      <xdr:nvPicPr>
        <xdr:cNvPr id="3278" name="图片 3277"/>
        <xdr:cNvPicPr>
          <a:picLocks noChangeAspect="1"/>
        </xdr:cNvPicPr>
      </xdr:nvPicPr>
      <xdr:blipFill>
        <a:blip r:embed="rId340" r:link="rId2"/>
        <a:stretch>
          <a:fillRect/>
        </a:stretch>
      </xdr:blipFill>
      <xdr:spPr>
        <a:xfrm>
          <a:off x="125063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13</xdr:col>
      <xdr:colOff>381000</xdr:colOff>
      <xdr:row>19</xdr:row>
      <xdr:rowOff>171450</xdr:rowOff>
    </xdr:to>
    <xdr:pic>
      <xdr:nvPicPr>
        <xdr:cNvPr id="3279" name="图片 3278"/>
        <xdr:cNvPicPr>
          <a:picLocks noChangeAspect="1"/>
        </xdr:cNvPicPr>
      </xdr:nvPicPr>
      <xdr:blipFill>
        <a:blip r:embed="rId341" r:link="rId2"/>
        <a:stretch>
          <a:fillRect/>
        </a:stretch>
      </xdr:blipFill>
      <xdr:spPr>
        <a:xfrm>
          <a:off x="125063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22</xdr:row>
      <xdr:rowOff>0</xdr:rowOff>
    </xdr:from>
    <xdr:to>
      <xdr:col>13</xdr:col>
      <xdr:colOff>381000</xdr:colOff>
      <xdr:row>23</xdr:row>
      <xdr:rowOff>171450</xdr:rowOff>
    </xdr:to>
    <xdr:pic>
      <xdr:nvPicPr>
        <xdr:cNvPr id="3280" name="图片 327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25063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25</xdr:row>
      <xdr:rowOff>0</xdr:rowOff>
    </xdr:from>
    <xdr:to>
      <xdr:col>13</xdr:col>
      <xdr:colOff>381000</xdr:colOff>
      <xdr:row>26</xdr:row>
      <xdr:rowOff>171450</xdr:rowOff>
    </xdr:to>
    <xdr:pic>
      <xdr:nvPicPr>
        <xdr:cNvPr id="3281" name="图片 3280"/>
        <xdr:cNvPicPr>
          <a:picLocks noChangeAspect="1"/>
        </xdr:cNvPicPr>
      </xdr:nvPicPr>
      <xdr:blipFill>
        <a:blip r:embed="rId342" r:link="rId2"/>
        <a:stretch>
          <a:fillRect/>
        </a:stretch>
      </xdr:blipFill>
      <xdr:spPr>
        <a:xfrm>
          <a:off x="125063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29</xdr:row>
      <xdr:rowOff>0</xdr:rowOff>
    </xdr:from>
    <xdr:to>
      <xdr:col>13</xdr:col>
      <xdr:colOff>381000</xdr:colOff>
      <xdr:row>30</xdr:row>
      <xdr:rowOff>171450</xdr:rowOff>
    </xdr:to>
    <xdr:pic>
      <xdr:nvPicPr>
        <xdr:cNvPr id="3282" name="图片 3281"/>
        <xdr:cNvPicPr>
          <a:picLocks noChangeAspect="1"/>
        </xdr:cNvPicPr>
      </xdr:nvPicPr>
      <xdr:blipFill>
        <a:blip r:embed="rId343" r:link="rId2"/>
        <a:stretch>
          <a:fillRect/>
        </a:stretch>
      </xdr:blipFill>
      <xdr:spPr>
        <a:xfrm>
          <a:off x="125063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33</xdr:row>
      <xdr:rowOff>0</xdr:rowOff>
    </xdr:from>
    <xdr:to>
      <xdr:col>13</xdr:col>
      <xdr:colOff>381000</xdr:colOff>
      <xdr:row>34</xdr:row>
      <xdr:rowOff>171450</xdr:rowOff>
    </xdr:to>
    <xdr:pic>
      <xdr:nvPicPr>
        <xdr:cNvPr id="3283" name="图片 3282"/>
        <xdr:cNvPicPr>
          <a:picLocks noChangeAspect="1"/>
        </xdr:cNvPicPr>
      </xdr:nvPicPr>
      <xdr:blipFill>
        <a:blip r:embed="rId344" r:link="rId2"/>
        <a:stretch>
          <a:fillRect/>
        </a:stretch>
      </xdr:blipFill>
      <xdr:spPr>
        <a:xfrm>
          <a:off x="125063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36</xdr:row>
      <xdr:rowOff>0</xdr:rowOff>
    </xdr:from>
    <xdr:to>
      <xdr:col>13</xdr:col>
      <xdr:colOff>381000</xdr:colOff>
      <xdr:row>37</xdr:row>
      <xdr:rowOff>171450</xdr:rowOff>
    </xdr:to>
    <xdr:pic>
      <xdr:nvPicPr>
        <xdr:cNvPr id="3284" name="图片 3283"/>
        <xdr:cNvPicPr>
          <a:picLocks noChangeAspect="1"/>
        </xdr:cNvPicPr>
      </xdr:nvPicPr>
      <xdr:blipFill>
        <a:blip r:embed="rId345" r:link="rId2"/>
        <a:stretch>
          <a:fillRect/>
        </a:stretch>
      </xdr:blipFill>
      <xdr:spPr>
        <a:xfrm>
          <a:off x="125063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381000</xdr:colOff>
      <xdr:row>41</xdr:row>
      <xdr:rowOff>171450</xdr:rowOff>
    </xdr:to>
    <xdr:pic>
      <xdr:nvPicPr>
        <xdr:cNvPr id="3285" name="图片 3284"/>
        <xdr:cNvPicPr>
          <a:picLocks noChangeAspect="1"/>
        </xdr:cNvPicPr>
      </xdr:nvPicPr>
      <xdr:blipFill>
        <a:blip r:embed="rId346" r:link="rId2"/>
        <a:stretch>
          <a:fillRect/>
        </a:stretch>
      </xdr:blipFill>
      <xdr:spPr>
        <a:xfrm>
          <a:off x="125063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44</xdr:row>
      <xdr:rowOff>0</xdr:rowOff>
    </xdr:from>
    <xdr:to>
      <xdr:col>13</xdr:col>
      <xdr:colOff>381000</xdr:colOff>
      <xdr:row>45</xdr:row>
      <xdr:rowOff>171450</xdr:rowOff>
    </xdr:to>
    <xdr:pic>
      <xdr:nvPicPr>
        <xdr:cNvPr id="3286" name="图片 328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25063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47</xdr:row>
      <xdr:rowOff>0</xdr:rowOff>
    </xdr:from>
    <xdr:to>
      <xdr:col>13</xdr:col>
      <xdr:colOff>381000</xdr:colOff>
      <xdr:row>48</xdr:row>
      <xdr:rowOff>171450</xdr:rowOff>
    </xdr:to>
    <xdr:pic>
      <xdr:nvPicPr>
        <xdr:cNvPr id="3287" name="图片 3286"/>
        <xdr:cNvPicPr>
          <a:picLocks noChangeAspect="1"/>
        </xdr:cNvPicPr>
      </xdr:nvPicPr>
      <xdr:blipFill>
        <a:blip r:embed="rId347" r:link="rId2"/>
        <a:stretch>
          <a:fillRect/>
        </a:stretch>
      </xdr:blipFill>
      <xdr:spPr>
        <a:xfrm>
          <a:off x="125063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51</xdr:row>
      <xdr:rowOff>0</xdr:rowOff>
    </xdr:from>
    <xdr:to>
      <xdr:col>13</xdr:col>
      <xdr:colOff>381000</xdr:colOff>
      <xdr:row>52</xdr:row>
      <xdr:rowOff>171450</xdr:rowOff>
    </xdr:to>
    <xdr:pic>
      <xdr:nvPicPr>
        <xdr:cNvPr id="3288" name="图片 3287"/>
        <xdr:cNvPicPr>
          <a:picLocks noChangeAspect="1"/>
        </xdr:cNvPicPr>
      </xdr:nvPicPr>
      <xdr:blipFill>
        <a:blip r:embed="rId348" r:link="rId2"/>
        <a:stretch>
          <a:fillRect/>
        </a:stretch>
      </xdr:blipFill>
      <xdr:spPr>
        <a:xfrm>
          <a:off x="125063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55</xdr:row>
      <xdr:rowOff>0</xdr:rowOff>
    </xdr:from>
    <xdr:to>
      <xdr:col>13</xdr:col>
      <xdr:colOff>381000</xdr:colOff>
      <xdr:row>56</xdr:row>
      <xdr:rowOff>171450</xdr:rowOff>
    </xdr:to>
    <xdr:pic>
      <xdr:nvPicPr>
        <xdr:cNvPr id="3289" name="图片 3288"/>
        <xdr:cNvPicPr>
          <a:picLocks noChangeAspect="1"/>
        </xdr:cNvPicPr>
      </xdr:nvPicPr>
      <xdr:blipFill>
        <a:blip r:embed="rId349" r:link="rId2"/>
        <a:stretch>
          <a:fillRect/>
        </a:stretch>
      </xdr:blipFill>
      <xdr:spPr>
        <a:xfrm>
          <a:off x="125063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381000</xdr:colOff>
      <xdr:row>59</xdr:row>
      <xdr:rowOff>171450</xdr:rowOff>
    </xdr:to>
    <xdr:pic>
      <xdr:nvPicPr>
        <xdr:cNvPr id="3290" name="图片 3289"/>
        <xdr:cNvPicPr>
          <a:picLocks noChangeAspect="1"/>
        </xdr:cNvPicPr>
      </xdr:nvPicPr>
      <xdr:blipFill>
        <a:blip r:embed="rId350" r:link="rId2"/>
        <a:stretch>
          <a:fillRect/>
        </a:stretch>
      </xdr:blipFill>
      <xdr:spPr>
        <a:xfrm>
          <a:off x="125063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62</xdr:row>
      <xdr:rowOff>0</xdr:rowOff>
    </xdr:from>
    <xdr:to>
      <xdr:col>13</xdr:col>
      <xdr:colOff>381000</xdr:colOff>
      <xdr:row>63</xdr:row>
      <xdr:rowOff>171450</xdr:rowOff>
    </xdr:to>
    <xdr:pic>
      <xdr:nvPicPr>
        <xdr:cNvPr id="3291" name="图片 3290"/>
        <xdr:cNvPicPr>
          <a:picLocks noChangeAspect="1"/>
        </xdr:cNvPicPr>
      </xdr:nvPicPr>
      <xdr:blipFill>
        <a:blip r:embed="rId351" r:link="rId2"/>
        <a:stretch>
          <a:fillRect/>
        </a:stretch>
      </xdr:blipFill>
      <xdr:spPr>
        <a:xfrm>
          <a:off x="125063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66</xdr:row>
      <xdr:rowOff>0</xdr:rowOff>
    </xdr:from>
    <xdr:to>
      <xdr:col>13</xdr:col>
      <xdr:colOff>381000</xdr:colOff>
      <xdr:row>67</xdr:row>
      <xdr:rowOff>171450</xdr:rowOff>
    </xdr:to>
    <xdr:pic>
      <xdr:nvPicPr>
        <xdr:cNvPr id="3292" name="图片 3291"/>
        <xdr:cNvPicPr>
          <a:picLocks noChangeAspect="1"/>
        </xdr:cNvPicPr>
      </xdr:nvPicPr>
      <xdr:blipFill>
        <a:blip r:embed="rId352" r:link="rId2"/>
        <a:stretch>
          <a:fillRect/>
        </a:stretch>
      </xdr:blipFill>
      <xdr:spPr>
        <a:xfrm>
          <a:off x="125063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69</xdr:row>
      <xdr:rowOff>0</xdr:rowOff>
    </xdr:from>
    <xdr:to>
      <xdr:col>13</xdr:col>
      <xdr:colOff>381000</xdr:colOff>
      <xdr:row>70</xdr:row>
      <xdr:rowOff>171450</xdr:rowOff>
    </xdr:to>
    <xdr:pic>
      <xdr:nvPicPr>
        <xdr:cNvPr id="3293" name="图片 3292"/>
        <xdr:cNvPicPr>
          <a:picLocks noChangeAspect="1"/>
        </xdr:cNvPicPr>
      </xdr:nvPicPr>
      <xdr:blipFill>
        <a:blip r:embed="rId353" r:link="rId2"/>
        <a:stretch>
          <a:fillRect/>
        </a:stretch>
      </xdr:blipFill>
      <xdr:spPr>
        <a:xfrm>
          <a:off x="125063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73</xdr:row>
      <xdr:rowOff>0</xdr:rowOff>
    </xdr:from>
    <xdr:to>
      <xdr:col>13</xdr:col>
      <xdr:colOff>381000</xdr:colOff>
      <xdr:row>74</xdr:row>
      <xdr:rowOff>171450</xdr:rowOff>
    </xdr:to>
    <xdr:pic>
      <xdr:nvPicPr>
        <xdr:cNvPr id="3294" name="图片 3293"/>
        <xdr:cNvPicPr>
          <a:picLocks noChangeAspect="1"/>
        </xdr:cNvPicPr>
      </xdr:nvPicPr>
      <xdr:blipFill>
        <a:blip r:embed="rId354" r:link="rId2"/>
        <a:stretch>
          <a:fillRect/>
        </a:stretch>
      </xdr:blipFill>
      <xdr:spPr>
        <a:xfrm>
          <a:off x="125063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77</xdr:row>
      <xdr:rowOff>0</xdr:rowOff>
    </xdr:from>
    <xdr:to>
      <xdr:col>13</xdr:col>
      <xdr:colOff>381000</xdr:colOff>
      <xdr:row>78</xdr:row>
      <xdr:rowOff>171450</xdr:rowOff>
    </xdr:to>
    <xdr:pic>
      <xdr:nvPicPr>
        <xdr:cNvPr id="3295" name="图片 3294"/>
        <xdr:cNvPicPr>
          <a:picLocks noChangeAspect="1"/>
        </xdr:cNvPicPr>
      </xdr:nvPicPr>
      <xdr:blipFill>
        <a:blip r:embed="rId355" r:link="rId2"/>
        <a:stretch>
          <a:fillRect/>
        </a:stretch>
      </xdr:blipFill>
      <xdr:spPr>
        <a:xfrm>
          <a:off x="125063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80</xdr:row>
      <xdr:rowOff>0</xdr:rowOff>
    </xdr:from>
    <xdr:to>
      <xdr:col>13</xdr:col>
      <xdr:colOff>381000</xdr:colOff>
      <xdr:row>81</xdr:row>
      <xdr:rowOff>171450</xdr:rowOff>
    </xdr:to>
    <xdr:pic>
      <xdr:nvPicPr>
        <xdr:cNvPr id="3296" name="图片 3295"/>
        <xdr:cNvPicPr>
          <a:picLocks noChangeAspect="1"/>
        </xdr:cNvPicPr>
      </xdr:nvPicPr>
      <xdr:blipFill>
        <a:blip r:embed="rId356" r:link="rId2"/>
        <a:stretch>
          <a:fillRect/>
        </a:stretch>
      </xdr:blipFill>
      <xdr:spPr>
        <a:xfrm>
          <a:off x="125063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84</xdr:row>
      <xdr:rowOff>0</xdr:rowOff>
    </xdr:from>
    <xdr:to>
      <xdr:col>13</xdr:col>
      <xdr:colOff>381000</xdr:colOff>
      <xdr:row>85</xdr:row>
      <xdr:rowOff>171450</xdr:rowOff>
    </xdr:to>
    <xdr:pic>
      <xdr:nvPicPr>
        <xdr:cNvPr id="3297" name="图片 3296"/>
        <xdr:cNvPicPr>
          <a:picLocks noChangeAspect="1"/>
        </xdr:cNvPicPr>
      </xdr:nvPicPr>
      <xdr:blipFill>
        <a:blip r:embed="rId357" r:link="rId2"/>
        <a:stretch>
          <a:fillRect/>
        </a:stretch>
      </xdr:blipFill>
      <xdr:spPr>
        <a:xfrm>
          <a:off x="125063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88</xdr:row>
      <xdr:rowOff>0</xdr:rowOff>
    </xdr:from>
    <xdr:to>
      <xdr:col>13</xdr:col>
      <xdr:colOff>381000</xdr:colOff>
      <xdr:row>89</xdr:row>
      <xdr:rowOff>171450</xdr:rowOff>
    </xdr:to>
    <xdr:pic>
      <xdr:nvPicPr>
        <xdr:cNvPr id="3298" name="图片 3297"/>
        <xdr:cNvPicPr>
          <a:picLocks noChangeAspect="1"/>
        </xdr:cNvPicPr>
      </xdr:nvPicPr>
      <xdr:blipFill>
        <a:blip r:embed="rId358" r:link="rId2"/>
        <a:stretch>
          <a:fillRect/>
        </a:stretch>
      </xdr:blipFill>
      <xdr:spPr>
        <a:xfrm>
          <a:off x="125063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91</xdr:row>
      <xdr:rowOff>0</xdr:rowOff>
    </xdr:from>
    <xdr:to>
      <xdr:col>13</xdr:col>
      <xdr:colOff>381000</xdr:colOff>
      <xdr:row>92</xdr:row>
      <xdr:rowOff>171450</xdr:rowOff>
    </xdr:to>
    <xdr:pic>
      <xdr:nvPicPr>
        <xdr:cNvPr id="3299" name="图片 3298"/>
        <xdr:cNvPicPr>
          <a:picLocks noChangeAspect="1"/>
        </xdr:cNvPicPr>
      </xdr:nvPicPr>
      <xdr:blipFill>
        <a:blip r:embed="rId359" r:link="rId2"/>
        <a:stretch>
          <a:fillRect/>
        </a:stretch>
      </xdr:blipFill>
      <xdr:spPr>
        <a:xfrm>
          <a:off x="125063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95</xdr:row>
      <xdr:rowOff>0</xdr:rowOff>
    </xdr:from>
    <xdr:to>
      <xdr:col>13</xdr:col>
      <xdr:colOff>381000</xdr:colOff>
      <xdr:row>96</xdr:row>
      <xdr:rowOff>171450</xdr:rowOff>
    </xdr:to>
    <xdr:pic>
      <xdr:nvPicPr>
        <xdr:cNvPr id="3300" name="图片 3299"/>
        <xdr:cNvPicPr>
          <a:picLocks noChangeAspect="1"/>
        </xdr:cNvPicPr>
      </xdr:nvPicPr>
      <xdr:blipFill>
        <a:blip r:embed="rId360" r:link="rId2"/>
        <a:stretch>
          <a:fillRect/>
        </a:stretch>
      </xdr:blipFill>
      <xdr:spPr>
        <a:xfrm>
          <a:off x="125063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99</xdr:row>
      <xdr:rowOff>0</xdr:rowOff>
    </xdr:from>
    <xdr:to>
      <xdr:col>13</xdr:col>
      <xdr:colOff>381000</xdr:colOff>
      <xdr:row>100</xdr:row>
      <xdr:rowOff>171450</xdr:rowOff>
    </xdr:to>
    <xdr:pic>
      <xdr:nvPicPr>
        <xdr:cNvPr id="3301" name="图片 330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25063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102</xdr:row>
      <xdr:rowOff>0</xdr:rowOff>
    </xdr:from>
    <xdr:to>
      <xdr:col>13</xdr:col>
      <xdr:colOff>381000</xdr:colOff>
      <xdr:row>103</xdr:row>
      <xdr:rowOff>171450</xdr:rowOff>
    </xdr:to>
    <xdr:pic>
      <xdr:nvPicPr>
        <xdr:cNvPr id="3302" name="图片 3301"/>
        <xdr:cNvPicPr>
          <a:picLocks noChangeAspect="1"/>
        </xdr:cNvPicPr>
      </xdr:nvPicPr>
      <xdr:blipFill>
        <a:blip r:embed="rId361" r:link="rId2"/>
        <a:stretch>
          <a:fillRect/>
        </a:stretch>
      </xdr:blipFill>
      <xdr:spPr>
        <a:xfrm>
          <a:off x="125063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106</xdr:row>
      <xdr:rowOff>0</xdr:rowOff>
    </xdr:from>
    <xdr:to>
      <xdr:col>13</xdr:col>
      <xdr:colOff>381000</xdr:colOff>
      <xdr:row>107</xdr:row>
      <xdr:rowOff>171450</xdr:rowOff>
    </xdr:to>
    <xdr:pic>
      <xdr:nvPicPr>
        <xdr:cNvPr id="3303" name="图片 3302"/>
        <xdr:cNvPicPr>
          <a:picLocks noChangeAspect="1"/>
        </xdr:cNvPicPr>
      </xdr:nvPicPr>
      <xdr:blipFill>
        <a:blip r:embed="rId362" r:link="rId2"/>
        <a:stretch>
          <a:fillRect/>
        </a:stretch>
      </xdr:blipFill>
      <xdr:spPr>
        <a:xfrm>
          <a:off x="125063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110</xdr:row>
      <xdr:rowOff>0</xdr:rowOff>
    </xdr:from>
    <xdr:to>
      <xdr:col>13</xdr:col>
      <xdr:colOff>381000</xdr:colOff>
      <xdr:row>111</xdr:row>
      <xdr:rowOff>171450</xdr:rowOff>
    </xdr:to>
    <xdr:pic>
      <xdr:nvPicPr>
        <xdr:cNvPr id="3304" name="图片 3303"/>
        <xdr:cNvPicPr>
          <a:picLocks noChangeAspect="1"/>
        </xdr:cNvPicPr>
      </xdr:nvPicPr>
      <xdr:blipFill>
        <a:blip r:embed="rId363" r:link="rId2"/>
        <a:stretch>
          <a:fillRect/>
        </a:stretch>
      </xdr:blipFill>
      <xdr:spPr>
        <a:xfrm>
          <a:off x="125063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113</xdr:row>
      <xdr:rowOff>0</xdr:rowOff>
    </xdr:from>
    <xdr:to>
      <xdr:col>13</xdr:col>
      <xdr:colOff>381000</xdr:colOff>
      <xdr:row>114</xdr:row>
      <xdr:rowOff>171450</xdr:rowOff>
    </xdr:to>
    <xdr:pic>
      <xdr:nvPicPr>
        <xdr:cNvPr id="3305" name="图片 3304"/>
        <xdr:cNvPicPr>
          <a:picLocks noChangeAspect="1"/>
        </xdr:cNvPicPr>
      </xdr:nvPicPr>
      <xdr:blipFill>
        <a:blip r:embed="rId364" r:link="rId2"/>
        <a:stretch>
          <a:fillRect/>
        </a:stretch>
      </xdr:blipFill>
      <xdr:spPr>
        <a:xfrm>
          <a:off x="125063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117</xdr:row>
      <xdr:rowOff>0</xdr:rowOff>
    </xdr:from>
    <xdr:to>
      <xdr:col>13</xdr:col>
      <xdr:colOff>381000</xdr:colOff>
      <xdr:row>118</xdr:row>
      <xdr:rowOff>171450</xdr:rowOff>
    </xdr:to>
    <xdr:pic>
      <xdr:nvPicPr>
        <xdr:cNvPr id="3306" name="图片 3305"/>
        <xdr:cNvPicPr>
          <a:picLocks noChangeAspect="1"/>
        </xdr:cNvPicPr>
      </xdr:nvPicPr>
      <xdr:blipFill>
        <a:blip r:embed="rId365" r:link="rId2"/>
        <a:stretch>
          <a:fillRect/>
        </a:stretch>
      </xdr:blipFill>
      <xdr:spPr>
        <a:xfrm>
          <a:off x="125063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121</xdr:row>
      <xdr:rowOff>0</xdr:rowOff>
    </xdr:from>
    <xdr:to>
      <xdr:col>13</xdr:col>
      <xdr:colOff>381000</xdr:colOff>
      <xdr:row>122</xdr:row>
      <xdr:rowOff>171450</xdr:rowOff>
    </xdr:to>
    <xdr:pic>
      <xdr:nvPicPr>
        <xdr:cNvPr id="3307" name="图片 3306"/>
        <xdr:cNvPicPr>
          <a:picLocks noChangeAspect="1"/>
        </xdr:cNvPicPr>
      </xdr:nvPicPr>
      <xdr:blipFill>
        <a:blip r:embed="rId366" r:link="rId2"/>
        <a:stretch>
          <a:fillRect/>
        </a:stretch>
      </xdr:blipFill>
      <xdr:spPr>
        <a:xfrm>
          <a:off x="125063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124</xdr:row>
      <xdr:rowOff>0</xdr:rowOff>
    </xdr:from>
    <xdr:to>
      <xdr:col>13</xdr:col>
      <xdr:colOff>381000</xdr:colOff>
      <xdr:row>125</xdr:row>
      <xdr:rowOff>171450</xdr:rowOff>
    </xdr:to>
    <xdr:pic>
      <xdr:nvPicPr>
        <xdr:cNvPr id="3308" name="图片 3307"/>
        <xdr:cNvPicPr>
          <a:picLocks noChangeAspect="1"/>
        </xdr:cNvPicPr>
      </xdr:nvPicPr>
      <xdr:blipFill>
        <a:blip r:embed="rId367" r:link="rId2"/>
        <a:stretch>
          <a:fillRect/>
        </a:stretch>
      </xdr:blipFill>
      <xdr:spPr>
        <a:xfrm>
          <a:off x="125063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128</xdr:row>
      <xdr:rowOff>0</xdr:rowOff>
    </xdr:from>
    <xdr:to>
      <xdr:col>13</xdr:col>
      <xdr:colOff>381000</xdr:colOff>
      <xdr:row>129</xdr:row>
      <xdr:rowOff>171450</xdr:rowOff>
    </xdr:to>
    <xdr:pic>
      <xdr:nvPicPr>
        <xdr:cNvPr id="3309" name="图片 3308"/>
        <xdr:cNvPicPr>
          <a:picLocks noChangeAspect="1"/>
        </xdr:cNvPicPr>
      </xdr:nvPicPr>
      <xdr:blipFill>
        <a:blip r:embed="rId368" r:link="rId2"/>
        <a:stretch>
          <a:fillRect/>
        </a:stretch>
      </xdr:blipFill>
      <xdr:spPr>
        <a:xfrm>
          <a:off x="125063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132</xdr:row>
      <xdr:rowOff>0</xdr:rowOff>
    </xdr:from>
    <xdr:to>
      <xdr:col>13</xdr:col>
      <xdr:colOff>381000</xdr:colOff>
      <xdr:row>133</xdr:row>
      <xdr:rowOff>171450</xdr:rowOff>
    </xdr:to>
    <xdr:pic>
      <xdr:nvPicPr>
        <xdr:cNvPr id="3310" name="图片 3309"/>
        <xdr:cNvPicPr>
          <a:picLocks noChangeAspect="1"/>
        </xdr:cNvPicPr>
      </xdr:nvPicPr>
      <xdr:blipFill>
        <a:blip r:embed="rId369" r:link="rId2"/>
        <a:stretch>
          <a:fillRect/>
        </a:stretch>
      </xdr:blipFill>
      <xdr:spPr>
        <a:xfrm>
          <a:off x="125063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135</xdr:row>
      <xdr:rowOff>0</xdr:rowOff>
    </xdr:from>
    <xdr:to>
      <xdr:col>13</xdr:col>
      <xdr:colOff>381000</xdr:colOff>
      <xdr:row>136</xdr:row>
      <xdr:rowOff>171450</xdr:rowOff>
    </xdr:to>
    <xdr:pic>
      <xdr:nvPicPr>
        <xdr:cNvPr id="3311" name="图片 3310"/>
        <xdr:cNvPicPr>
          <a:picLocks noChangeAspect="1"/>
        </xdr:cNvPicPr>
      </xdr:nvPicPr>
      <xdr:blipFill>
        <a:blip r:embed="rId370" r:link="rId2"/>
        <a:stretch>
          <a:fillRect/>
        </a:stretch>
      </xdr:blipFill>
      <xdr:spPr>
        <a:xfrm>
          <a:off x="125063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139</xdr:row>
      <xdr:rowOff>0</xdr:rowOff>
    </xdr:from>
    <xdr:to>
      <xdr:col>13</xdr:col>
      <xdr:colOff>381000</xdr:colOff>
      <xdr:row>140</xdr:row>
      <xdr:rowOff>171450</xdr:rowOff>
    </xdr:to>
    <xdr:pic>
      <xdr:nvPicPr>
        <xdr:cNvPr id="3312" name="图片 3311"/>
        <xdr:cNvPicPr>
          <a:picLocks noChangeAspect="1"/>
        </xdr:cNvPicPr>
      </xdr:nvPicPr>
      <xdr:blipFill>
        <a:blip r:embed="rId371" r:link="rId2"/>
        <a:stretch>
          <a:fillRect/>
        </a:stretch>
      </xdr:blipFill>
      <xdr:spPr>
        <a:xfrm>
          <a:off x="125063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143</xdr:row>
      <xdr:rowOff>0</xdr:rowOff>
    </xdr:from>
    <xdr:to>
      <xdr:col>13</xdr:col>
      <xdr:colOff>381000</xdr:colOff>
      <xdr:row>144</xdr:row>
      <xdr:rowOff>171450</xdr:rowOff>
    </xdr:to>
    <xdr:pic>
      <xdr:nvPicPr>
        <xdr:cNvPr id="3313" name="图片 3312"/>
        <xdr:cNvPicPr>
          <a:picLocks noChangeAspect="1"/>
        </xdr:cNvPicPr>
      </xdr:nvPicPr>
      <xdr:blipFill>
        <a:blip r:embed="rId372" r:link="rId2"/>
        <a:stretch>
          <a:fillRect/>
        </a:stretch>
      </xdr:blipFill>
      <xdr:spPr>
        <a:xfrm>
          <a:off x="125063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146</xdr:row>
      <xdr:rowOff>0</xdr:rowOff>
    </xdr:from>
    <xdr:to>
      <xdr:col>13</xdr:col>
      <xdr:colOff>381000</xdr:colOff>
      <xdr:row>147</xdr:row>
      <xdr:rowOff>171450</xdr:rowOff>
    </xdr:to>
    <xdr:pic>
      <xdr:nvPicPr>
        <xdr:cNvPr id="3314" name="图片 3313"/>
        <xdr:cNvPicPr>
          <a:picLocks noChangeAspect="1"/>
        </xdr:cNvPicPr>
      </xdr:nvPicPr>
      <xdr:blipFill>
        <a:blip r:embed="rId373" r:link="rId2"/>
        <a:stretch>
          <a:fillRect/>
        </a:stretch>
      </xdr:blipFill>
      <xdr:spPr>
        <a:xfrm>
          <a:off x="125063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381000</xdr:colOff>
      <xdr:row>4</xdr:row>
      <xdr:rowOff>171450</xdr:rowOff>
    </xdr:to>
    <xdr:pic>
      <xdr:nvPicPr>
        <xdr:cNvPr id="3315" name="图片 3314"/>
        <xdr:cNvPicPr>
          <a:picLocks noChangeAspect="1"/>
        </xdr:cNvPicPr>
      </xdr:nvPicPr>
      <xdr:blipFill>
        <a:blip r:embed="rId374" r:link="rId2"/>
        <a:stretch>
          <a:fillRect/>
        </a:stretch>
      </xdr:blipFill>
      <xdr:spPr>
        <a:xfrm>
          <a:off x="134683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381000</xdr:colOff>
      <xdr:row>8</xdr:row>
      <xdr:rowOff>171450</xdr:rowOff>
    </xdr:to>
    <xdr:pic>
      <xdr:nvPicPr>
        <xdr:cNvPr id="3316" name="图片 3315"/>
        <xdr:cNvPicPr>
          <a:picLocks noChangeAspect="1"/>
        </xdr:cNvPicPr>
      </xdr:nvPicPr>
      <xdr:blipFill>
        <a:blip r:embed="rId375" r:link="rId2"/>
        <a:stretch>
          <a:fillRect/>
        </a:stretch>
      </xdr:blipFill>
      <xdr:spPr>
        <a:xfrm>
          <a:off x="134683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381000</xdr:colOff>
      <xdr:row>12</xdr:row>
      <xdr:rowOff>171450</xdr:rowOff>
    </xdr:to>
    <xdr:pic>
      <xdr:nvPicPr>
        <xdr:cNvPr id="3317" name="图片 3316"/>
        <xdr:cNvPicPr>
          <a:picLocks noChangeAspect="1"/>
        </xdr:cNvPicPr>
      </xdr:nvPicPr>
      <xdr:blipFill>
        <a:blip r:embed="rId376" r:link="rId2"/>
        <a:stretch>
          <a:fillRect/>
        </a:stretch>
      </xdr:blipFill>
      <xdr:spPr>
        <a:xfrm>
          <a:off x="134683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14</xdr:row>
      <xdr:rowOff>0</xdr:rowOff>
    </xdr:from>
    <xdr:to>
      <xdr:col>14</xdr:col>
      <xdr:colOff>381000</xdr:colOff>
      <xdr:row>15</xdr:row>
      <xdr:rowOff>171450</xdr:rowOff>
    </xdr:to>
    <xdr:pic>
      <xdr:nvPicPr>
        <xdr:cNvPr id="3318" name="图片 3317"/>
        <xdr:cNvPicPr>
          <a:picLocks noChangeAspect="1"/>
        </xdr:cNvPicPr>
      </xdr:nvPicPr>
      <xdr:blipFill>
        <a:blip r:embed="rId377" r:link="rId2"/>
        <a:stretch>
          <a:fillRect/>
        </a:stretch>
      </xdr:blipFill>
      <xdr:spPr>
        <a:xfrm>
          <a:off x="134683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18</xdr:row>
      <xdr:rowOff>0</xdr:rowOff>
    </xdr:from>
    <xdr:to>
      <xdr:col>14</xdr:col>
      <xdr:colOff>381000</xdr:colOff>
      <xdr:row>19</xdr:row>
      <xdr:rowOff>171450</xdr:rowOff>
    </xdr:to>
    <xdr:pic>
      <xdr:nvPicPr>
        <xdr:cNvPr id="3319" name="图片 3318"/>
        <xdr:cNvPicPr>
          <a:picLocks noChangeAspect="1"/>
        </xdr:cNvPicPr>
      </xdr:nvPicPr>
      <xdr:blipFill>
        <a:blip r:embed="rId378" r:link="rId2"/>
        <a:stretch>
          <a:fillRect/>
        </a:stretch>
      </xdr:blipFill>
      <xdr:spPr>
        <a:xfrm>
          <a:off x="134683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14</xdr:col>
      <xdr:colOff>381000</xdr:colOff>
      <xdr:row>23</xdr:row>
      <xdr:rowOff>171450</xdr:rowOff>
    </xdr:to>
    <xdr:pic>
      <xdr:nvPicPr>
        <xdr:cNvPr id="3320" name="图片 3319"/>
        <xdr:cNvPicPr>
          <a:picLocks noChangeAspect="1"/>
        </xdr:cNvPicPr>
      </xdr:nvPicPr>
      <xdr:blipFill>
        <a:blip r:embed="rId379" r:link="rId2"/>
        <a:stretch>
          <a:fillRect/>
        </a:stretch>
      </xdr:blipFill>
      <xdr:spPr>
        <a:xfrm>
          <a:off x="134683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25</xdr:row>
      <xdr:rowOff>0</xdr:rowOff>
    </xdr:from>
    <xdr:to>
      <xdr:col>14</xdr:col>
      <xdr:colOff>381000</xdr:colOff>
      <xdr:row>26</xdr:row>
      <xdr:rowOff>171450</xdr:rowOff>
    </xdr:to>
    <xdr:pic>
      <xdr:nvPicPr>
        <xdr:cNvPr id="3321" name="图片 3320"/>
        <xdr:cNvPicPr>
          <a:picLocks noChangeAspect="1"/>
        </xdr:cNvPicPr>
      </xdr:nvPicPr>
      <xdr:blipFill>
        <a:blip r:embed="rId380" r:link="rId2"/>
        <a:stretch>
          <a:fillRect/>
        </a:stretch>
      </xdr:blipFill>
      <xdr:spPr>
        <a:xfrm>
          <a:off x="134683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381000</xdr:colOff>
      <xdr:row>30</xdr:row>
      <xdr:rowOff>171450</xdr:rowOff>
    </xdr:to>
    <xdr:pic>
      <xdr:nvPicPr>
        <xdr:cNvPr id="3322" name="图片 332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34683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33</xdr:row>
      <xdr:rowOff>0</xdr:rowOff>
    </xdr:from>
    <xdr:to>
      <xdr:col>14</xdr:col>
      <xdr:colOff>381000</xdr:colOff>
      <xdr:row>34</xdr:row>
      <xdr:rowOff>171450</xdr:rowOff>
    </xdr:to>
    <xdr:pic>
      <xdr:nvPicPr>
        <xdr:cNvPr id="3323" name="图片 3322"/>
        <xdr:cNvPicPr>
          <a:picLocks noChangeAspect="1"/>
        </xdr:cNvPicPr>
      </xdr:nvPicPr>
      <xdr:blipFill>
        <a:blip r:embed="rId381" r:link="rId2"/>
        <a:stretch>
          <a:fillRect/>
        </a:stretch>
      </xdr:blipFill>
      <xdr:spPr>
        <a:xfrm>
          <a:off x="134683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36</xdr:row>
      <xdr:rowOff>0</xdr:rowOff>
    </xdr:from>
    <xdr:to>
      <xdr:col>14</xdr:col>
      <xdr:colOff>381000</xdr:colOff>
      <xdr:row>37</xdr:row>
      <xdr:rowOff>171450</xdr:rowOff>
    </xdr:to>
    <xdr:pic>
      <xdr:nvPicPr>
        <xdr:cNvPr id="3324" name="图片 3323"/>
        <xdr:cNvPicPr>
          <a:picLocks noChangeAspect="1"/>
        </xdr:cNvPicPr>
      </xdr:nvPicPr>
      <xdr:blipFill>
        <a:blip r:embed="rId382" r:link="rId2"/>
        <a:stretch>
          <a:fillRect/>
        </a:stretch>
      </xdr:blipFill>
      <xdr:spPr>
        <a:xfrm>
          <a:off x="134683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40</xdr:row>
      <xdr:rowOff>0</xdr:rowOff>
    </xdr:from>
    <xdr:to>
      <xdr:col>14</xdr:col>
      <xdr:colOff>381000</xdr:colOff>
      <xdr:row>41</xdr:row>
      <xdr:rowOff>171450</xdr:rowOff>
    </xdr:to>
    <xdr:pic>
      <xdr:nvPicPr>
        <xdr:cNvPr id="3325" name="图片 3324"/>
        <xdr:cNvPicPr>
          <a:picLocks noChangeAspect="1"/>
        </xdr:cNvPicPr>
      </xdr:nvPicPr>
      <xdr:blipFill>
        <a:blip r:embed="rId383" r:link="rId2"/>
        <a:stretch>
          <a:fillRect/>
        </a:stretch>
      </xdr:blipFill>
      <xdr:spPr>
        <a:xfrm>
          <a:off x="134683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44</xdr:row>
      <xdr:rowOff>0</xdr:rowOff>
    </xdr:from>
    <xdr:to>
      <xdr:col>14</xdr:col>
      <xdr:colOff>381000</xdr:colOff>
      <xdr:row>45</xdr:row>
      <xdr:rowOff>171450</xdr:rowOff>
    </xdr:to>
    <xdr:pic>
      <xdr:nvPicPr>
        <xdr:cNvPr id="3326" name="图片 3325"/>
        <xdr:cNvPicPr>
          <a:picLocks noChangeAspect="1"/>
        </xdr:cNvPicPr>
      </xdr:nvPicPr>
      <xdr:blipFill>
        <a:blip r:embed="rId384" r:link="rId2"/>
        <a:stretch>
          <a:fillRect/>
        </a:stretch>
      </xdr:blipFill>
      <xdr:spPr>
        <a:xfrm>
          <a:off x="134683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47</xdr:row>
      <xdr:rowOff>0</xdr:rowOff>
    </xdr:from>
    <xdr:to>
      <xdr:col>14</xdr:col>
      <xdr:colOff>381000</xdr:colOff>
      <xdr:row>48</xdr:row>
      <xdr:rowOff>171450</xdr:rowOff>
    </xdr:to>
    <xdr:pic>
      <xdr:nvPicPr>
        <xdr:cNvPr id="3327" name="图片 3326"/>
        <xdr:cNvPicPr>
          <a:picLocks noChangeAspect="1"/>
        </xdr:cNvPicPr>
      </xdr:nvPicPr>
      <xdr:blipFill>
        <a:blip r:embed="rId385" r:link="rId2"/>
        <a:stretch>
          <a:fillRect/>
        </a:stretch>
      </xdr:blipFill>
      <xdr:spPr>
        <a:xfrm>
          <a:off x="134683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51</xdr:row>
      <xdr:rowOff>0</xdr:rowOff>
    </xdr:from>
    <xdr:to>
      <xdr:col>14</xdr:col>
      <xdr:colOff>381000</xdr:colOff>
      <xdr:row>52</xdr:row>
      <xdr:rowOff>171450</xdr:rowOff>
    </xdr:to>
    <xdr:pic>
      <xdr:nvPicPr>
        <xdr:cNvPr id="3328" name="图片 3327"/>
        <xdr:cNvPicPr>
          <a:picLocks noChangeAspect="1"/>
        </xdr:cNvPicPr>
      </xdr:nvPicPr>
      <xdr:blipFill>
        <a:blip r:embed="rId386" r:link="rId2"/>
        <a:stretch>
          <a:fillRect/>
        </a:stretch>
      </xdr:blipFill>
      <xdr:spPr>
        <a:xfrm>
          <a:off x="134683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381000</xdr:colOff>
      <xdr:row>56</xdr:row>
      <xdr:rowOff>171450</xdr:rowOff>
    </xdr:to>
    <xdr:pic>
      <xdr:nvPicPr>
        <xdr:cNvPr id="3329" name="图片 3328"/>
        <xdr:cNvPicPr>
          <a:picLocks noChangeAspect="1"/>
        </xdr:cNvPicPr>
      </xdr:nvPicPr>
      <xdr:blipFill>
        <a:blip r:embed="rId387" r:link="rId2"/>
        <a:stretch>
          <a:fillRect/>
        </a:stretch>
      </xdr:blipFill>
      <xdr:spPr>
        <a:xfrm>
          <a:off x="134683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58</xdr:row>
      <xdr:rowOff>0</xdr:rowOff>
    </xdr:from>
    <xdr:to>
      <xdr:col>14</xdr:col>
      <xdr:colOff>381000</xdr:colOff>
      <xdr:row>59</xdr:row>
      <xdr:rowOff>171450</xdr:rowOff>
    </xdr:to>
    <xdr:pic>
      <xdr:nvPicPr>
        <xdr:cNvPr id="3330" name="图片 3329"/>
        <xdr:cNvPicPr>
          <a:picLocks noChangeAspect="1"/>
        </xdr:cNvPicPr>
      </xdr:nvPicPr>
      <xdr:blipFill>
        <a:blip r:embed="rId388" r:link="rId2"/>
        <a:stretch>
          <a:fillRect/>
        </a:stretch>
      </xdr:blipFill>
      <xdr:spPr>
        <a:xfrm>
          <a:off x="134683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62</xdr:row>
      <xdr:rowOff>0</xdr:rowOff>
    </xdr:from>
    <xdr:to>
      <xdr:col>14</xdr:col>
      <xdr:colOff>381000</xdr:colOff>
      <xdr:row>63</xdr:row>
      <xdr:rowOff>171450</xdr:rowOff>
    </xdr:to>
    <xdr:pic>
      <xdr:nvPicPr>
        <xdr:cNvPr id="3331" name="图片 3330"/>
        <xdr:cNvPicPr>
          <a:picLocks noChangeAspect="1"/>
        </xdr:cNvPicPr>
      </xdr:nvPicPr>
      <xdr:blipFill>
        <a:blip r:embed="rId389" r:link="rId2"/>
        <a:stretch>
          <a:fillRect/>
        </a:stretch>
      </xdr:blipFill>
      <xdr:spPr>
        <a:xfrm>
          <a:off x="134683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66</xdr:row>
      <xdr:rowOff>0</xdr:rowOff>
    </xdr:from>
    <xdr:to>
      <xdr:col>14</xdr:col>
      <xdr:colOff>381000</xdr:colOff>
      <xdr:row>67</xdr:row>
      <xdr:rowOff>171450</xdr:rowOff>
    </xdr:to>
    <xdr:pic>
      <xdr:nvPicPr>
        <xdr:cNvPr id="3332" name="图片 3331"/>
        <xdr:cNvPicPr>
          <a:picLocks noChangeAspect="1"/>
        </xdr:cNvPicPr>
      </xdr:nvPicPr>
      <xdr:blipFill>
        <a:blip r:embed="rId390" r:link="rId2"/>
        <a:stretch>
          <a:fillRect/>
        </a:stretch>
      </xdr:blipFill>
      <xdr:spPr>
        <a:xfrm>
          <a:off x="134683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69</xdr:row>
      <xdr:rowOff>0</xdr:rowOff>
    </xdr:from>
    <xdr:to>
      <xdr:col>14</xdr:col>
      <xdr:colOff>381000</xdr:colOff>
      <xdr:row>70</xdr:row>
      <xdr:rowOff>171450</xdr:rowOff>
    </xdr:to>
    <xdr:pic>
      <xdr:nvPicPr>
        <xdr:cNvPr id="3333" name="图片 3332"/>
        <xdr:cNvPicPr>
          <a:picLocks noChangeAspect="1"/>
        </xdr:cNvPicPr>
      </xdr:nvPicPr>
      <xdr:blipFill>
        <a:blip r:embed="rId391" r:link="rId2"/>
        <a:stretch>
          <a:fillRect/>
        </a:stretch>
      </xdr:blipFill>
      <xdr:spPr>
        <a:xfrm>
          <a:off x="134683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73</xdr:row>
      <xdr:rowOff>0</xdr:rowOff>
    </xdr:from>
    <xdr:to>
      <xdr:col>14</xdr:col>
      <xdr:colOff>381000</xdr:colOff>
      <xdr:row>74</xdr:row>
      <xdr:rowOff>171450</xdr:rowOff>
    </xdr:to>
    <xdr:pic>
      <xdr:nvPicPr>
        <xdr:cNvPr id="3334" name="图片 3333"/>
        <xdr:cNvPicPr>
          <a:picLocks noChangeAspect="1"/>
        </xdr:cNvPicPr>
      </xdr:nvPicPr>
      <xdr:blipFill>
        <a:blip r:embed="rId392" r:link="rId2"/>
        <a:stretch>
          <a:fillRect/>
        </a:stretch>
      </xdr:blipFill>
      <xdr:spPr>
        <a:xfrm>
          <a:off x="134683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77</xdr:row>
      <xdr:rowOff>0</xdr:rowOff>
    </xdr:from>
    <xdr:to>
      <xdr:col>14</xdr:col>
      <xdr:colOff>381000</xdr:colOff>
      <xdr:row>78</xdr:row>
      <xdr:rowOff>171450</xdr:rowOff>
    </xdr:to>
    <xdr:pic>
      <xdr:nvPicPr>
        <xdr:cNvPr id="3335" name="图片 3334"/>
        <xdr:cNvPicPr>
          <a:picLocks noChangeAspect="1"/>
        </xdr:cNvPicPr>
      </xdr:nvPicPr>
      <xdr:blipFill>
        <a:blip r:embed="rId393" r:link="rId2"/>
        <a:stretch>
          <a:fillRect/>
        </a:stretch>
      </xdr:blipFill>
      <xdr:spPr>
        <a:xfrm>
          <a:off x="134683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80</xdr:row>
      <xdr:rowOff>0</xdr:rowOff>
    </xdr:from>
    <xdr:to>
      <xdr:col>14</xdr:col>
      <xdr:colOff>381000</xdr:colOff>
      <xdr:row>81</xdr:row>
      <xdr:rowOff>171450</xdr:rowOff>
    </xdr:to>
    <xdr:pic>
      <xdr:nvPicPr>
        <xdr:cNvPr id="3336" name="图片 3335"/>
        <xdr:cNvPicPr>
          <a:picLocks noChangeAspect="1"/>
        </xdr:cNvPicPr>
      </xdr:nvPicPr>
      <xdr:blipFill>
        <a:blip r:embed="rId394" r:link="rId2"/>
        <a:stretch>
          <a:fillRect/>
        </a:stretch>
      </xdr:blipFill>
      <xdr:spPr>
        <a:xfrm>
          <a:off x="134683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84</xdr:row>
      <xdr:rowOff>0</xdr:rowOff>
    </xdr:from>
    <xdr:to>
      <xdr:col>14</xdr:col>
      <xdr:colOff>381000</xdr:colOff>
      <xdr:row>85</xdr:row>
      <xdr:rowOff>171450</xdr:rowOff>
    </xdr:to>
    <xdr:pic>
      <xdr:nvPicPr>
        <xdr:cNvPr id="3337" name="图片 333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34683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88</xdr:row>
      <xdr:rowOff>0</xdr:rowOff>
    </xdr:from>
    <xdr:to>
      <xdr:col>14</xdr:col>
      <xdr:colOff>381000</xdr:colOff>
      <xdr:row>89</xdr:row>
      <xdr:rowOff>171450</xdr:rowOff>
    </xdr:to>
    <xdr:pic>
      <xdr:nvPicPr>
        <xdr:cNvPr id="3338" name="图片 3337"/>
        <xdr:cNvPicPr>
          <a:picLocks noChangeAspect="1"/>
        </xdr:cNvPicPr>
      </xdr:nvPicPr>
      <xdr:blipFill>
        <a:blip r:embed="rId395" r:link="rId2"/>
        <a:stretch>
          <a:fillRect/>
        </a:stretch>
      </xdr:blipFill>
      <xdr:spPr>
        <a:xfrm>
          <a:off x="134683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91</xdr:row>
      <xdr:rowOff>0</xdr:rowOff>
    </xdr:from>
    <xdr:to>
      <xdr:col>14</xdr:col>
      <xdr:colOff>381000</xdr:colOff>
      <xdr:row>92</xdr:row>
      <xdr:rowOff>171450</xdr:rowOff>
    </xdr:to>
    <xdr:pic>
      <xdr:nvPicPr>
        <xdr:cNvPr id="3339" name="图片 3338"/>
        <xdr:cNvPicPr>
          <a:picLocks noChangeAspect="1"/>
        </xdr:cNvPicPr>
      </xdr:nvPicPr>
      <xdr:blipFill>
        <a:blip r:embed="rId396" r:link="rId2"/>
        <a:stretch>
          <a:fillRect/>
        </a:stretch>
      </xdr:blipFill>
      <xdr:spPr>
        <a:xfrm>
          <a:off x="134683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95</xdr:row>
      <xdr:rowOff>0</xdr:rowOff>
    </xdr:from>
    <xdr:to>
      <xdr:col>14</xdr:col>
      <xdr:colOff>381000</xdr:colOff>
      <xdr:row>96</xdr:row>
      <xdr:rowOff>171450</xdr:rowOff>
    </xdr:to>
    <xdr:pic>
      <xdr:nvPicPr>
        <xdr:cNvPr id="3340" name="图片 3339"/>
        <xdr:cNvPicPr>
          <a:picLocks noChangeAspect="1"/>
        </xdr:cNvPicPr>
      </xdr:nvPicPr>
      <xdr:blipFill>
        <a:blip r:embed="rId397" r:link="rId2"/>
        <a:stretch>
          <a:fillRect/>
        </a:stretch>
      </xdr:blipFill>
      <xdr:spPr>
        <a:xfrm>
          <a:off x="134683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99</xdr:row>
      <xdr:rowOff>0</xdr:rowOff>
    </xdr:from>
    <xdr:to>
      <xdr:col>14</xdr:col>
      <xdr:colOff>381000</xdr:colOff>
      <xdr:row>100</xdr:row>
      <xdr:rowOff>171450</xdr:rowOff>
    </xdr:to>
    <xdr:pic>
      <xdr:nvPicPr>
        <xdr:cNvPr id="3341" name="图片 3340"/>
        <xdr:cNvPicPr>
          <a:picLocks noChangeAspect="1"/>
        </xdr:cNvPicPr>
      </xdr:nvPicPr>
      <xdr:blipFill>
        <a:blip r:embed="rId398" r:link="rId2"/>
        <a:stretch>
          <a:fillRect/>
        </a:stretch>
      </xdr:blipFill>
      <xdr:spPr>
        <a:xfrm>
          <a:off x="134683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102</xdr:row>
      <xdr:rowOff>0</xdr:rowOff>
    </xdr:from>
    <xdr:to>
      <xdr:col>14</xdr:col>
      <xdr:colOff>381000</xdr:colOff>
      <xdr:row>103</xdr:row>
      <xdr:rowOff>171450</xdr:rowOff>
    </xdr:to>
    <xdr:pic>
      <xdr:nvPicPr>
        <xdr:cNvPr id="3342" name="图片 3341"/>
        <xdr:cNvPicPr>
          <a:picLocks noChangeAspect="1"/>
        </xdr:cNvPicPr>
      </xdr:nvPicPr>
      <xdr:blipFill>
        <a:blip r:embed="rId399" r:link="rId2"/>
        <a:stretch>
          <a:fillRect/>
        </a:stretch>
      </xdr:blipFill>
      <xdr:spPr>
        <a:xfrm>
          <a:off x="134683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106</xdr:row>
      <xdr:rowOff>0</xdr:rowOff>
    </xdr:from>
    <xdr:to>
      <xdr:col>14</xdr:col>
      <xdr:colOff>381000</xdr:colOff>
      <xdr:row>107</xdr:row>
      <xdr:rowOff>171450</xdr:rowOff>
    </xdr:to>
    <xdr:pic>
      <xdr:nvPicPr>
        <xdr:cNvPr id="3343" name="图片 3342"/>
        <xdr:cNvPicPr>
          <a:picLocks noChangeAspect="1"/>
        </xdr:cNvPicPr>
      </xdr:nvPicPr>
      <xdr:blipFill>
        <a:blip r:embed="rId400" r:link="rId2"/>
        <a:stretch>
          <a:fillRect/>
        </a:stretch>
      </xdr:blipFill>
      <xdr:spPr>
        <a:xfrm>
          <a:off x="134683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110</xdr:row>
      <xdr:rowOff>0</xdr:rowOff>
    </xdr:from>
    <xdr:to>
      <xdr:col>14</xdr:col>
      <xdr:colOff>381000</xdr:colOff>
      <xdr:row>111</xdr:row>
      <xdr:rowOff>171450</xdr:rowOff>
    </xdr:to>
    <xdr:pic>
      <xdr:nvPicPr>
        <xdr:cNvPr id="3344" name="图片 3343"/>
        <xdr:cNvPicPr>
          <a:picLocks noChangeAspect="1"/>
        </xdr:cNvPicPr>
      </xdr:nvPicPr>
      <xdr:blipFill>
        <a:blip r:embed="rId401" r:link="rId2"/>
        <a:stretch>
          <a:fillRect/>
        </a:stretch>
      </xdr:blipFill>
      <xdr:spPr>
        <a:xfrm>
          <a:off x="134683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113</xdr:row>
      <xdr:rowOff>0</xdr:rowOff>
    </xdr:from>
    <xdr:to>
      <xdr:col>14</xdr:col>
      <xdr:colOff>381000</xdr:colOff>
      <xdr:row>114</xdr:row>
      <xdr:rowOff>171450</xdr:rowOff>
    </xdr:to>
    <xdr:pic>
      <xdr:nvPicPr>
        <xdr:cNvPr id="3345" name="图片 3344"/>
        <xdr:cNvPicPr>
          <a:picLocks noChangeAspect="1"/>
        </xdr:cNvPicPr>
      </xdr:nvPicPr>
      <xdr:blipFill>
        <a:blip r:embed="rId402" r:link="rId2"/>
        <a:stretch>
          <a:fillRect/>
        </a:stretch>
      </xdr:blipFill>
      <xdr:spPr>
        <a:xfrm>
          <a:off x="134683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117</xdr:row>
      <xdr:rowOff>0</xdr:rowOff>
    </xdr:from>
    <xdr:to>
      <xdr:col>14</xdr:col>
      <xdr:colOff>381000</xdr:colOff>
      <xdr:row>118</xdr:row>
      <xdr:rowOff>171450</xdr:rowOff>
    </xdr:to>
    <xdr:pic>
      <xdr:nvPicPr>
        <xdr:cNvPr id="3346" name="图片 3345"/>
        <xdr:cNvPicPr>
          <a:picLocks noChangeAspect="1"/>
        </xdr:cNvPicPr>
      </xdr:nvPicPr>
      <xdr:blipFill>
        <a:blip r:embed="rId403" r:link="rId2"/>
        <a:stretch>
          <a:fillRect/>
        </a:stretch>
      </xdr:blipFill>
      <xdr:spPr>
        <a:xfrm>
          <a:off x="134683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121</xdr:row>
      <xdr:rowOff>0</xdr:rowOff>
    </xdr:from>
    <xdr:to>
      <xdr:col>14</xdr:col>
      <xdr:colOff>381000</xdr:colOff>
      <xdr:row>122</xdr:row>
      <xdr:rowOff>171450</xdr:rowOff>
    </xdr:to>
    <xdr:pic>
      <xdr:nvPicPr>
        <xdr:cNvPr id="3347" name="图片 3346"/>
        <xdr:cNvPicPr>
          <a:picLocks noChangeAspect="1"/>
        </xdr:cNvPicPr>
      </xdr:nvPicPr>
      <xdr:blipFill>
        <a:blip r:embed="rId404" r:link="rId2"/>
        <a:stretch>
          <a:fillRect/>
        </a:stretch>
      </xdr:blipFill>
      <xdr:spPr>
        <a:xfrm>
          <a:off x="134683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124</xdr:row>
      <xdr:rowOff>0</xdr:rowOff>
    </xdr:from>
    <xdr:to>
      <xdr:col>14</xdr:col>
      <xdr:colOff>381000</xdr:colOff>
      <xdr:row>125</xdr:row>
      <xdr:rowOff>171450</xdr:rowOff>
    </xdr:to>
    <xdr:pic>
      <xdr:nvPicPr>
        <xdr:cNvPr id="3348" name="图片 3347"/>
        <xdr:cNvPicPr>
          <a:picLocks noChangeAspect="1"/>
        </xdr:cNvPicPr>
      </xdr:nvPicPr>
      <xdr:blipFill>
        <a:blip r:embed="rId405" r:link="rId2"/>
        <a:stretch>
          <a:fillRect/>
        </a:stretch>
      </xdr:blipFill>
      <xdr:spPr>
        <a:xfrm>
          <a:off x="134683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128</xdr:row>
      <xdr:rowOff>0</xdr:rowOff>
    </xdr:from>
    <xdr:to>
      <xdr:col>14</xdr:col>
      <xdr:colOff>381000</xdr:colOff>
      <xdr:row>129</xdr:row>
      <xdr:rowOff>171450</xdr:rowOff>
    </xdr:to>
    <xdr:pic>
      <xdr:nvPicPr>
        <xdr:cNvPr id="3349" name="图片 3348"/>
        <xdr:cNvPicPr>
          <a:picLocks noChangeAspect="1"/>
        </xdr:cNvPicPr>
      </xdr:nvPicPr>
      <xdr:blipFill>
        <a:blip r:embed="rId406" r:link="rId2"/>
        <a:stretch>
          <a:fillRect/>
        </a:stretch>
      </xdr:blipFill>
      <xdr:spPr>
        <a:xfrm>
          <a:off x="134683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132</xdr:row>
      <xdr:rowOff>0</xdr:rowOff>
    </xdr:from>
    <xdr:to>
      <xdr:col>14</xdr:col>
      <xdr:colOff>381000</xdr:colOff>
      <xdr:row>133</xdr:row>
      <xdr:rowOff>171450</xdr:rowOff>
    </xdr:to>
    <xdr:pic>
      <xdr:nvPicPr>
        <xdr:cNvPr id="3350" name="图片 334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34683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135</xdr:row>
      <xdr:rowOff>0</xdr:rowOff>
    </xdr:from>
    <xdr:to>
      <xdr:col>14</xdr:col>
      <xdr:colOff>381000</xdr:colOff>
      <xdr:row>136</xdr:row>
      <xdr:rowOff>171450</xdr:rowOff>
    </xdr:to>
    <xdr:pic>
      <xdr:nvPicPr>
        <xdr:cNvPr id="3351" name="图片 3350"/>
        <xdr:cNvPicPr>
          <a:picLocks noChangeAspect="1"/>
        </xdr:cNvPicPr>
      </xdr:nvPicPr>
      <xdr:blipFill>
        <a:blip r:embed="rId407" r:link="rId2"/>
        <a:stretch>
          <a:fillRect/>
        </a:stretch>
      </xdr:blipFill>
      <xdr:spPr>
        <a:xfrm>
          <a:off x="134683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139</xdr:row>
      <xdr:rowOff>0</xdr:rowOff>
    </xdr:from>
    <xdr:to>
      <xdr:col>14</xdr:col>
      <xdr:colOff>381000</xdr:colOff>
      <xdr:row>140</xdr:row>
      <xdr:rowOff>171450</xdr:rowOff>
    </xdr:to>
    <xdr:pic>
      <xdr:nvPicPr>
        <xdr:cNvPr id="3352" name="图片 3351"/>
        <xdr:cNvPicPr>
          <a:picLocks noChangeAspect="1"/>
        </xdr:cNvPicPr>
      </xdr:nvPicPr>
      <xdr:blipFill>
        <a:blip r:embed="rId408" r:link="rId2"/>
        <a:stretch>
          <a:fillRect/>
        </a:stretch>
      </xdr:blipFill>
      <xdr:spPr>
        <a:xfrm>
          <a:off x="134683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143</xdr:row>
      <xdr:rowOff>0</xdr:rowOff>
    </xdr:from>
    <xdr:to>
      <xdr:col>14</xdr:col>
      <xdr:colOff>381000</xdr:colOff>
      <xdr:row>144</xdr:row>
      <xdr:rowOff>171450</xdr:rowOff>
    </xdr:to>
    <xdr:pic>
      <xdr:nvPicPr>
        <xdr:cNvPr id="3353" name="图片 3352"/>
        <xdr:cNvPicPr>
          <a:picLocks noChangeAspect="1"/>
        </xdr:cNvPicPr>
      </xdr:nvPicPr>
      <xdr:blipFill>
        <a:blip r:embed="rId409" r:link="rId2"/>
        <a:stretch>
          <a:fillRect/>
        </a:stretch>
      </xdr:blipFill>
      <xdr:spPr>
        <a:xfrm>
          <a:off x="134683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146</xdr:row>
      <xdr:rowOff>0</xdr:rowOff>
    </xdr:from>
    <xdr:to>
      <xdr:col>14</xdr:col>
      <xdr:colOff>381000</xdr:colOff>
      <xdr:row>147</xdr:row>
      <xdr:rowOff>171450</xdr:rowOff>
    </xdr:to>
    <xdr:pic>
      <xdr:nvPicPr>
        <xdr:cNvPr id="3354" name="图片 3353"/>
        <xdr:cNvPicPr>
          <a:picLocks noChangeAspect="1"/>
        </xdr:cNvPicPr>
      </xdr:nvPicPr>
      <xdr:blipFill>
        <a:blip r:embed="rId410" r:link="rId2"/>
        <a:stretch>
          <a:fillRect/>
        </a:stretch>
      </xdr:blipFill>
      <xdr:spPr>
        <a:xfrm>
          <a:off x="134683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5</xdr:row>
          <xdr:rowOff>123825</xdr:rowOff>
        </xdr:from>
        <xdr:to>
          <xdr:col>1</xdr:col>
          <xdr:colOff>542925</xdr:colOff>
          <xdr:row>7</xdr:row>
          <xdr:rowOff>38100</xdr:rowOff>
        </xdr:to>
        <xdr:sp>
          <xdr:nvSpPr>
            <xdr:cNvPr id="9220" name="Check_Update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495300" y="981075"/>
              <a:ext cx="1438275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8</xdr:row>
          <xdr:rowOff>38100</xdr:rowOff>
        </xdr:from>
        <xdr:to>
          <xdr:col>1</xdr:col>
          <xdr:colOff>542925</xdr:colOff>
          <xdr:row>9</xdr:row>
          <xdr:rowOff>114300</xdr:rowOff>
        </xdr:to>
        <xdr:sp>
          <xdr:nvSpPr>
            <xdr:cNvPr id="9221" name="UpDATA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485775" y="1409700"/>
              <a:ext cx="14478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client.qun.qq.com/qun_vote/javascript:;" TargetMode="Externa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image" Target="../media/image413.wmf"/><Relationship Id="rId5" Type="http://schemas.openxmlformats.org/officeDocument/2006/relationships/control" Target="../activeX/activeX4.xml"/><Relationship Id="rId4" Type="http://schemas.openxmlformats.org/officeDocument/2006/relationships/image" Target="../media/image412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00B050"/>
  </sheetPr>
  <dimension ref="A1:J200"/>
  <sheetViews>
    <sheetView tabSelected="1" topLeftCell="C1" workbookViewId="0">
      <selection activeCell="I3" sqref="I3"/>
    </sheetView>
  </sheetViews>
  <sheetFormatPr defaultColWidth="0" defaultRowHeight="20.1" customHeight="1" zeroHeight="1"/>
  <cols>
    <col min="1" max="1" width="21.5" style="30" hidden="1" customWidth="1"/>
    <col min="2" max="2" width="24.75" style="30" hidden="1" customWidth="1"/>
    <col min="3" max="3" width="20.625" style="30" customWidth="1"/>
    <col min="4" max="10" width="10.625" style="30" customWidth="1"/>
    <col min="11" max="11" width="10.625" style="55" hidden="1" customWidth="1"/>
    <col min="12" max="16384" width="10.625" style="55" hidden="1"/>
  </cols>
  <sheetData>
    <row r="1" s="54" customFormat="1" customHeight="1" spans="1:10">
      <c r="A1" s="56" t="str">
        <f ca="1">IFERROR(HLOOKUP(DATE($G$3,$H$3,$I$3),'API1'!$B$2:$CR$46,ROW($A4),0)&amp;"","")</f>
        <v>√</v>
      </c>
      <c r="B1" s="56" t="str">
        <f>HLOOKUP(DATE($G$3,$H$3,$I$3),DATA!$C:$CS,ROW($B4),0)&amp;""</f>
        <v/>
      </c>
      <c r="C1" s="57" t="str">
        <f>IF(HLOOKUP(DATE($G$3,$H$3,$I$3),'API1'!$B$2:$CR$4,3,0)="作","工作日","休息日")</f>
        <v>工作日</v>
      </c>
      <c r="D1" s="58" t="s">
        <v>0</v>
      </c>
      <c r="E1" s="58"/>
      <c r="F1" s="59"/>
      <c r="G1" s="60" t="s">
        <v>1</v>
      </c>
      <c r="H1" s="58"/>
      <c r="I1" s="58"/>
      <c r="J1" s="59"/>
    </row>
    <row r="2" s="54" customFormat="1" ht="33.95" customHeight="1" spans="1:10">
      <c r="A2" s="56" t="str">
        <f ca="1">IFERROR(HLOOKUP(DATE($G$3,$H$3,$I$3),'API1'!$B$2:$CR$46,ROW($A5),0)&amp;"","")</f>
        <v>√</v>
      </c>
      <c r="B2" s="56" t="str">
        <f>HLOOKUP(DATE($G$3,$H$3,$I$3),DATA!$C:$CS,ROW($B5),0)&amp;""</f>
        <v>蔡振龙</v>
      </c>
      <c r="C2" s="61" t="s">
        <v>2</v>
      </c>
      <c r="D2" s="62" t="s">
        <v>3</v>
      </c>
      <c r="E2" s="63" t="s">
        <v>4</v>
      </c>
      <c r="F2" s="63" t="s">
        <v>5</v>
      </c>
      <c r="G2" s="57" t="s">
        <v>6</v>
      </c>
      <c r="H2" s="57" t="s">
        <v>7</v>
      </c>
      <c r="I2" s="57" t="s">
        <v>8</v>
      </c>
      <c r="J2" s="69" t="str">
        <f ca="1">IF(ISNA($B$1),"无记录",IF($A$1="√","查询成功","查询成功"))</f>
        <v>查询成功</v>
      </c>
    </row>
    <row r="3" s="54" customFormat="1" customHeight="1" spans="1:10">
      <c r="A3" s="56" t="str">
        <f ca="1">IFERROR(HLOOKUP(DATE($G$3,$H$3,$I$3),'API1'!$B$2:$CR$46,ROW($A6),0)&amp;"","")</f>
        <v>√</v>
      </c>
      <c r="B3" s="56" t="str">
        <f>HLOOKUP(DATE($G$3,$H$3,$I$3),DATA!$C:$CS,ROW($B6),0)&amp;""</f>
        <v>02-09 12:37</v>
      </c>
      <c r="C3" s="64"/>
      <c r="D3" s="59">
        <f ca="1">COUNTIF($A:$A,"×")</f>
        <v>1</v>
      </c>
      <c r="E3" s="57">
        <f ca="1">COUNTIF($A:$A,"√")</f>
        <v>40</v>
      </c>
      <c r="F3" s="57">
        <f ca="1">$D$3+$E$3</f>
        <v>41</v>
      </c>
      <c r="G3" s="65">
        <v>2021</v>
      </c>
      <c r="H3" s="65">
        <v>2</v>
      </c>
      <c r="I3" s="65">
        <v>9</v>
      </c>
      <c r="J3" s="70"/>
    </row>
    <row r="4" s="54" customFormat="1" customHeight="1" spans="1:10">
      <c r="A4" s="56" t="str">
        <f ca="1">IFERROR(HLOOKUP(DATE($G$3,$H$3,$I$3),'API1'!$B$2:$CR$46,ROW($A7),0)&amp;"","")</f>
        <v>√</v>
      </c>
      <c r="B4" s="56" t="str">
        <f>HLOOKUP(DATE($G$3,$H$3,$I$3),DATA!$C:$CS,ROW($B7),0)&amp;""</f>
        <v/>
      </c>
      <c r="C4" s="66" t="str">
        <f t="array" ref="C4">IF($C$1="休息日","查询日休息！",INDEX(DATA!$A:$A,SMALL(COUNTIF($B$1:$B$200,DATA!$A$1:$A$200)/1%%+ROW($A$1:$A$200),ROW(A4)))&amp;"")</f>
        <v>陈纳森</v>
      </c>
      <c r="D4" s="67"/>
      <c r="E4" s="67"/>
      <c r="F4" s="67"/>
      <c r="G4" s="67"/>
      <c r="H4" s="67"/>
      <c r="I4" s="67"/>
      <c r="J4" s="71"/>
    </row>
    <row r="5" s="54" customFormat="1" customHeight="1" spans="1:10">
      <c r="A5" s="56" t="str">
        <f ca="1">IFERROR(HLOOKUP(DATE($G$3,$H$3,$I$3),'API1'!$B$2:$CR$46,ROW($A8),0)&amp;"","")</f>
        <v>√</v>
      </c>
      <c r="B5" s="56" t="str">
        <f>HLOOKUP(DATE($G$3,$H$3,$I$3),DATA!$C:$CS,ROW($B8),0)&amp;""</f>
        <v/>
      </c>
      <c r="C5" s="66" t="str">
        <f t="array" ref="C5">IF($C$1="休息日","查询日休息！",INDEX(DATA!$A:$A,SMALL(COUNTIF($B$1:$B$200,DATA!$A$1:$A$200)/1%%+ROW($A$1:$A$200),ROW(A5)))&amp;"")</f>
        <v/>
      </c>
      <c r="D5" s="67"/>
      <c r="E5" s="67"/>
      <c r="F5" s="67"/>
      <c r="G5" s="67"/>
      <c r="H5" s="67"/>
      <c r="I5" s="67"/>
      <c r="J5" s="71"/>
    </row>
    <row r="6" s="54" customFormat="1" customHeight="1" spans="1:10">
      <c r="A6" s="56" t="str">
        <f ca="1">IFERROR(HLOOKUP(DATE($G$3,$H$3,$I$3),'API1'!$B$2:$CR$46,ROW($A9),0)&amp;"","")</f>
        <v>√</v>
      </c>
      <c r="B6" s="56" t="str">
        <f>HLOOKUP(DATE($G$3,$H$3,$I$3),DATA!$C:$CS,ROW($B9),0)&amp;""</f>
        <v>舒成昌</v>
      </c>
      <c r="C6" s="66" t="str">
        <f t="array" ref="C6">IF($C$1="休息日","查询日休息！",INDEX(DATA!$A:$A,SMALL(COUNTIF($B$1:$B$200,DATA!$A$1:$A$200)/1%%+ROW($A$1:$A$200),ROW(A6)))&amp;"")</f>
        <v/>
      </c>
      <c r="D6" s="67"/>
      <c r="E6" s="67"/>
      <c r="F6" s="67"/>
      <c r="G6" s="67"/>
      <c r="H6" s="67"/>
      <c r="I6" s="67"/>
      <c r="J6" s="71"/>
    </row>
    <row r="7" s="54" customFormat="1" customHeight="1" spans="1:10">
      <c r="A7" s="56" t="str">
        <f ca="1">IFERROR(HLOOKUP(DATE($G$3,$H$3,$I$3),'API1'!$B$2:$CR$46,ROW($A10),0)&amp;"","")</f>
        <v>√</v>
      </c>
      <c r="B7" s="56" t="str">
        <f>HLOOKUP(DATE($G$3,$H$3,$I$3),DATA!$C:$CS,ROW($B10),0)&amp;""</f>
        <v>02-09 12:36</v>
      </c>
      <c r="C7" s="66" t="str">
        <f t="array" ref="C7">IF($C$1="休息日","查询日休息！",INDEX(DATA!$A:$A,SMALL(COUNTIF($B$1:$B$200,DATA!$A$1:$A$200)/1%%+ROW($A$1:$A$200),ROW(A7)))&amp;"")</f>
        <v/>
      </c>
      <c r="D7" s="67"/>
      <c r="E7" s="68"/>
      <c r="F7" s="67"/>
      <c r="G7" s="67"/>
      <c r="H7" s="67"/>
      <c r="I7" s="67"/>
      <c r="J7" s="71"/>
    </row>
    <row r="8" s="54" customFormat="1" customHeight="1" spans="1:10">
      <c r="A8" s="56" t="str">
        <f ca="1">IFERROR(HLOOKUP(DATE($G$3,$H$3,$I$3),'API1'!$B$2:$CR$46,ROW($A11),0)&amp;"","")</f>
        <v>√</v>
      </c>
      <c r="B8" s="56" t="str">
        <f>HLOOKUP(DATE($G$3,$H$3,$I$3),DATA!$C:$CS,ROW($B11),0)&amp;""</f>
        <v/>
      </c>
      <c r="C8" s="66" t="str">
        <f t="array" ref="C8">IF($C$1="休息日","查询日休息！",INDEX(DATA!$A:$A,SMALL(COUNTIF($B$1:$B$200,DATA!$A$1:$A$200)/1%%+ROW($A$1:$A$200),ROW(A8)))&amp;"")</f>
        <v/>
      </c>
      <c r="D8" s="67"/>
      <c r="E8" s="67"/>
      <c r="F8" s="67"/>
      <c r="G8" s="67"/>
      <c r="H8" s="67"/>
      <c r="I8" s="67"/>
      <c r="J8" s="71"/>
    </row>
    <row r="9" s="54" customFormat="1" customHeight="1" spans="1:10">
      <c r="A9" s="56" t="str">
        <f ca="1">IFERROR(HLOOKUP(DATE($G$3,$H$3,$I$3),'API1'!$B$2:$CR$46,ROW($A12),0)&amp;"","")</f>
        <v>√</v>
      </c>
      <c r="B9" s="56" t="str">
        <f>HLOOKUP(DATE($G$3,$H$3,$I$3),DATA!$C:$CS,ROW($B12),0)&amp;""</f>
        <v/>
      </c>
      <c r="C9" s="66" t="str">
        <f t="array" ref="C9">IF($C$1="休息日","查询日休息！",INDEX(DATA!$A:$A,SMALL(COUNTIF($B$1:$B$200,DATA!$A$1:$A$200)/1%%+ROW($A$1:$A$200),ROW(A9)))&amp;"")</f>
        <v/>
      </c>
      <c r="D9" s="67"/>
      <c r="E9" s="67"/>
      <c r="F9" s="67"/>
      <c r="G9" s="67"/>
      <c r="H9" s="67"/>
      <c r="I9" s="67"/>
      <c r="J9" s="71"/>
    </row>
    <row r="10" s="54" customFormat="1" customHeight="1" spans="1:10">
      <c r="A10" s="56" t="str">
        <f ca="1">IFERROR(HLOOKUP(DATE($G$3,$H$3,$I$3),'API1'!$B$2:$CR$46,ROW($A13),0)&amp;"","")</f>
        <v>√</v>
      </c>
      <c r="B10" s="56" t="str">
        <f>HLOOKUP(DATE($G$3,$H$3,$I$3),DATA!$C:$CS,ROW($B13),0)&amp;""</f>
        <v>丁江涛</v>
      </c>
      <c r="C10" s="66" t="str">
        <f t="array" ref="C10">IF($C$1="休息日","查询日休息！",INDEX(DATA!$A:$A,SMALL(COUNTIF($B$1:$B$200,DATA!$A$1:$A$200)/1%%+ROW($A$1:$A$200),ROW(A10)))&amp;"")</f>
        <v/>
      </c>
      <c r="D10" s="67"/>
      <c r="E10" s="67"/>
      <c r="F10" s="67"/>
      <c r="G10" s="67"/>
      <c r="H10" s="67"/>
      <c r="I10" s="67"/>
      <c r="J10" s="71"/>
    </row>
    <row r="11" s="54" customFormat="1" customHeight="1" spans="1:10">
      <c r="A11" s="56" t="str">
        <f ca="1">IFERROR(HLOOKUP(DATE($G$3,$H$3,$I$3),'API1'!$B$2:$CR$46,ROW($A14),0)&amp;"","")</f>
        <v>√</v>
      </c>
      <c r="B11" s="56" t="str">
        <f>HLOOKUP(DATE($G$3,$H$3,$I$3),DATA!$C:$CS,ROW($B14),0)&amp;""</f>
        <v>02-09 12:05</v>
      </c>
      <c r="C11" s="66" t="str">
        <f t="array" ref="C11">IF($C$1="休息日","查询日休息！",INDEX(DATA!$A:$A,SMALL(COUNTIF($B$1:$B$200,DATA!$A$1:$A$200)/1%%+ROW($A$1:$A$200),ROW(A11)))&amp;"")</f>
        <v/>
      </c>
      <c r="D11" s="67"/>
      <c r="E11" s="67"/>
      <c r="F11" s="67"/>
      <c r="G11" s="67"/>
      <c r="H11" s="67"/>
      <c r="I11" s="67"/>
      <c r="J11" s="71"/>
    </row>
    <row r="12" s="54" customFormat="1" customHeight="1" spans="1:10">
      <c r="A12" s="56" t="str">
        <f ca="1">IFERROR(HLOOKUP(DATE($G$3,$H$3,$I$3),'API1'!$B$2:$CR$46,ROW($A15),0)&amp;"","")</f>
        <v>√</v>
      </c>
      <c r="B12" s="56" t="str">
        <f>HLOOKUP(DATE($G$3,$H$3,$I$3),DATA!$C:$CS,ROW($B15),0)&amp;""</f>
        <v/>
      </c>
      <c r="C12" s="66" t="str">
        <f t="array" ref="C12">IF($C$1="休息日","查询日休息！",INDEX(DATA!$A:$A,SMALL(COUNTIF($B$1:$B$200,DATA!$A$1:$A$200)/1%%+ROW($A$1:$A$200),ROW(A12)))&amp;"")</f>
        <v/>
      </c>
      <c r="D12" s="67"/>
      <c r="E12" s="67"/>
      <c r="F12" s="67"/>
      <c r="G12" s="67"/>
      <c r="H12" s="67"/>
      <c r="I12" s="67"/>
      <c r="J12" s="71"/>
    </row>
    <row r="13" s="54" customFormat="1" customHeight="1" spans="1:10">
      <c r="A13" s="56" t="str">
        <f ca="1">IFERROR(HLOOKUP(DATE($G$3,$H$3,$I$3),'API1'!$B$2:$CR$46,ROW($A16),0)&amp;"","")</f>
        <v>√</v>
      </c>
      <c r="B13" s="56" t="str">
        <f>HLOOKUP(DATE($G$3,$H$3,$I$3),DATA!$C:$CS,ROW($B16),0)&amp;""</f>
        <v>刘腾</v>
      </c>
      <c r="C13" s="66" t="str">
        <f t="array" ref="C13">IF($C$1="休息日","查询日休息！",INDEX(DATA!$A:$A,SMALL(COUNTIF($B$1:$B$200,DATA!$A$1:$A$200)/1%%+ROW($A$1:$A$200),ROW(A13)))&amp;"")</f>
        <v/>
      </c>
      <c r="D13" s="67"/>
      <c r="E13" s="67"/>
      <c r="F13" s="67"/>
      <c r="G13" s="67"/>
      <c r="H13" s="67"/>
      <c r="I13" s="67"/>
      <c r="J13" s="71"/>
    </row>
    <row r="14" s="54" customFormat="1" customHeight="1" spans="1:10">
      <c r="A14" s="56" t="str">
        <f ca="1">IFERROR(HLOOKUP(DATE($G$3,$H$3,$I$3),'API1'!$B$2:$CR$46,ROW($A17),0)&amp;"","")</f>
        <v>√</v>
      </c>
      <c r="B14" s="56" t="str">
        <f>HLOOKUP(DATE($G$3,$H$3,$I$3),DATA!$C:$CS,ROW($B17),0)&amp;""</f>
        <v>02-09 11:27</v>
      </c>
      <c r="C14" s="66" t="str">
        <f t="array" ref="C14">IF($C$1="休息日","查询日休息！",INDEX(DATA!$A:$A,SMALL(COUNTIF($B$1:$B$200,DATA!$A$1:$A$200)/1%%+ROW($A$1:$A$200),ROW(A14)))&amp;"")</f>
        <v/>
      </c>
      <c r="D14" s="67"/>
      <c r="E14" s="67"/>
      <c r="F14" s="67"/>
      <c r="G14" s="67"/>
      <c r="H14" s="67"/>
      <c r="I14" s="67"/>
      <c r="J14" s="71"/>
    </row>
    <row r="15" s="54" customFormat="1" customHeight="1" spans="1:10">
      <c r="A15" s="56" t="str">
        <f ca="1">IFERROR(HLOOKUP(DATE($G$3,$H$3,$I$3),'API1'!$B$2:$CR$46,ROW($A18),0)&amp;"","")</f>
        <v>√</v>
      </c>
      <c r="B15" s="56" t="str">
        <f>HLOOKUP(DATE($G$3,$H$3,$I$3),DATA!$C:$CS,ROW($B18),0)&amp;""</f>
        <v/>
      </c>
      <c r="C15" s="66" t="str">
        <f t="array" ref="C15">IF($C$1="休息日","查询日休息！",INDEX(DATA!$A:$A,SMALL(COUNTIF($B$1:$B$200,DATA!$A$1:$A$200)/1%%+ROW($A$1:$A$200),ROW(A15)))&amp;"")</f>
        <v/>
      </c>
      <c r="D15" s="67"/>
      <c r="E15" s="67"/>
      <c r="F15" s="67"/>
      <c r="G15" s="67"/>
      <c r="H15" s="67"/>
      <c r="I15" s="67"/>
      <c r="J15" s="71"/>
    </row>
    <row r="16" s="54" customFormat="1" customHeight="1" spans="1:10">
      <c r="A16" s="56" t="str">
        <f ca="1">IFERROR(HLOOKUP(DATE($G$3,$H$3,$I$3),'API1'!$B$2:$CR$46,ROW($A19),0)&amp;"","")</f>
        <v>√</v>
      </c>
      <c r="B16" s="56" t="str">
        <f>HLOOKUP(DATE($G$3,$H$3,$I$3),DATA!$C:$CS,ROW($B19),0)&amp;""</f>
        <v/>
      </c>
      <c r="C16" s="66" t="str">
        <f t="array" ref="C16">IF($C$1="休息日","查询日休息！",INDEX(DATA!$A:$A,SMALL(COUNTIF($B$1:$B$200,DATA!$A$1:$A$200)/1%%+ROW($A$1:$A$200),ROW(A16)))&amp;"")</f>
        <v/>
      </c>
      <c r="D16" s="67"/>
      <c r="E16" s="67"/>
      <c r="F16" s="67"/>
      <c r="G16" s="67"/>
      <c r="H16" s="67"/>
      <c r="I16" s="67"/>
      <c r="J16" s="71"/>
    </row>
    <row r="17" s="54" customFormat="1" customHeight="1" spans="1:10">
      <c r="A17" s="56" t="str">
        <f ca="1">IFERROR(HLOOKUP(DATE($G$3,$H$3,$I$3),'API1'!$B$2:$CR$46,ROW($A20),0)&amp;"","")</f>
        <v>√</v>
      </c>
      <c r="B17" s="56" t="str">
        <f>HLOOKUP(DATE($G$3,$H$3,$I$3),DATA!$C:$CS,ROW($B20),0)&amp;""</f>
        <v>阮光强</v>
      </c>
      <c r="C17" s="66" t="str">
        <f t="array" ref="C17">IF($C$1="休息日","查询日休息！",INDEX(DATA!$A:$A,SMALL(COUNTIF($B$1:$B$200,DATA!$A$1:$A$200)/1%%+ROW($A$1:$A$200),ROW(A17)))&amp;"")</f>
        <v/>
      </c>
      <c r="D17" s="67"/>
      <c r="E17" s="67"/>
      <c r="F17" s="67"/>
      <c r="G17" s="67"/>
      <c r="H17" s="67"/>
      <c r="I17" s="67"/>
      <c r="J17" s="71"/>
    </row>
    <row r="18" s="54" customFormat="1" customHeight="1" spans="1:10">
      <c r="A18" s="56" t="str">
        <f ca="1">IFERROR(HLOOKUP(DATE($G$3,$H$3,$I$3),'API1'!$B$2:$CR$46,ROW($A21),0)&amp;"","")</f>
        <v>√</v>
      </c>
      <c r="B18" s="56" t="str">
        <f>HLOOKUP(DATE($G$3,$H$3,$I$3),DATA!$C:$CS,ROW($B21),0)&amp;""</f>
        <v>02-09 10:52</v>
      </c>
      <c r="C18" s="66" t="str">
        <f t="array" ref="C18">IF($C$1="休息日","查询日休息！",INDEX(DATA!$A:$A,SMALL(COUNTIF($B$1:$B$200,DATA!$A$1:$A$200)/1%%+ROW($A$1:$A$200),ROW(A18)))&amp;"")</f>
        <v/>
      </c>
      <c r="D18" s="67"/>
      <c r="E18" s="67"/>
      <c r="F18" s="67"/>
      <c r="G18" s="67"/>
      <c r="H18" s="67"/>
      <c r="I18" s="67"/>
      <c r="J18" s="71"/>
    </row>
    <row r="19" s="54" customFormat="1" customHeight="1" spans="1:10">
      <c r="A19" s="56" t="str">
        <f ca="1">IFERROR(HLOOKUP(DATE($G$3,$H$3,$I$3),'API1'!$B$2:$CR$46,ROW($A22),0)&amp;"","")</f>
        <v>√</v>
      </c>
      <c r="B19" s="56" t="str">
        <f>HLOOKUP(DATE($G$3,$H$3,$I$3),DATA!$C:$CS,ROW($B22),0)&amp;""</f>
        <v/>
      </c>
      <c r="C19" s="66" t="str">
        <f t="array" ref="C19">IF($C$1="休息日","查询日休息！",INDEX(DATA!$A:$A,SMALL(COUNTIF($B$1:$B$200,DATA!$A$1:$A$200)/1%%+ROW($A$1:$A$200),ROW(A19)))&amp;"")</f>
        <v/>
      </c>
      <c r="D19" s="67"/>
      <c r="E19" s="67"/>
      <c r="F19" s="67"/>
      <c r="G19" s="67"/>
      <c r="H19" s="67"/>
      <c r="I19" s="67"/>
      <c r="J19" s="71"/>
    </row>
    <row r="20" s="54" customFormat="1" customHeight="1" spans="1:10">
      <c r="A20" s="56" t="str">
        <f ca="1">IFERROR(HLOOKUP(DATE($G$3,$H$3,$I$3),'API1'!$B$2:$CR$46,ROW($A23),0)&amp;"","")</f>
        <v>√</v>
      </c>
      <c r="B20" s="56" t="str">
        <f>HLOOKUP(DATE($G$3,$H$3,$I$3),DATA!$C:$CS,ROW($B23),0)&amp;""</f>
        <v/>
      </c>
      <c r="C20" s="66" t="str">
        <f t="array" ref="C20">IF($C$1="休息日","查询日休息！",INDEX(DATA!$A:$A,SMALL(COUNTIF($B$1:$B$200,DATA!$A$1:$A$200)/1%%+ROW($A$1:$A$200),ROW(A20)))&amp;"")</f>
        <v/>
      </c>
      <c r="D20" s="67"/>
      <c r="E20" s="67"/>
      <c r="F20" s="67"/>
      <c r="G20" s="67"/>
      <c r="H20" s="67"/>
      <c r="I20" s="67"/>
      <c r="J20" s="71"/>
    </row>
    <row r="21" s="54" customFormat="1" customHeight="1" spans="1:10">
      <c r="A21" s="56" t="str">
        <f ca="1">IFERROR(HLOOKUP(DATE($G$3,$H$3,$I$3),'API1'!$B$2:$CR$46,ROW($A24),0)&amp;"","")</f>
        <v>√</v>
      </c>
      <c r="B21" s="56" t="str">
        <f>HLOOKUP(DATE($G$3,$H$3,$I$3),DATA!$C:$CS,ROW($B24),0)&amp;""</f>
        <v>王思雨</v>
      </c>
      <c r="C21" s="66" t="str">
        <f t="array" ref="C21">IF($C$1="休息日","查询日休息！",INDEX(DATA!$A:$A,SMALL(COUNTIF($B$1:$B$200,DATA!$A$1:$A$200)/1%%+ROW($A$1:$A$200),ROW(A21)))&amp;"")</f>
        <v/>
      </c>
      <c r="D21" s="67"/>
      <c r="E21" s="67"/>
      <c r="F21" s="67"/>
      <c r="G21" s="67"/>
      <c r="H21" s="67"/>
      <c r="I21" s="67"/>
      <c r="J21" s="71"/>
    </row>
    <row r="22" s="54" customFormat="1" customHeight="1" spans="1:10">
      <c r="A22" s="56" t="str">
        <f ca="1">IFERROR(HLOOKUP(DATE($G$3,$H$3,$I$3),'API1'!$B$2:$CR$46,ROW($A25),0)&amp;"","")</f>
        <v>√</v>
      </c>
      <c r="B22" s="56" t="str">
        <f>HLOOKUP(DATE($G$3,$H$3,$I$3),DATA!$C:$CS,ROW($B25),0)&amp;""</f>
        <v>02-09 10:40</v>
      </c>
      <c r="C22" s="66" t="str">
        <f t="array" ref="C22">IF($C$1="休息日","查询日休息！",INDEX(DATA!$A:$A,SMALL(COUNTIF($B$1:$B$200,DATA!$A$1:$A$200)/1%%+ROW($A$1:$A$200),ROW(A22)))&amp;"")</f>
        <v/>
      </c>
      <c r="D22" s="67"/>
      <c r="E22" s="67"/>
      <c r="F22" s="67"/>
      <c r="G22" s="67"/>
      <c r="H22" s="67"/>
      <c r="I22" s="67"/>
      <c r="J22" s="71"/>
    </row>
    <row r="23" s="54" customFormat="1" customHeight="1" spans="1:10">
      <c r="A23" s="56" t="str">
        <f ca="1">IFERROR(HLOOKUP(DATE($G$3,$H$3,$I$3),'API1'!$B$2:$CR$46,ROW($A26),0)&amp;"","")</f>
        <v>√</v>
      </c>
      <c r="B23" s="56" t="str">
        <f>HLOOKUP(DATE($G$3,$H$3,$I$3),DATA!$C:$CS,ROW($B26),0)&amp;""</f>
        <v/>
      </c>
      <c r="C23" s="66" t="str">
        <f t="array" ref="C23">IF($C$1="休息日","查询日休息！",INDEX(DATA!$A:$A,SMALL(COUNTIF($B$1:$B$200,DATA!$A$1:$A$200)/1%%+ROW($A$1:$A$200),ROW(A23)))&amp;"")</f>
        <v/>
      </c>
      <c r="D23" s="67"/>
      <c r="E23" s="67"/>
      <c r="F23" s="67"/>
      <c r="G23" s="67"/>
      <c r="H23" s="67"/>
      <c r="I23" s="67"/>
      <c r="J23" s="71"/>
    </row>
    <row r="24" s="54" customFormat="1" customHeight="1" spans="1:10">
      <c r="A24" s="56" t="str">
        <f ca="1">IFERROR(HLOOKUP(DATE($G$3,$H$3,$I$3),'API1'!$B$2:$CR$46,ROW($A27),0)&amp;"","")</f>
        <v>√</v>
      </c>
      <c r="B24" s="56" t="str">
        <f>HLOOKUP(DATE($G$3,$H$3,$I$3),DATA!$C:$CS,ROW($B27),0)&amp;""</f>
        <v>丁江</v>
      </c>
      <c r="C24" s="66" t="str">
        <f t="array" ref="C24">IF($C$1="休息日","查询日休息！",INDEX(DATA!$A:$A,SMALL(COUNTIF($B$1:$B$200,DATA!$A$1:$A$200)/1%%+ROW($A$1:$A$200),ROW(A24)))&amp;"")</f>
        <v/>
      </c>
      <c r="D24" s="67"/>
      <c r="E24" s="67"/>
      <c r="F24" s="67"/>
      <c r="G24" s="67"/>
      <c r="H24" s="67"/>
      <c r="I24" s="67"/>
      <c r="J24" s="71"/>
    </row>
    <row r="25" s="54" customFormat="1" customHeight="1" spans="1:10">
      <c r="A25" s="56" t="str">
        <f ca="1">IFERROR(HLOOKUP(DATE($G$3,$H$3,$I$3),'API1'!$B$2:$CR$46,ROW($A28),0)&amp;"","")</f>
        <v>√</v>
      </c>
      <c r="B25" s="56" t="str">
        <f>HLOOKUP(DATE($G$3,$H$3,$I$3),DATA!$C:$CS,ROW($B28),0)&amp;""</f>
        <v>02-09 10:37</v>
      </c>
      <c r="C25" s="66" t="str">
        <f t="array" ref="C25">IF($C$1="休息日","查询日休息！",INDEX(DATA!$A:$A,SMALL(COUNTIF($B$1:$B$200,DATA!$A$1:$A$200)/1%%+ROW($A$1:$A$200),ROW(A25)))&amp;"")</f>
        <v/>
      </c>
      <c r="D25" s="67"/>
      <c r="E25" s="67"/>
      <c r="F25" s="67"/>
      <c r="G25" s="67"/>
      <c r="H25" s="67"/>
      <c r="I25" s="67"/>
      <c r="J25" s="71"/>
    </row>
    <row r="26" s="54" customFormat="1" customHeight="1" spans="1:10">
      <c r="A26" s="56" t="str">
        <f ca="1">IFERROR(HLOOKUP(DATE($G$3,$H$3,$I$3),'API1'!$B$2:$CR$46,ROW($A29),0)&amp;"","")</f>
        <v>√</v>
      </c>
      <c r="B26" s="56" t="str">
        <f>HLOOKUP(DATE($G$3,$H$3,$I$3),DATA!$C:$CS,ROW($B29),0)&amp;""</f>
        <v/>
      </c>
      <c r="C26" s="66" t="str">
        <f t="array" ref="C26">IF($C$1="休息日","查询日休息！",INDEX(DATA!$A:$A,SMALL(COUNTIF($B$1:$B$200,DATA!$A$1:$A$200)/1%%+ROW($A$1:$A$200),ROW(A26)))&amp;"")</f>
        <v/>
      </c>
      <c r="D26" s="67"/>
      <c r="E26" s="67"/>
      <c r="F26" s="67"/>
      <c r="G26" s="67"/>
      <c r="H26" s="67"/>
      <c r="I26" s="67"/>
      <c r="J26" s="71"/>
    </row>
    <row r="27" s="54" customFormat="1" customHeight="1" spans="1:10">
      <c r="A27" s="56" t="str">
        <f ca="1">IFERROR(HLOOKUP(DATE($G$3,$H$3,$I$3),'API1'!$B$2:$CR$46,ROW($A30),0)&amp;"","")</f>
        <v>√</v>
      </c>
      <c r="B27" s="56" t="str">
        <f>HLOOKUP(DATE($G$3,$H$3,$I$3),DATA!$C:$CS,ROW($B30),0)&amp;""</f>
        <v/>
      </c>
      <c r="C27" s="66" t="str">
        <f t="array" ref="C27">IF($C$1="休息日","查询日休息！",INDEX(DATA!$A:$A,SMALL(COUNTIF($B$1:$B$200,DATA!$A$1:$A$200)/1%%+ROW($A$1:$A$200),ROW(A27)))&amp;"")</f>
        <v/>
      </c>
      <c r="D27" s="67"/>
      <c r="E27" s="67"/>
      <c r="F27" s="67"/>
      <c r="G27" s="67"/>
      <c r="H27" s="67"/>
      <c r="I27" s="67"/>
      <c r="J27" s="71"/>
    </row>
    <row r="28" s="54" customFormat="1" customHeight="1" spans="1:10">
      <c r="A28" s="56" t="str">
        <f ca="1">IFERROR(HLOOKUP(DATE($G$3,$H$3,$I$3),'API1'!$B$2:$CR$46,ROW($A31),0)&amp;"","")</f>
        <v>√</v>
      </c>
      <c r="B28" s="56" t="str">
        <f>HLOOKUP(DATE($G$3,$H$3,$I$3),DATA!$C:$CS,ROW($B31),0)&amp;""</f>
        <v>朱磊</v>
      </c>
      <c r="C28" s="66" t="str">
        <f t="array" ref="C28">IF($C$1="休息日","查询日休息！",INDEX(DATA!$A:$A,SMALL(COUNTIF($B$1:$B$200,DATA!$A$1:$A$200)/1%%+ROW($A$1:$A$200),ROW(A28)))&amp;"")</f>
        <v/>
      </c>
      <c r="D28" s="67"/>
      <c r="E28" s="67"/>
      <c r="F28" s="67"/>
      <c r="G28" s="67"/>
      <c r="H28" s="67"/>
      <c r="I28" s="67"/>
      <c r="J28" s="71"/>
    </row>
    <row r="29" s="54" customFormat="1" customHeight="1" spans="1:10">
      <c r="A29" s="56" t="str">
        <f ca="1">IFERROR(HLOOKUP(DATE($G$3,$H$3,$I$3),'API1'!$B$2:$CR$46,ROW($A32),0)&amp;"","")</f>
        <v>√</v>
      </c>
      <c r="B29" s="56" t="str">
        <f>HLOOKUP(DATE($G$3,$H$3,$I$3),DATA!$C:$CS,ROW($B32),0)&amp;""</f>
        <v>02-09 10:18</v>
      </c>
      <c r="C29" s="66" t="str">
        <f t="array" ref="C29">IF($C$1="休息日","查询日休息！",INDEX(DATA!$A:$A,SMALL(COUNTIF($B$1:$B$200,DATA!$A$1:$A$200)/1%%+ROW($A$1:$A$200),ROW(A29)))&amp;"")</f>
        <v/>
      </c>
      <c r="D29" s="67"/>
      <c r="E29" s="67"/>
      <c r="F29" s="67"/>
      <c r="G29" s="67"/>
      <c r="H29" s="67"/>
      <c r="I29" s="67"/>
      <c r="J29" s="71"/>
    </row>
    <row r="30" s="54" customFormat="1" customHeight="1" spans="1:10">
      <c r="A30" s="56" t="str">
        <f ca="1">IFERROR(HLOOKUP(DATE($G$3,$H$3,$I$3),'API1'!$B$2:$CR$46,ROW($A33),0)&amp;"","")</f>
        <v>√</v>
      </c>
      <c r="B30" s="56" t="str">
        <f>HLOOKUP(DATE($G$3,$H$3,$I$3),DATA!$C:$CS,ROW($B33),0)&amp;""</f>
        <v/>
      </c>
      <c r="C30" s="66" t="str">
        <f t="array" ref="C30">IF($C$1="休息日","查询日休息！",INDEX(DATA!$A:$A,SMALL(COUNTIF($B$1:$B$200,DATA!$A$1:$A$200)/1%%+ROW($A$1:$A$200),ROW(A30)))&amp;"")</f>
        <v/>
      </c>
      <c r="D30" s="67"/>
      <c r="E30" s="67"/>
      <c r="F30" s="67"/>
      <c r="G30" s="67"/>
      <c r="H30" s="67"/>
      <c r="I30" s="67"/>
      <c r="J30" s="71"/>
    </row>
    <row r="31" s="54" customFormat="1" customHeight="1" spans="1:10">
      <c r="A31" s="56" t="str">
        <f ca="1">IFERROR(HLOOKUP(DATE($G$3,$H$3,$I$3),'API1'!$B$2:$CR$46,ROW($A34),0)&amp;"","")</f>
        <v>√</v>
      </c>
      <c r="B31" s="56" t="str">
        <f>HLOOKUP(DATE($G$3,$H$3,$I$3),DATA!$C:$CS,ROW($B34),0)&amp;""</f>
        <v/>
      </c>
      <c r="C31" s="66" t="str">
        <f t="array" ref="C31">IF($C$1="休息日","查询日休息！",INDEX(DATA!$A:$A,SMALL(COUNTIF($B$1:$B$200,DATA!$A$1:$A$200)/1%%+ROW($A$1:$A$200),ROW(A31)))&amp;"")</f>
        <v/>
      </c>
      <c r="D31" s="67"/>
      <c r="E31" s="67"/>
      <c r="F31" s="67"/>
      <c r="G31" s="67"/>
      <c r="H31" s="67"/>
      <c r="I31" s="67"/>
      <c r="J31" s="71"/>
    </row>
    <row r="32" s="54" customFormat="1" customHeight="1" spans="1:10">
      <c r="A32" s="56" t="str">
        <f ca="1">IFERROR(HLOOKUP(DATE($G$3,$H$3,$I$3),'API1'!$B$2:$CR$46,ROW($A35),0)&amp;"","")</f>
        <v>√</v>
      </c>
      <c r="B32" s="56" t="str">
        <f>HLOOKUP(DATE($G$3,$H$3,$I$3),DATA!$C:$CS,ROW($B35),0)&amp;""</f>
        <v>吴自强</v>
      </c>
      <c r="C32" s="66" t="str">
        <f t="array" ref="C32">IF($C$1="休息日","查询日休息！",INDEX(DATA!$A:$A,SMALL(COUNTIF($B$1:$B$200,DATA!$A$1:$A$200)/1%%+ROW($A$1:$A$200),ROW(A32)))&amp;"")</f>
        <v/>
      </c>
      <c r="D32" s="67"/>
      <c r="E32" s="67"/>
      <c r="F32" s="67"/>
      <c r="G32" s="67"/>
      <c r="H32" s="67"/>
      <c r="I32" s="67"/>
      <c r="J32" s="71"/>
    </row>
    <row r="33" s="54" customFormat="1" customHeight="1" spans="1:10">
      <c r="A33" s="56" t="str">
        <f ca="1">IFERROR(HLOOKUP(DATE($G$3,$H$3,$I$3),'API1'!$B$2:$CR$46,ROW($A36),0)&amp;"","")</f>
        <v>√</v>
      </c>
      <c r="B33" s="56" t="str">
        <f>HLOOKUP(DATE($G$3,$H$3,$I$3),DATA!$C:$CS,ROW($B36),0)&amp;""</f>
        <v>02-09 10:11</v>
      </c>
      <c r="C33" s="66" t="str">
        <f t="array" ref="C33">IF($C$1="休息日","查询日休息！",INDEX(DATA!$A:$A,SMALL(COUNTIF($B$1:$B$200,DATA!$A$1:$A$200)/1%%+ROW($A$1:$A$200),ROW(A33)))&amp;"")</f>
        <v/>
      </c>
      <c r="D33" s="67"/>
      <c r="E33" s="67"/>
      <c r="F33" s="67"/>
      <c r="G33" s="67"/>
      <c r="H33" s="67"/>
      <c r="I33" s="67"/>
      <c r="J33" s="71"/>
    </row>
    <row r="34" s="54" customFormat="1" customHeight="1" spans="1:10">
      <c r="A34" s="56" t="str">
        <f ca="1">IFERROR(HLOOKUP(DATE($G$3,$H$3,$I$3),'API1'!$B$2:$CR$46,ROW($A37),0)&amp;"","")</f>
        <v>√</v>
      </c>
      <c r="B34" s="56" t="str">
        <f>HLOOKUP(DATE($G$3,$H$3,$I$3),DATA!$C:$CS,ROW($B37),0)&amp;""</f>
        <v/>
      </c>
      <c r="C34" s="66" t="str">
        <f t="array" ref="C34">IF($C$1="休息日","查询日休息！",INDEX(DATA!$A:$A,SMALL(COUNTIF($B$1:$B$200,DATA!$A$1:$A$200)/1%%+ROW($A$1:$A$200),ROW(A34)))&amp;"")</f>
        <v/>
      </c>
      <c r="D34" s="67"/>
      <c r="E34" s="67"/>
      <c r="F34" s="67"/>
      <c r="G34" s="67"/>
      <c r="H34" s="67"/>
      <c r="I34" s="67"/>
      <c r="J34" s="71"/>
    </row>
    <row r="35" s="54" customFormat="1" customHeight="1" spans="1:10">
      <c r="A35" s="56" t="str">
        <f ca="1">IFERROR(HLOOKUP(DATE($G$3,$H$3,$I$3),'API1'!$B$2:$CR$46,ROW($A38),0)&amp;"","")</f>
        <v>√</v>
      </c>
      <c r="B35" s="56" t="str">
        <f>HLOOKUP(DATE($G$3,$H$3,$I$3),DATA!$C:$CS,ROW($B38),0)&amp;""</f>
        <v>柯常铝</v>
      </c>
      <c r="C35" s="66" t="str">
        <f t="array" ref="C35">IF($C$1="休息日","查询日休息！",INDEX(DATA!$A:$A,SMALL(COUNTIF($B$1:$B$200,DATA!$A$1:$A$200)/1%%+ROW($A$1:$A$200),ROW(A35)))&amp;"")</f>
        <v/>
      </c>
      <c r="D35" s="67"/>
      <c r="E35" s="67"/>
      <c r="F35" s="67"/>
      <c r="G35" s="67"/>
      <c r="H35" s="67"/>
      <c r="I35" s="67"/>
      <c r="J35" s="71"/>
    </row>
    <row r="36" s="54" customFormat="1" customHeight="1" spans="1:10">
      <c r="A36" s="56" t="str">
        <f ca="1">IFERROR(HLOOKUP(DATE($G$3,$H$3,$I$3),'API1'!$B$2:$CR$46,ROW($A39),0)&amp;"","")</f>
        <v>√</v>
      </c>
      <c r="B36" s="56" t="str">
        <f>HLOOKUP(DATE($G$3,$H$3,$I$3),DATA!$C:$CS,ROW($B39),0)&amp;""</f>
        <v>02-09 10:02</v>
      </c>
      <c r="C36" s="66" t="str">
        <f t="array" ref="C36">IF($C$1="休息日","查询日休息！",INDEX(DATA!$A:$A,SMALL(COUNTIF($B$1:$B$200,DATA!$A$1:$A$200)/1%%+ROW($A$1:$A$200),ROW(A36)))&amp;"")</f>
        <v/>
      </c>
      <c r="D36" s="67"/>
      <c r="E36" s="67"/>
      <c r="F36" s="67"/>
      <c r="G36" s="67"/>
      <c r="H36" s="67"/>
      <c r="I36" s="67"/>
      <c r="J36" s="71"/>
    </row>
    <row r="37" s="54" customFormat="1" customHeight="1" spans="1:10">
      <c r="A37" s="56" t="str">
        <f ca="1">IFERROR(HLOOKUP(DATE($G$3,$H$3,$I$3),'API1'!$B$2:$CR$46,ROW($A40),0)&amp;"","")</f>
        <v>√</v>
      </c>
      <c r="B37" s="56" t="str">
        <f>HLOOKUP(DATE($G$3,$H$3,$I$3),DATA!$C:$CS,ROW($B40),0)&amp;""</f>
        <v/>
      </c>
      <c r="C37" s="66" t="str">
        <f t="array" ref="C37">IF($C$1="休息日","查询日休息！",INDEX(DATA!$A:$A,SMALL(COUNTIF($B$1:$B$200,DATA!$A$1:$A$200)/1%%+ROW($A$1:$A$200),ROW(A37)))&amp;"")</f>
        <v/>
      </c>
      <c r="D37" s="67"/>
      <c r="E37" s="67"/>
      <c r="F37" s="67"/>
      <c r="G37" s="67"/>
      <c r="H37" s="67"/>
      <c r="I37" s="67"/>
      <c r="J37" s="71"/>
    </row>
    <row r="38" s="54" customFormat="1" customHeight="1" spans="1:10">
      <c r="A38" s="56" t="str">
        <f ca="1">IFERROR(HLOOKUP(DATE($G$3,$H$3,$I$3),'API1'!$B$2:$CR$46,ROW($A41),0)&amp;"","")</f>
        <v>√</v>
      </c>
      <c r="B38" s="56" t="str">
        <f>HLOOKUP(DATE($G$3,$H$3,$I$3),DATA!$C:$CS,ROW($B41),0)&amp;""</f>
        <v/>
      </c>
      <c r="C38" s="66" t="str">
        <f t="array" ref="C38">IF($C$1="休息日","查询日休息！",INDEX(DATA!$A:$A,SMALL(COUNTIF($B$1:$B$200,DATA!$A$1:$A$200)/1%%+ROW($A$1:$A$200),ROW(A38)))&amp;"")</f>
        <v/>
      </c>
      <c r="D38" s="67"/>
      <c r="E38" s="67"/>
      <c r="F38" s="67"/>
      <c r="G38" s="67"/>
      <c r="H38" s="67"/>
      <c r="I38" s="67"/>
      <c r="J38" s="71"/>
    </row>
    <row r="39" s="54" customFormat="1" customHeight="1" spans="1:10">
      <c r="A39" s="56" t="str">
        <f ca="1">IFERROR(HLOOKUP(DATE($G$3,$H$3,$I$3),'API1'!$B$2:$CR$46,ROW($A42),0)&amp;"","")</f>
        <v>√</v>
      </c>
      <c r="B39" s="56" t="str">
        <f>HLOOKUP(DATE($G$3,$H$3,$I$3),DATA!$C:$CS,ROW($B42),0)&amp;""</f>
        <v>柯金梁</v>
      </c>
      <c r="C39" s="66" t="str">
        <f t="array" ref="C39">IF($C$1="休息日","查询日休息！",INDEX(DATA!$A:$A,SMALL(COUNTIF($B$1:$B$200,DATA!$A$1:$A$200)/1%%+ROW($A$1:$A$200),ROW(A39)))&amp;"")</f>
        <v/>
      </c>
      <c r="D39" s="67"/>
      <c r="E39" s="67"/>
      <c r="F39" s="67"/>
      <c r="G39" s="67"/>
      <c r="H39" s="67"/>
      <c r="I39" s="67"/>
      <c r="J39" s="71"/>
    </row>
    <row r="40" s="54" customFormat="1" customHeight="1" spans="1:10">
      <c r="A40" s="56" t="str">
        <f ca="1">IFERROR(HLOOKUP(DATE($G$3,$H$3,$I$3),'API1'!$B$2:$CR$46,ROW($A43),0)&amp;"","")</f>
        <v>√</v>
      </c>
      <c r="B40" s="56" t="str">
        <f>HLOOKUP(DATE($G$3,$H$3,$I$3),DATA!$C:$CS,ROW($B43),0)&amp;""</f>
        <v>02-09 09:47</v>
      </c>
      <c r="C40" s="66" t="str">
        <f t="array" ref="C40">IF($C$1="休息日","查询日休息！",INDEX(DATA!$A:$A,SMALL(COUNTIF($B$1:$B$200,DATA!$A$1:$A$200)/1%%+ROW($A$1:$A$200),ROW(A40)))&amp;"")</f>
        <v/>
      </c>
      <c r="D40" s="67"/>
      <c r="E40" s="67"/>
      <c r="F40" s="67"/>
      <c r="G40" s="67"/>
      <c r="H40" s="67"/>
      <c r="I40" s="67"/>
      <c r="J40" s="71"/>
    </row>
    <row r="41" s="54" customFormat="1" customHeight="1" spans="1:10">
      <c r="A41" s="56" t="str">
        <f ca="1">IFERROR(HLOOKUP(DATE($G$3,$H$3,$I$3),'API1'!$B$2:$CR$46,ROW($A44),0)&amp;"","")</f>
        <v>×</v>
      </c>
      <c r="B41" s="56" t="str">
        <f>HLOOKUP(DATE($G$3,$H$3,$I$3),DATA!$C:$CS,ROW($B44),0)&amp;""</f>
        <v/>
      </c>
      <c r="C41" s="66" t="str">
        <f t="array" ref="C41">IF($C$1="休息日","查询日休息！",INDEX(DATA!$A:$A,SMALL(COUNTIF($B$1:$B$200,DATA!$A$1:$A$200)/1%%+ROW($A$1:$A$200),ROW(A41)))&amp;"")</f>
        <v/>
      </c>
      <c r="D41" s="67"/>
      <c r="E41" s="67"/>
      <c r="F41" s="67"/>
      <c r="G41" s="67"/>
      <c r="H41" s="67"/>
      <c r="I41" s="67"/>
      <c r="J41" s="71"/>
    </row>
    <row r="42" s="54" customFormat="1" customHeight="1" spans="1:10">
      <c r="A42" s="56" t="str">
        <f ca="1">IFERROR(HLOOKUP(DATE($G$3,$H$3,$I$3),'API1'!$B$2:$CR$46,ROW($A45),0)&amp;"","")</f>
        <v/>
      </c>
      <c r="B42" s="56" t="str">
        <f>HLOOKUP(DATE($G$3,$H$3,$I$3),DATA!$C:$CS,ROW($B45),0)&amp;""</f>
        <v/>
      </c>
      <c r="C42" s="66" t="str">
        <f t="array" ref="C42">IF($C$1="休息日","查询日休息！",INDEX(DATA!$A:$A,SMALL(COUNTIF($B$1:$B$200,DATA!$A$1:$A$200)/1%%+ROW($A$1:$A$200),ROW(A42)))&amp;"")</f>
        <v/>
      </c>
      <c r="D42" s="67"/>
      <c r="E42" s="67"/>
      <c r="F42" s="67"/>
      <c r="G42" s="67"/>
      <c r="H42" s="67"/>
      <c r="I42" s="67"/>
      <c r="J42" s="71"/>
    </row>
    <row r="43" s="54" customFormat="1" customHeight="1" spans="1:10">
      <c r="A43" s="56" t="str">
        <f ca="1">IFERROR(HLOOKUP(DATE($G$3,$H$3,$I$3),'API1'!$B$2:$CR$46,ROW($A46),0)&amp;"","")</f>
        <v/>
      </c>
      <c r="B43" s="56" t="str">
        <f>HLOOKUP(DATE($G$3,$H$3,$I$3),DATA!$C:$CS,ROW($B46),0)&amp;""</f>
        <v>冯俊</v>
      </c>
      <c r="C43" s="66" t="str">
        <f t="array" ref="C43">IF($C$1="休息日","查询日休息！",INDEX(DATA!$A:$A,SMALL(COUNTIF($B$1:$B$200,DATA!$A$1:$A$200)/1%%+ROW($A$1:$A$200),ROW(A43)))&amp;"")</f>
        <v/>
      </c>
      <c r="D43" s="67"/>
      <c r="E43" s="67"/>
      <c r="F43" s="67"/>
      <c r="G43" s="67"/>
      <c r="H43" s="67"/>
      <c r="I43" s="67"/>
      <c r="J43" s="71"/>
    </row>
    <row r="44" s="54" customFormat="1" customHeight="1" spans="1:10">
      <c r="A44" s="56" t="str">
        <f ca="1">IFERROR(HLOOKUP(DATE($G$3,$H$3,$I$3),'API1'!$B$2:$CR$46,ROW($A47),0)&amp;"","")</f>
        <v/>
      </c>
      <c r="B44" s="56" t="str">
        <f>HLOOKUP(DATE($G$3,$H$3,$I$3),DATA!$C:$CS,ROW($B47),0)&amp;""</f>
        <v>02-09 09:43</v>
      </c>
      <c r="C44" s="66" t="str">
        <f t="array" ref="C44">IF($C$1="休息日","查询日休息！",INDEX(DATA!$A:$A,SMALL(COUNTIF($B$1:$B$200,DATA!$A$1:$A$200)/1%%+ROW($A$1:$A$200),ROW(A44)))&amp;"")</f>
        <v/>
      </c>
      <c r="D44" s="67"/>
      <c r="E44" s="67"/>
      <c r="F44" s="67"/>
      <c r="G44" s="67"/>
      <c r="H44" s="67"/>
      <c r="I44" s="67"/>
      <c r="J44" s="71"/>
    </row>
    <row r="45" s="54" customFormat="1" customHeight="1" spans="1:10">
      <c r="A45" s="56" t="str">
        <f ca="1">IFERROR(HLOOKUP(DATE($G$3,$H$3,$I$3),'API1'!$B$2:$CR$46,ROW($A48),0)&amp;"","")</f>
        <v/>
      </c>
      <c r="B45" s="56" t="str">
        <f>HLOOKUP(DATE($G$3,$H$3,$I$3),DATA!$C:$CS,ROW($B48),0)&amp;""</f>
        <v/>
      </c>
      <c r="C45" s="66" t="str">
        <f t="array" ref="C45">IF($C$1="休息日","查询日休息！",INDEX(DATA!$A:$A,SMALL(COUNTIF($B$1:$B$200,DATA!$A$1:$A$200)/1%%+ROW($A$1:$A$200),ROW(A45)))&amp;"")</f>
        <v/>
      </c>
      <c r="D45" s="67"/>
      <c r="E45" s="67"/>
      <c r="F45" s="67"/>
      <c r="G45" s="67"/>
      <c r="H45" s="67"/>
      <c r="I45" s="67"/>
      <c r="J45" s="71"/>
    </row>
    <row r="46" s="54" customFormat="1" customHeight="1" spans="1:10">
      <c r="A46" s="56" t="str">
        <f ca="1">IFERROR(HLOOKUP(DATE($G$3,$H$3,$I$3),'API1'!$B$2:$CR$46,ROW($A49),0)&amp;"","")</f>
        <v/>
      </c>
      <c r="B46" s="56" t="str">
        <f>HLOOKUP(DATE($G$3,$H$3,$I$3),DATA!$C:$CS,ROW($B49),0)&amp;""</f>
        <v>李文霞</v>
      </c>
      <c r="C46" s="66" t="str">
        <f t="array" ref="C46">IF($C$1="休息日","查询日休息！",INDEX(DATA!$A:$A,SMALL(COUNTIF($B$1:$B$200,DATA!$A$1:$A$200)/1%%+ROW($A$1:$A$200),ROW(A46)))&amp;"")</f>
        <v/>
      </c>
      <c r="D46" s="67"/>
      <c r="E46" s="67"/>
      <c r="F46" s="67"/>
      <c r="G46" s="67"/>
      <c r="H46" s="67"/>
      <c r="I46" s="67"/>
      <c r="J46" s="71"/>
    </row>
    <row r="47" s="54" customFormat="1" customHeight="1" spans="1:10">
      <c r="A47" s="56" t="str">
        <f ca="1">IFERROR(HLOOKUP(DATE($G$3,$H$3,$I$3),'API1'!$B$2:$CR$46,ROW($A50),0)&amp;"","")</f>
        <v/>
      </c>
      <c r="B47" s="56" t="str">
        <f>HLOOKUP(DATE($G$3,$H$3,$I$3),DATA!$C:$CS,ROW($B50),0)&amp;""</f>
        <v>02-09 09:31</v>
      </c>
      <c r="C47" s="66" t="str">
        <f t="array" ref="C47">IF($C$1="休息日","查询日休息！",INDEX(DATA!$A:$A,SMALL(COUNTIF($B$1:$B$200,DATA!$A$1:$A$200)/1%%+ROW($A$1:$A$200),ROW(A47)))&amp;"")</f>
        <v/>
      </c>
      <c r="D47" s="67"/>
      <c r="E47" s="67"/>
      <c r="F47" s="67"/>
      <c r="G47" s="67"/>
      <c r="H47" s="67"/>
      <c r="I47" s="67"/>
      <c r="J47" s="71"/>
    </row>
    <row r="48" s="54" customFormat="1" customHeight="1" spans="1:10">
      <c r="A48" s="56" t="str">
        <f ca="1">IFERROR(HLOOKUP(DATE($G$3,$H$3,$I$3),'API1'!$B$2:$CR$46,ROW($A51),0)&amp;"","")</f>
        <v/>
      </c>
      <c r="B48" s="56" t="str">
        <f>HLOOKUP(DATE($G$3,$H$3,$I$3),DATA!$C:$CS,ROW($B51),0)&amp;""</f>
        <v/>
      </c>
      <c r="C48" s="66" t="str">
        <f t="array" ref="C48">IF($C$1="休息日","查询日休息！",INDEX(DATA!$A:$A,SMALL(COUNTIF($B$1:$B$200,DATA!$A$1:$A$200)/1%%+ROW($A$1:$A$200),ROW(A48)))&amp;"")</f>
        <v/>
      </c>
      <c r="D48" s="67"/>
      <c r="E48" s="67"/>
      <c r="F48" s="67"/>
      <c r="G48" s="67"/>
      <c r="H48" s="67"/>
      <c r="I48" s="67"/>
      <c r="J48" s="71"/>
    </row>
    <row r="49" s="54" customFormat="1" customHeight="1" spans="1:10">
      <c r="A49" s="56" t="str">
        <f ca="1">IFERROR(HLOOKUP(DATE($G$3,$H$3,$I$3),'API1'!$B$2:$CR$46,ROW($A52),0)&amp;"","")</f>
        <v/>
      </c>
      <c r="B49" s="56" t="str">
        <f>HLOOKUP(DATE($G$3,$H$3,$I$3),DATA!$C:$CS,ROW($B52),0)&amp;""</f>
        <v/>
      </c>
      <c r="C49" s="66" t="str">
        <f t="array" ref="C49">IF($C$1="休息日","查询日休息！",INDEX(DATA!$A:$A,SMALL(COUNTIF($B$1:$B$200,DATA!$A$1:$A$200)/1%%+ROW($A$1:$A$200),ROW(A49)))&amp;"")</f>
        <v/>
      </c>
      <c r="D49" s="67"/>
      <c r="E49" s="67"/>
      <c r="F49" s="67"/>
      <c r="G49" s="67"/>
      <c r="H49" s="67"/>
      <c r="I49" s="67"/>
      <c r="J49" s="71"/>
    </row>
    <row r="50" s="54" customFormat="1" customHeight="1" spans="1:10">
      <c r="A50" s="56" t="str">
        <f ca="1">IFERROR(HLOOKUP(DATE($G$3,$H$3,$I$3),'API1'!$B$2:$CR$46,ROW($A53),0)&amp;"","")</f>
        <v/>
      </c>
      <c r="B50" s="56" t="str">
        <f>HLOOKUP(DATE($G$3,$H$3,$I$3),DATA!$C:$CS,ROW($B53),0)&amp;""</f>
        <v>杨草晖</v>
      </c>
      <c r="C50" s="66" t="str">
        <f t="array" ref="C50">IF($C$1="休息日","查询日休息！",INDEX(DATA!$A:$A,SMALL(COUNTIF($B$1:$B$200,DATA!$A$1:$A$200)/1%%+ROW($A$1:$A$200),ROW(A50)))&amp;"")</f>
        <v/>
      </c>
      <c r="D50" s="67"/>
      <c r="E50" s="67"/>
      <c r="F50" s="67"/>
      <c r="G50" s="67"/>
      <c r="H50" s="67"/>
      <c r="I50" s="67"/>
      <c r="J50" s="71"/>
    </row>
    <row r="51" s="54" customFormat="1" customHeight="1" spans="1:10">
      <c r="A51" s="56" t="str">
        <f ca="1">IFERROR(HLOOKUP(DATE($G$3,$H$3,$I$3),'API1'!$B$2:$CR$46,ROW($A54),0)&amp;"","")</f>
        <v/>
      </c>
      <c r="B51" s="56" t="str">
        <f>HLOOKUP(DATE($G$3,$H$3,$I$3),DATA!$C:$CS,ROW($B54),0)&amp;""</f>
        <v>02-09 09:19</v>
      </c>
      <c r="C51" s="66" t="str">
        <f t="array" ref="C51">IF($C$1="休息日","查询日休息！",INDEX(DATA!$A:$A,SMALL(COUNTIF($B$1:$B$200,DATA!$A$1:$A$200)/1%%+ROW($A$1:$A$200),ROW(A51)))&amp;"")</f>
        <v/>
      </c>
      <c r="D51" s="67"/>
      <c r="E51" s="67"/>
      <c r="F51" s="67"/>
      <c r="G51" s="67"/>
      <c r="H51" s="67"/>
      <c r="I51" s="67"/>
      <c r="J51" s="71"/>
    </row>
    <row r="52" s="54" customFormat="1" customHeight="1" spans="1:10">
      <c r="A52" s="56" t="str">
        <f ca="1">IFERROR(HLOOKUP(DATE($G$3,$H$3,$I$3),'API1'!$B$2:$CR$46,ROW($A55),0)&amp;"","")</f>
        <v/>
      </c>
      <c r="B52" s="56" t="str">
        <f>HLOOKUP(DATE($G$3,$H$3,$I$3),DATA!$C:$CS,ROW($B55),0)&amp;""</f>
        <v/>
      </c>
      <c r="C52" s="66" t="str">
        <f t="array" ref="C52">IF($C$1="休息日","查询日休息！",INDEX(DATA!$A:$A,SMALL(COUNTIF($B$1:$B$200,DATA!$A$1:$A$200)/1%%+ROW($A$1:$A$200),ROW(A52)))&amp;"")</f>
        <v/>
      </c>
      <c r="D52" s="67"/>
      <c r="E52" s="67"/>
      <c r="F52" s="67"/>
      <c r="G52" s="67"/>
      <c r="H52" s="67"/>
      <c r="I52" s="67"/>
      <c r="J52" s="71"/>
    </row>
    <row r="53" s="54" customFormat="1" customHeight="1" spans="1:10">
      <c r="A53" s="56" t="str">
        <f ca="1">IFERROR(HLOOKUP(DATE($G$3,$H$3,$I$3),'API1'!$B$2:$CR$46,ROW($A56),0)&amp;"","")</f>
        <v/>
      </c>
      <c r="B53" s="56" t="str">
        <f>HLOOKUP(DATE($G$3,$H$3,$I$3),DATA!$C:$CS,ROW($B56),0)&amp;""</f>
        <v/>
      </c>
      <c r="C53" s="66" t="str">
        <f t="array" ref="C53">IF($C$1="休息日","查询日休息！",INDEX(DATA!$A:$A,SMALL(COUNTIF($B$1:$B$200,DATA!$A$1:$A$200)/1%%+ROW($A$1:$A$200),ROW(A53)))&amp;"")</f>
        <v/>
      </c>
      <c r="D53" s="67"/>
      <c r="E53" s="67"/>
      <c r="F53" s="67"/>
      <c r="G53" s="67"/>
      <c r="H53" s="67"/>
      <c r="I53" s="67"/>
      <c r="J53" s="71"/>
    </row>
    <row r="54" s="54" customFormat="1" customHeight="1" spans="1:10">
      <c r="A54" s="56" t="str">
        <f ca="1">IFERROR(HLOOKUP(DATE($G$3,$H$3,$I$3),'API1'!$B$2:$CR$46,ROW($A57),0)&amp;"","")</f>
        <v/>
      </c>
      <c r="B54" s="56" t="str">
        <f>HLOOKUP(DATE($G$3,$H$3,$I$3),DATA!$C:$CS,ROW($B57),0)&amp;""</f>
        <v>张扬</v>
      </c>
      <c r="C54" s="66" t="str">
        <f t="array" ref="C54">IF($C$1="休息日","查询日休息！",INDEX(DATA!$A:$A,SMALL(COUNTIF($B$1:$B$200,DATA!$A$1:$A$200)/1%%+ROW($A$1:$A$200),ROW(A54)))&amp;"")</f>
        <v/>
      </c>
      <c r="D54" s="67"/>
      <c r="E54" s="67"/>
      <c r="F54" s="67"/>
      <c r="G54" s="67"/>
      <c r="H54" s="67"/>
      <c r="I54" s="67"/>
      <c r="J54" s="71"/>
    </row>
    <row r="55" s="54" customFormat="1" customHeight="1" spans="1:10">
      <c r="A55" s="56" t="str">
        <f ca="1">IFERROR(HLOOKUP(DATE($G$3,$H$3,$I$3),'API1'!$B$2:$CR$46,ROW($A58),0)&amp;"","")</f>
        <v/>
      </c>
      <c r="B55" s="56" t="str">
        <f>HLOOKUP(DATE($G$3,$H$3,$I$3),DATA!$C:$CS,ROW($B58),0)&amp;""</f>
        <v>02-09 09:10</v>
      </c>
      <c r="C55" s="66" t="str">
        <f t="array" ref="C55">IF($C$1="休息日","查询日休息！",INDEX(DATA!$A:$A,SMALL(COUNTIF($B$1:$B$200,DATA!$A$1:$A$200)/1%%+ROW($A$1:$A$200),ROW(A55)))&amp;"")</f>
        <v/>
      </c>
      <c r="D55" s="67"/>
      <c r="E55" s="67"/>
      <c r="F55" s="67"/>
      <c r="G55" s="67"/>
      <c r="H55" s="67"/>
      <c r="I55" s="67"/>
      <c r="J55" s="71"/>
    </row>
    <row r="56" s="54" customFormat="1" customHeight="1" spans="1:10">
      <c r="A56" s="56" t="str">
        <f ca="1">IFERROR(HLOOKUP(DATE($G$3,$H$3,$I$3),'API1'!$B$2:$CR$46,ROW($A59),0)&amp;"","")</f>
        <v/>
      </c>
      <c r="B56" s="56" t="str">
        <f>HLOOKUP(DATE($G$3,$H$3,$I$3),DATA!$C:$CS,ROW($B59),0)&amp;""</f>
        <v/>
      </c>
      <c r="C56" s="66" t="str">
        <f t="array" ref="C56">IF($C$1="休息日","查询日休息！",INDEX(DATA!$A:$A,SMALL(COUNTIF($B$1:$B$200,DATA!$A$1:$A$200)/1%%+ROW($A$1:$A$200),ROW(A56)))&amp;"")</f>
        <v/>
      </c>
      <c r="D56" s="67"/>
      <c r="E56" s="67"/>
      <c r="F56" s="67"/>
      <c r="G56" s="67"/>
      <c r="H56" s="67"/>
      <c r="I56" s="67"/>
      <c r="J56" s="71"/>
    </row>
    <row r="57" s="54" customFormat="1" customHeight="1" spans="1:10">
      <c r="A57" s="56" t="str">
        <f ca="1">IFERROR(HLOOKUP(DATE($G$3,$H$3,$I$3),'API1'!$B$2:$CR$46,ROW($A60),0)&amp;"","")</f>
        <v/>
      </c>
      <c r="B57" s="56" t="str">
        <f>HLOOKUP(DATE($G$3,$H$3,$I$3),DATA!$C:$CS,ROW($B60),0)&amp;""</f>
        <v>毛永恒</v>
      </c>
      <c r="C57" s="66" t="str">
        <f t="array" ref="C57">IF($C$1="休息日","查询日休息！",INDEX(DATA!$A:$A,SMALL(COUNTIF($B$1:$B$200,DATA!$A$1:$A$200)/1%%+ROW($A$1:$A$200),ROW(A57)))&amp;"")</f>
        <v/>
      </c>
      <c r="D57" s="67"/>
      <c r="E57" s="67"/>
      <c r="F57" s="67"/>
      <c r="G57" s="67"/>
      <c r="H57" s="67"/>
      <c r="I57" s="67"/>
      <c r="J57" s="71"/>
    </row>
    <row r="58" s="54" customFormat="1" customHeight="1" spans="1:10">
      <c r="A58" s="56" t="str">
        <f ca="1">IFERROR(HLOOKUP(DATE($G$3,$H$3,$I$3),'API1'!$B$2:$CR$46,ROW($A61),0)&amp;"","")</f>
        <v/>
      </c>
      <c r="B58" s="56" t="str">
        <f>HLOOKUP(DATE($G$3,$H$3,$I$3),DATA!$C:$CS,ROW($B61),0)&amp;""</f>
        <v>02-09 09:03</v>
      </c>
      <c r="C58" s="66" t="str">
        <f t="array" ref="C58">IF($C$1="休息日","查询日休息！",INDEX(DATA!$A:$A,SMALL(COUNTIF($B$1:$B$200,DATA!$A$1:$A$200)/1%%+ROW($A$1:$A$200),ROW(A58)))&amp;"")</f>
        <v/>
      </c>
      <c r="D58" s="67"/>
      <c r="E58" s="67"/>
      <c r="F58" s="67"/>
      <c r="G58" s="67"/>
      <c r="H58" s="67"/>
      <c r="I58" s="67"/>
      <c r="J58" s="71"/>
    </row>
    <row r="59" s="54" customFormat="1" customHeight="1" spans="1:10">
      <c r="A59" s="56" t="str">
        <f ca="1">IFERROR(HLOOKUP(DATE($G$3,$H$3,$I$3),'API1'!$B$2:$CR$46,ROW($A62),0)&amp;"","")</f>
        <v/>
      </c>
      <c r="B59" s="56" t="str">
        <f>HLOOKUP(DATE($G$3,$H$3,$I$3),DATA!$C:$CS,ROW($B62),0)&amp;""</f>
        <v/>
      </c>
      <c r="C59" s="66" t="str">
        <f t="array" ref="C59">IF($C$1="休息日","查询日休息！",INDEX(DATA!$A:$A,SMALL(COUNTIF($B$1:$B$200,DATA!$A$1:$A$200)/1%%+ROW($A$1:$A$200),ROW(A59)))&amp;"")</f>
        <v/>
      </c>
      <c r="D59" s="67"/>
      <c r="E59" s="67"/>
      <c r="F59" s="67"/>
      <c r="G59" s="67"/>
      <c r="H59" s="67"/>
      <c r="I59" s="67"/>
      <c r="J59" s="71"/>
    </row>
    <row r="60" s="54" customFormat="1" customHeight="1" spans="1:10">
      <c r="A60" s="56" t="str">
        <f ca="1">IFERROR(HLOOKUP(DATE($G$3,$H$3,$I$3),'API1'!$B$2:$CR$46,ROW($A63),0)&amp;"","")</f>
        <v/>
      </c>
      <c r="B60" s="56" t="str">
        <f>HLOOKUP(DATE($G$3,$H$3,$I$3),DATA!$C:$CS,ROW($B63),0)&amp;""</f>
        <v/>
      </c>
      <c r="C60" s="66" t="str">
        <f t="array" ref="C60">IF($C$1="休息日","查询日休息！",INDEX(DATA!$A:$A,SMALL(COUNTIF($B$1:$B$200,DATA!$A$1:$A$200)/1%%+ROW($A$1:$A$200),ROW(A60)))&amp;"")</f>
        <v/>
      </c>
      <c r="D60" s="67"/>
      <c r="E60" s="67"/>
      <c r="F60" s="67"/>
      <c r="G60" s="67"/>
      <c r="H60" s="67"/>
      <c r="I60" s="67"/>
      <c r="J60" s="71"/>
    </row>
    <row r="61" s="54" customFormat="1" customHeight="1" spans="1:10">
      <c r="A61" s="56" t="str">
        <f ca="1">IFERROR(HLOOKUP(DATE($G$3,$H$3,$I$3),'API1'!$B$2:$CR$46,ROW($A64),0)&amp;"","")</f>
        <v/>
      </c>
      <c r="B61" s="56" t="str">
        <f>HLOOKUP(DATE($G$3,$H$3,$I$3),DATA!$C:$CS,ROW($B64),0)&amp;""</f>
        <v>柯宇豪</v>
      </c>
      <c r="C61" s="66" t="str">
        <f t="array" ref="C61">IF($C$1="休息日","查询日休息！",INDEX(DATA!$A:$A,SMALL(COUNTIF($B$1:$B$200,DATA!$A$1:$A$200)/1%%+ROW($A$1:$A$200),ROW(A61)))&amp;"")</f>
        <v/>
      </c>
      <c r="D61" s="67"/>
      <c r="E61" s="67"/>
      <c r="F61" s="67"/>
      <c r="G61" s="67"/>
      <c r="H61" s="67"/>
      <c r="I61" s="67"/>
      <c r="J61" s="71"/>
    </row>
    <row r="62" s="54" customFormat="1" customHeight="1" spans="1:10">
      <c r="A62" s="56" t="str">
        <f ca="1">IFERROR(HLOOKUP(DATE($G$3,$H$3,$I$3),'API1'!$B$2:$CR$46,ROW($A65),0)&amp;"","")</f>
        <v/>
      </c>
      <c r="B62" s="56" t="str">
        <f>HLOOKUP(DATE($G$3,$H$3,$I$3),DATA!$C:$CS,ROW($B65),0)&amp;""</f>
        <v>02-09 08:51</v>
      </c>
      <c r="C62" s="66" t="str">
        <f t="array" ref="C62">IF($C$1="休息日","查询日休息！",INDEX(DATA!$A:$A,SMALL(COUNTIF($B$1:$B$200,DATA!$A$1:$A$200)/1%%+ROW($A$1:$A$200),ROW(A62)))&amp;"")</f>
        <v/>
      </c>
      <c r="D62" s="67"/>
      <c r="E62" s="67"/>
      <c r="F62" s="67"/>
      <c r="G62" s="67"/>
      <c r="H62" s="67"/>
      <c r="I62" s="67"/>
      <c r="J62" s="71"/>
    </row>
    <row r="63" s="54" customFormat="1" customHeight="1" spans="1:10">
      <c r="A63" s="56" t="str">
        <f ca="1">IFERROR(HLOOKUP(DATE($G$3,$H$3,$I$3),'API1'!$B$2:$CR$46,ROW($A66),0)&amp;"","")</f>
        <v/>
      </c>
      <c r="B63" s="56" t="str">
        <f>HLOOKUP(DATE($G$3,$H$3,$I$3),DATA!$C:$CS,ROW($B66),0)&amp;""</f>
        <v/>
      </c>
      <c r="C63" s="66" t="str">
        <f t="array" ref="C63">IF($C$1="休息日","查询日休息！",INDEX(DATA!$A:$A,SMALL(COUNTIF($B$1:$B$200,DATA!$A$1:$A$200)/1%%+ROW($A$1:$A$200),ROW(A63)))&amp;"")</f>
        <v/>
      </c>
      <c r="D63" s="67"/>
      <c r="E63" s="67"/>
      <c r="F63" s="67"/>
      <c r="G63" s="67"/>
      <c r="H63" s="67"/>
      <c r="I63" s="67"/>
      <c r="J63" s="71"/>
    </row>
    <row r="64" s="54" customFormat="1" customHeight="1" spans="1:10">
      <c r="A64" s="56" t="str">
        <f ca="1">IFERROR(HLOOKUP(DATE($G$3,$H$3,$I$3),'API1'!$B$2:$CR$46,ROW($A67),0)&amp;"","")</f>
        <v/>
      </c>
      <c r="B64" s="56" t="str">
        <f>HLOOKUP(DATE($G$3,$H$3,$I$3),DATA!$C:$CS,ROW($B67),0)&amp;""</f>
        <v/>
      </c>
      <c r="C64" s="66" t="str">
        <f t="array" ref="C64">IF($C$1="休息日","查询日休息！",INDEX(DATA!$A:$A,SMALL(COUNTIF($B$1:$B$200,DATA!$A$1:$A$200)/1%%+ROW($A$1:$A$200),ROW(A64)))&amp;"")</f>
        <v/>
      </c>
      <c r="D64" s="67"/>
      <c r="E64" s="67"/>
      <c r="F64" s="67"/>
      <c r="G64" s="67"/>
      <c r="H64" s="67"/>
      <c r="I64" s="67"/>
      <c r="J64" s="71"/>
    </row>
    <row r="65" s="54" customFormat="1" customHeight="1" spans="1:10">
      <c r="A65" s="56" t="str">
        <f ca="1">IFERROR(HLOOKUP(DATE($G$3,$H$3,$I$3),'API1'!$B$2:$CR$46,ROW($A68),0)&amp;"","")</f>
        <v/>
      </c>
      <c r="B65" s="56" t="str">
        <f>HLOOKUP(DATE($G$3,$H$3,$I$3),DATA!$C:$CS,ROW($B68),0)&amp;""</f>
        <v>黄文辉</v>
      </c>
      <c r="C65" s="66" t="str">
        <f t="array" ref="C65">IF($C$1="休息日","查询日休息！",INDEX(DATA!$A:$A,SMALL(COUNTIF($B$1:$B$200,DATA!$A$1:$A$200)/1%%+ROW($A$1:$A$200),ROW(A65)))&amp;"")</f>
        <v/>
      </c>
      <c r="D65" s="67"/>
      <c r="E65" s="67"/>
      <c r="F65" s="67"/>
      <c r="G65" s="67"/>
      <c r="H65" s="67"/>
      <c r="I65" s="67"/>
      <c r="J65" s="71"/>
    </row>
    <row r="66" s="54" customFormat="1" customHeight="1" spans="1:10">
      <c r="A66" s="56" t="str">
        <f ca="1">IFERROR(HLOOKUP(DATE($G$3,$H$3,$I$3),'API1'!$B$2:$CR$46,ROW($A69),0)&amp;"","")</f>
        <v/>
      </c>
      <c r="B66" s="56" t="str">
        <f>HLOOKUP(DATE($G$3,$H$3,$I$3),DATA!$C:$CS,ROW($B69),0)&amp;""</f>
        <v>02-09 08:43</v>
      </c>
      <c r="C66" s="66" t="str">
        <f t="array" ref="C66">IF($C$1="休息日","查询日休息！",INDEX(DATA!$A:$A,SMALL(COUNTIF($B$1:$B$200,DATA!$A$1:$A$200)/1%%+ROW($A$1:$A$200),ROW(A66)))&amp;"")</f>
        <v/>
      </c>
      <c r="D66" s="67"/>
      <c r="E66" s="67"/>
      <c r="F66" s="67"/>
      <c r="G66" s="67"/>
      <c r="H66" s="67"/>
      <c r="I66" s="67"/>
      <c r="J66" s="71"/>
    </row>
    <row r="67" s="54" customFormat="1" customHeight="1" spans="1:10">
      <c r="A67" s="56" t="str">
        <f ca="1">IFERROR(HLOOKUP(DATE($G$3,$H$3,$I$3),'API1'!$B$2:$CR$46,ROW($A70),0)&amp;"","")</f>
        <v/>
      </c>
      <c r="B67" s="56" t="str">
        <f>HLOOKUP(DATE($G$3,$H$3,$I$3),DATA!$C:$CS,ROW($B70),0)&amp;""</f>
        <v/>
      </c>
      <c r="C67" s="66" t="str">
        <f t="array" ref="C67">IF($C$1="休息日","查询日休息！",INDEX(DATA!$A:$A,SMALL(COUNTIF($B$1:$B$200,DATA!$A$1:$A$200)/1%%+ROW($A$1:$A$200),ROW(A67)))&amp;"")</f>
        <v/>
      </c>
      <c r="D67" s="67"/>
      <c r="E67" s="67"/>
      <c r="F67" s="67"/>
      <c r="G67" s="67"/>
      <c r="H67" s="67"/>
      <c r="I67" s="67"/>
      <c r="J67" s="71"/>
    </row>
    <row r="68" s="54" customFormat="1" customHeight="1" spans="1:10">
      <c r="A68" s="56" t="str">
        <f ca="1">IFERROR(HLOOKUP(DATE($G$3,$H$3,$I$3),'API1'!$B$2:$CR$46,ROW($A71),0)&amp;"","")</f>
        <v/>
      </c>
      <c r="B68" s="56" t="str">
        <f>HLOOKUP(DATE($G$3,$H$3,$I$3),DATA!$C:$CS,ROW($B71),0)&amp;""</f>
        <v>柯雨婷</v>
      </c>
      <c r="C68" s="66" t="str">
        <f t="array" ref="C68">IF($C$1="休息日","查询日休息！",INDEX(DATA!$A:$A,SMALL(COUNTIF($B$1:$B$200,DATA!$A$1:$A$200)/1%%+ROW($A$1:$A$200),ROW(A68)))&amp;"")</f>
        <v/>
      </c>
      <c r="D68" s="67"/>
      <c r="E68" s="67"/>
      <c r="F68" s="67"/>
      <c r="G68" s="67"/>
      <c r="H68" s="67"/>
      <c r="I68" s="67"/>
      <c r="J68" s="71"/>
    </row>
    <row r="69" s="54" customFormat="1" customHeight="1" spans="1:10">
      <c r="A69" s="56" t="str">
        <f ca="1">IFERROR(HLOOKUP(DATE($G$3,$H$3,$I$3),'API1'!$B$2:$CR$46,ROW($A72),0)&amp;"","")</f>
        <v/>
      </c>
      <c r="B69" s="56" t="str">
        <f>HLOOKUP(DATE($G$3,$H$3,$I$3),DATA!$C:$CS,ROW($B72),0)&amp;""</f>
        <v>02-09 08:42</v>
      </c>
      <c r="C69" s="66" t="str">
        <f t="array" ref="C69">IF($C$1="休息日","查询日休息！",INDEX(DATA!$A:$A,SMALL(COUNTIF($B$1:$B$200,DATA!$A$1:$A$200)/1%%+ROW($A$1:$A$200),ROW(A69)))&amp;"")</f>
        <v/>
      </c>
      <c r="D69" s="67"/>
      <c r="E69" s="67"/>
      <c r="F69" s="67"/>
      <c r="G69" s="67"/>
      <c r="H69" s="67"/>
      <c r="I69" s="67"/>
      <c r="J69" s="71"/>
    </row>
    <row r="70" s="54" customFormat="1" customHeight="1" spans="1:10">
      <c r="A70" s="56" t="str">
        <f ca="1">IFERROR(HLOOKUP(DATE($G$3,$H$3,$I$3),'API1'!$B$2:$CR$46,ROW($A73),0)&amp;"","")</f>
        <v/>
      </c>
      <c r="B70" s="56" t="str">
        <f>HLOOKUP(DATE($G$3,$H$3,$I$3),DATA!$C:$CS,ROW($B73),0)&amp;""</f>
        <v/>
      </c>
      <c r="C70" s="66" t="str">
        <f t="array" ref="C70">IF($C$1="休息日","查询日休息！",INDEX(DATA!$A:$A,SMALL(COUNTIF($B$1:$B$200,DATA!$A$1:$A$200)/1%%+ROW($A$1:$A$200),ROW(A70)))&amp;"")</f>
        <v/>
      </c>
      <c r="D70" s="67"/>
      <c r="E70" s="67"/>
      <c r="F70" s="67"/>
      <c r="G70" s="67"/>
      <c r="H70" s="67"/>
      <c r="I70" s="67"/>
      <c r="J70" s="71"/>
    </row>
    <row r="71" s="54" customFormat="1" customHeight="1" spans="1:10">
      <c r="A71" s="56" t="str">
        <f ca="1">IFERROR(HLOOKUP(DATE($G$3,$H$3,$I$3),'API1'!$B$2:$CR$46,ROW($A74),0)&amp;"","")</f>
        <v/>
      </c>
      <c r="B71" s="56" t="str">
        <f>HLOOKUP(DATE($G$3,$H$3,$I$3),DATA!$C:$CS,ROW($B74),0)&amp;""</f>
        <v/>
      </c>
      <c r="C71" s="66" t="str">
        <f t="array" ref="C71">IF($C$1="休息日","查询日休息！",INDEX(DATA!$A:$A,SMALL(COUNTIF($B$1:$B$200,DATA!$A$1:$A$200)/1%%+ROW($A$1:$A$200),ROW(A71)))&amp;"")</f>
        <v/>
      </c>
      <c r="D71" s="67"/>
      <c r="E71" s="67"/>
      <c r="F71" s="67"/>
      <c r="G71" s="67"/>
      <c r="H71" s="67"/>
      <c r="I71" s="67"/>
      <c r="J71" s="71"/>
    </row>
    <row r="72" s="54" customFormat="1" customHeight="1" spans="1:10">
      <c r="A72" s="56" t="str">
        <f ca="1">IFERROR(HLOOKUP(DATE($G$3,$H$3,$I$3),'API1'!$B$2:$CR$46,ROW($A75),0)&amp;"","")</f>
        <v/>
      </c>
      <c r="B72" s="56" t="str">
        <f>HLOOKUP(DATE($G$3,$H$3,$I$3),DATA!$C:$CS,ROW($B75),0)&amp;""</f>
        <v>熊立武</v>
      </c>
      <c r="C72" s="66" t="str">
        <f t="array" ref="C72">IF($C$1="休息日","查询日休息！",INDEX(DATA!$A:$A,SMALL(COUNTIF($B$1:$B$200,DATA!$A$1:$A$200)/1%%+ROW($A$1:$A$200),ROW(A72)))&amp;"")</f>
        <v/>
      </c>
      <c r="D72" s="67"/>
      <c r="E72" s="67"/>
      <c r="F72" s="67"/>
      <c r="G72" s="67"/>
      <c r="H72" s="67"/>
      <c r="I72" s="67"/>
      <c r="J72" s="71"/>
    </row>
    <row r="73" s="54" customFormat="1" customHeight="1" spans="1:10">
      <c r="A73" s="56" t="str">
        <f ca="1">IFERROR(HLOOKUP(DATE($G$3,$H$3,$I$3),'API1'!$B$2:$CR$46,ROW($A76),0)&amp;"","")</f>
        <v/>
      </c>
      <c r="B73" s="56" t="str">
        <f>HLOOKUP(DATE($G$3,$H$3,$I$3),DATA!$C:$CS,ROW($B76),0)&amp;""</f>
        <v>02-09 08:38</v>
      </c>
      <c r="C73" s="66" t="str">
        <f t="array" ref="C73">IF($C$1="休息日","查询日休息！",INDEX(DATA!$A:$A,SMALL(COUNTIF($B$1:$B$200,DATA!$A$1:$A$200)/1%%+ROW($A$1:$A$200),ROW(A73)))&amp;"")</f>
        <v/>
      </c>
      <c r="D73" s="67"/>
      <c r="E73" s="67"/>
      <c r="F73" s="67"/>
      <c r="G73" s="67"/>
      <c r="H73" s="67"/>
      <c r="I73" s="67"/>
      <c r="J73" s="71"/>
    </row>
    <row r="74" s="54" customFormat="1" customHeight="1" spans="1:10">
      <c r="A74" s="56" t="str">
        <f ca="1">IFERROR(HLOOKUP(DATE($G$3,$H$3,$I$3),'API1'!$B$2:$CR$46,ROW($A77),0)&amp;"","")</f>
        <v/>
      </c>
      <c r="B74" s="56" t="str">
        <f>HLOOKUP(DATE($G$3,$H$3,$I$3),DATA!$C:$CS,ROW($B77),0)&amp;""</f>
        <v/>
      </c>
      <c r="C74" s="66" t="str">
        <f t="array" ref="C74">IF($C$1="休息日","查询日休息！",INDEX(DATA!$A:$A,SMALL(COUNTIF($B$1:$B$200,DATA!$A$1:$A$200)/1%%+ROW($A$1:$A$200),ROW(A74)))&amp;"")</f>
        <v/>
      </c>
      <c r="D74" s="67"/>
      <c r="E74" s="67"/>
      <c r="F74" s="67"/>
      <c r="G74" s="67"/>
      <c r="H74" s="67"/>
      <c r="I74" s="67"/>
      <c r="J74" s="71"/>
    </row>
    <row r="75" s="54" customFormat="1" customHeight="1" spans="1:10">
      <c r="A75" s="56" t="str">
        <f ca="1">IFERROR(HLOOKUP(DATE($G$3,$H$3,$I$3),'API1'!$B$2:$CR$46,ROW($A78),0)&amp;"","")</f>
        <v/>
      </c>
      <c r="B75" s="56" t="str">
        <f>HLOOKUP(DATE($G$3,$H$3,$I$3),DATA!$C:$CS,ROW($B78),0)&amp;""</f>
        <v/>
      </c>
      <c r="C75" s="66" t="str">
        <f t="array" ref="C75">IF($C$1="休息日","查询日休息！",INDEX(DATA!$A:$A,SMALL(COUNTIF($B$1:$B$200,DATA!$A$1:$A$200)/1%%+ROW($A$1:$A$200),ROW(A75)))&amp;"")</f>
        <v/>
      </c>
      <c r="D75" s="67"/>
      <c r="E75" s="67"/>
      <c r="F75" s="67"/>
      <c r="G75" s="67"/>
      <c r="H75" s="67"/>
      <c r="I75" s="67"/>
      <c r="J75" s="71"/>
    </row>
    <row r="76" s="54" customFormat="1" customHeight="1" spans="1:10">
      <c r="A76" s="56" t="str">
        <f ca="1">IFERROR(HLOOKUP(DATE($G$3,$H$3,$I$3),'API1'!$B$2:$CR$46,ROW($A79),0)&amp;"","")</f>
        <v/>
      </c>
      <c r="B76" s="56" t="str">
        <f>HLOOKUP(DATE($G$3,$H$3,$I$3),DATA!$C:$CS,ROW($B79),0)&amp;""</f>
        <v>余良成</v>
      </c>
      <c r="C76" s="66" t="str">
        <f t="array" ref="C76">IF($C$1="休息日","查询日休息！",INDEX(DATA!$A:$A,SMALL(COUNTIF($B$1:$B$200,DATA!$A$1:$A$200)/1%%+ROW($A$1:$A$200),ROW(A76)))&amp;"")</f>
        <v/>
      </c>
      <c r="D76" s="67"/>
      <c r="E76" s="67"/>
      <c r="F76" s="67"/>
      <c r="G76" s="67"/>
      <c r="H76" s="67"/>
      <c r="I76" s="67"/>
      <c r="J76" s="71"/>
    </row>
    <row r="77" s="54" customFormat="1" customHeight="1" spans="1:10">
      <c r="A77" s="56" t="str">
        <f ca="1">IFERROR(HLOOKUP(DATE($G$3,$H$3,$I$3),'API1'!$B$2:$CR$46,ROW($A80),0)&amp;"","")</f>
        <v/>
      </c>
      <c r="B77" s="56" t="str">
        <f>HLOOKUP(DATE($G$3,$H$3,$I$3),DATA!$C:$CS,ROW($B80),0)&amp;""</f>
        <v>02-09 08:35</v>
      </c>
      <c r="C77" s="66" t="str">
        <f t="array" ref="C77">IF($C$1="休息日","查询日休息！",INDEX(DATA!$A:$A,SMALL(COUNTIF($B$1:$B$200,DATA!$A$1:$A$200)/1%%+ROW($A$1:$A$200),ROW(A77)))&amp;"")</f>
        <v/>
      </c>
      <c r="D77" s="67"/>
      <c r="E77" s="67"/>
      <c r="F77" s="67"/>
      <c r="G77" s="67"/>
      <c r="H77" s="67"/>
      <c r="I77" s="67"/>
      <c r="J77" s="71"/>
    </row>
    <row r="78" s="54" customFormat="1" customHeight="1" spans="1:10">
      <c r="A78" s="56" t="str">
        <f ca="1">IFERROR(HLOOKUP(DATE($G$3,$H$3,$I$3),'API1'!$B$2:$CR$46,ROW($A81),0)&amp;"","")</f>
        <v/>
      </c>
      <c r="B78" s="56" t="str">
        <f>HLOOKUP(DATE($G$3,$H$3,$I$3),DATA!$C:$CS,ROW($B81),0)&amp;""</f>
        <v/>
      </c>
      <c r="C78" s="66" t="str">
        <f t="array" ref="C78">IF($C$1="休息日","查询日休息！",INDEX(DATA!$A:$A,SMALL(COUNTIF($B$1:$B$200,DATA!$A$1:$A$200)/1%%+ROW($A$1:$A$200),ROW(A78)))&amp;"")</f>
        <v/>
      </c>
      <c r="D78" s="67"/>
      <c r="E78" s="67"/>
      <c r="F78" s="67"/>
      <c r="G78" s="67"/>
      <c r="H78" s="67"/>
      <c r="I78" s="67"/>
      <c r="J78" s="71"/>
    </row>
    <row r="79" s="54" customFormat="1" customHeight="1" spans="1:10">
      <c r="A79" s="56" t="str">
        <f ca="1">IFERROR(HLOOKUP(DATE($G$3,$H$3,$I$3),'API1'!$B$2:$CR$46,ROW($A82),0)&amp;"","")</f>
        <v/>
      </c>
      <c r="B79" s="56" t="str">
        <f>HLOOKUP(DATE($G$3,$H$3,$I$3),DATA!$C:$CS,ROW($B82),0)&amp;""</f>
        <v>黄锐</v>
      </c>
      <c r="C79" s="66" t="str">
        <f t="array" ref="C79">IF($C$1="休息日","查询日休息！",INDEX(DATA!$A:$A,SMALL(COUNTIF($B$1:$B$200,DATA!$A$1:$A$200)/1%%+ROW($A$1:$A$200),ROW(A79)))&amp;"")</f>
        <v/>
      </c>
      <c r="D79" s="67"/>
      <c r="E79" s="67"/>
      <c r="F79" s="67"/>
      <c r="G79" s="67"/>
      <c r="H79" s="67"/>
      <c r="I79" s="67"/>
      <c r="J79" s="71"/>
    </row>
    <row r="80" s="54" customFormat="1" customHeight="1" spans="1:10">
      <c r="A80" s="56" t="str">
        <f ca="1">IFERROR(HLOOKUP(DATE($G$3,$H$3,$I$3),'API1'!$B$2:$CR$46,ROW($A83),0)&amp;"","")</f>
        <v/>
      </c>
      <c r="B80" s="56" t="str">
        <f>HLOOKUP(DATE($G$3,$H$3,$I$3),DATA!$C:$CS,ROW($B83),0)&amp;""</f>
        <v>02-09 08:23</v>
      </c>
      <c r="C80" s="66" t="str">
        <f t="array" ref="C80">IF($C$1="休息日","查询日休息！",INDEX(DATA!$A:$A,SMALL(COUNTIF($B$1:$B$200,DATA!$A$1:$A$200)/1%%+ROW($A$1:$A$200),ROW(A80)))&amp;"")</f>
        <v/>
      </c>
      <c r="D80" s="67"/>
      <c r="E80" s="67"/>
      <c r="F80" s="67"/>
      <c r="G80" s="67"/>
      <c r="H80" s="67"/>
      <c r="I80" s="67"/>
      <c r="J80" s="71"/>
    </row>
    <row r="81" s="54" customFormat="1" customHeight="1" spans="1:10">
      <c r="A81" s="56" t="str">
        <f ca="1">IFERROR(HLOOKUP(DATE($G$3,$H$3,$I$3),'API1'!$B$2:$CR$46,ROW($A84),0)&amp;"","")</f>
        <v/>
      </c>
      <c r="B81" s="56" t="str">
        <f>HLOOKUP(DATE($G$3,$H$3,$I$3),DATA!$C:$CS,ROW($B84),0)&amp;""</f>
        <v/>
      </c>
      <c r="C81" s="66" t="str">
        <f t="array" ref="C81">IF($C$1="休息日","查询日休息！",INDEX(DATA!$A:$A,SMALL(COUNTIF($B$1:$B$200,DATA!$A$1:$A$200)/1%%+ROW($A$1:$A$200),ROW(A81)))&amp;"")</f>
        <v/>
      </c>
      <c r="D81" s="67"/>
      <c r="E81" s="67"/>
      <c r="F81" s="67"/>
      <c r="G81" s="67"/>
      <c r="H81" s="67"/>
      <c r="I81" s="67"/>
      <c r="J81" s="71"/>
    </row>
    <row r="82" s="54" customFormat="1" customHeight="1" spans="1:10">
      <c r="A82" s="56" t="str">
        <f ca="1">IFERROR(HLOOKUP(DATE($G$3,$H$3,$I$3),'API1'!$B$2:$CR$46,ROW($A85),0)&amp;"","")</f>
        <v/>
      </c>
      <c r="B82" s="56" t="str">
        <f>HLOOKUP(DATE($G$3,$H$3,$I$3),DATA!$C:$CS,ROW($B85),0)&amp;""</f>
        <v/>
      </c>
      <c r="C82" s="66" t="str">
        <f t="array" ref="C82">IF($C$1="休息日","查询日休息！",INDEX(DATA!$A:$A,SMALL(COUNTIF($B$1:$B$200,DATA!$A$1:$A$200)/1%%+ROW($A$1:$A$200),ROW(A82)))&amp;"")</f>
        <v/>
      </c>
      <c r="D82" s="67"/>
      <c r="E82" s="67"/>
      <c r="F82" s="67"/>
      <c r="G82" s="67"/>
      <c r="H82" s="67"/>
      <c r="I82" s="67"/>
      <c r="J82" s="71"/>
    </row>
    <row r="83" s="54" customFormat="1" customHeight="1" spans="1:10">
      <c r="A83" s="56" t="str">
        <f ca="1">IFERROR(HLOOKUP(DATE($G$3,$H$3,$I$3),'API1'!$B$2:$CR$46,ROW($A86),0)&amp;"","")</f>
        <v/>
      </c>
      <c r="B83" s="56" t="str">
        <f>HLOOKUP(DATE($G$3,$H$3,$I$3),DATA!$C:$CS,ROW($B86),0)&amp;""</f>
        <v>涂天赐</v>
      </c>
      <c r="C83" s="66" t="str">
        <f t="array" ref="C83">IF($C$1="休息日","查询日休息！",INDEX(DATA!$A:$A,SMALL(COUNTIF($B$1:$B$200,DATA!$A$1:$A$200)/1%%+ROW($A$1:$A$200),ROW(A83)))&amp;"")</f>
        <v/>
      </c>
      <c r="D83" s="67"/>
      <c r="E83" s="67"/>
      <c r="F83" s="67"/>
      <c r="G83" s="67"/>
      <c r="H83" s="67"/>
      <c r="I83" s="67"/>
      <c r="J83" s="71"/>
    </row>
    <row r="84" s="54" customFormat="1" customHeight="1" spans="1:10">
      <c r="A84" s="56" t="str">
        <f ca="1">IFERROR(HLOOKUP(DATE($G$3,$H$3,$I$3),'API1'!$B$2:$CR$46,ROW($A87),0)&amp;"","")</f>
        <v/>
      </c>
      <c r="B84" s="56" t="str">
        <f>HLOOKUP(DATE($G$3,$H$3,$I$3),DATA!$C:$CS,ROW($B87),0)&amp;""</f>
        <v>02-09 08:20</v>
      </c>
      <c r="C84" s="66" t="str">
        <f t="array" ref="C84">IF($C$1="休息日","查询日休息！",INDEX(DATA!$A:$A,SMALL(COUNTIF($B$1:$B$200,DATA!$A$1:$A$200)/1%%+ROW($A$1:$A$200),ROW(A84)))&amp;"")</f>
        <v/>
      </c>
      <c r="D84" s="67"/>
      <c r="E84" s="67"/>
      <c r="F84" s="67"/>
      <c r="G84" s="67"/>
      <c r="H84" s="67"/>
      <c r="I84" s="67"/>
      <c r="J84" s="71"/>
    </row>
    <row r="85" s="54" customFormat="1" customHeight="1" spans="1:10">
      <c r="A85" s="56" t="str">
        <f ca="1">IFERROR(HLOOKUP(DATE($G$3,$H$3,$I$3),'API1'!$B$2:$CR$46,ROW($A88),0)&amp;"","")</f>
        <v/>
      </c>
      <c r="B85" s="56" t="str">
        <f>HLOOKUP(DATE($G$3,$H$3,$I$3),DATA!$C:$CS,ROW($B88),0)&amp;""</f>
        <v/>
      </c>
      <c r="C85" s="66" t="str">
        <f t="array" ref="C85">IF($C$1="休息日","查询日休息！",INDEX(DATA!$A:$A,SMALL(COUNTIF($B$1:$B$200,DATA!$A$1:$A$200)/1%%+ROW($A$1:$A$200),ROW(A85)))&amp;"")</f>
        <v/>
      </c>
      <c r="D85" s="67"/>
      <c r="E85" s="67"/>
      <c r="F85" s="67"/>
      <c r="G85" s="67"/>
      <c r="H85" s="67"/>
      <c r="I85" s="67"/>
      <c r="J85" s="71"/>
    </row>
    <row r="86" s="54" customFormat="1" customHeight="1" spans="1:10">
      <c r="A86" s="56" t="str">
        <f ca="1">IFERROR(HLOOKUP(DATE($G$3,$H$3,$I$3),'API1'!$B$2:$CR$46,ROW($A89),0)&amp;"","")</f>
        <v/>
      </c>
      <c r="B86" s="56" t="str">
        <f>HLOOKUP(DATE($G$3,$H$3,$I$3),DATA!$C:$CS,ROW($B89),0)&amp;""</f>
        <v/>
      </c>
      <c r="C86" s="66" t="str">
        <f t="array" ref="C86">IF($C$1="休息日","查询日休息！",INDEX(DATA!$A:$A,SMALL(COUNTIF($B$1:$B$200,DATA!$A$1:$A$200)/1%%+ROW($A$1:$A$200),ROW(A86)))&amp;"")</f>
        <v/>
      </c>
      <c r="D86" s="67"/>
      <c r="E86" s="67"/>
      <c r="F86" s="67"/>
      <c r="G86" s="67"/>
      <c r="H86" s="67"/>
      <c r="I86" s="67"/>
      <c r="J86" s="71"/>
    </row>
    <row r="87" s="54" customFormat="1" customHeight="1" spans="1:10">
      <c r="A87" s="56" t="str">
        <f ca="1">IFERROR(HLOOKUP(DATE($G$3,$H$3,$I$3),'API1'!$B$2:$CR$46,ROW($A90),0)&amp;"","")</f>
        <v/>
      </c>
      <c r="B87" s="56" t="str">
        <f>HLOOKUP(DATE($G$3,$H$3,$I$3),DATA!$C:$CS,ROW($B90),0)&amp;""</f>
        <v>周浩</v>
      </c>
      <c r="C87" s="66" t="str">
        <f t="array" ref="C87">IF($C$1="休息日","查询日休息！",INDEX(DATA!$A:$A,SMALL(COUNTIF($B$1:$B$200,DATA!$A$1:$A$200)/1%%+ROW($A$1:$A$200),ROW(A87)))&amp;"")</f>
        <v/>
      </c>
      <c r="D87" s="67"/>
      <c r="E87" s="67"/>
      <c r="F87" s="67"/>
      <c r="G87" s="67"/>
      <c r="H87" s="67"/>
      <c r="I87" s="67"/>
      <c r="J87" s="71"/>
    </row>
    <row r="88" s="54" customFormat="1" customHeight="1" spans="1:10">
      <c r="A88" s="56" t="str">
        <f ca="1">IFERROR(HLOOKUP(DATE($G$3,$H$3,$I$3),'API1'!$B$2:$CR$46,ROW($A91),0)&amp;"","")</f>
        <v/>
      </c>
      <c r="B88" s="56" t="str">
        <f>HLOOKUP(DATE($G$3,$H$3,$I$3),DATA!$C:$CS,ROW($B91),0)&amp;""</f>
        <v>02-09 08:19</v>
      </c>
      <c r="C88" s="66" t="str">
        <f t="array" ref="C88">IF($C$1="休息日","查询日休息！",INDEX(DATA!$A:$A,SMALL(COUNTIF($B$1:$B$200,DATA!$A$1:$A$200)/1%%+ROW($A$1:$A$200),ROW(A88)))&amp;"")</f>
        <v/>
      </c>
      <c r="D88" s="67"/>
      <c r="E88" s="67"/>
      <c r="F88" s="67"/>
      <c r="G88" s="67"/>
      <c r="H88" s="67"/>
      <c r="I88" s="67"/>
      <c r="J88" s="71"/>
    </row>
    <row r="89" s="54" customFormat="1" customHeight="1" spans="1:10">
      <c r="A89" s="56" t="str">
        <f ca="1">IFERROR(HLOOKUP(DATE($G$3,$H$3,$I$3),'API1'!$B$2:$CR$46,ROW($A92),0)&amp;"","")</f>
        <v/>
      </c>
      <c r="B89" s="56" t="str">
        <f>HLOOKUP(DATE($G$3,$H$3,$I$3),DATA!$C:$CS,ROW($B92),0)&amp;""</f>
        <v/>
      </c>
      <c r="C89" s="66" t="str">
        <f t="array" ref="C89">IF($C$1="休息日","查询日休息！",INDEX(DATA!$A:$A,SMALL(COUNTIF($B$1:$B$200,DATA!$A$1:$A$200)/1%%+ROW($A$1:$A$200),ROW(A89)))&amp;"")</f>
        <v/>
      </c>
      <c r="D89" s="67"/>
      <c r="E89" s="67"/>
      <c r="F89" s="67"/>
      <c r="G89" s="67"/>
      <c r="H89" s="67"/>
      <c r="I89" s="67"/>
      <c r="J89" s="71"/>
    </row>
    <row r="90" s="54" customFormat="1" customHeight="1" spans="1:10">
      <c r="A90" s="56" t="str">
        <f ca="1">IFERROR(HLOOKUP(DATE($G$3,$H$3,$I$3),'API1'!$B$2:$CR$46,ROW($A93),0)&amp;"","")</f>
        <v/>
      </c>
      <c r="B90" s="56" t="str">
        <f>HLOOKUP(DATE($G$3,$H$3,$I$3),DATA!$C:$CS,ROW($B93),0)&amp;""</f>
        <v>项康乐</v>
      </c>
      <c r="C90" s="66" t="str">
        <f t="array" ref="C90">IF($C$1="休息日","查询日休息！",INDEX(DATA!$A:$A,SMALL(COUNTIF($B$1:$B$200,DATA!$A$1:$A$200)/1%%+ROW($A$1:$A$200),ROW(A90)))&amp;"")</f>
        <v/>
      </c>
      <c r="D90" s="67"/>
      <c r="E90" s="67"/>
      <c r="F90" s="67"/>
      <c r="G90" s="67"/>
      <c r="H90" s="67"/>
      <c r="I90" s="67"/>
      <c r="J90" s="71"/>
    </row>
    <row r="91" s="54" customFormat="1" customHeight="1" spans="1:10">
      <c r="A91" s="56" t="str">
        <f ca="1">IFERROR(HLOOKUP(DATE($G$3,$H$3,$I$3),'API1'!$B$2:$CR$46,ROW($A94),0)&amp;"","")</f>
        <v/>
      </c>
      <c r="B91" s="56" t="str">
        <f>HLOOKUP(DATE($G$3,$H$3,$I$3),DATA!$C:$CS,ROW($B94),0)&amp;""</f>
        <v>02-09 08:18</v>
      </c>
      <c r="C91" s="66" t="str">
        <f t="array" ref="C91">IF($C$1="休息日","查询日休息！",INDEX(DATA!$A:$A,SMALL(COUNTIF($B$1:$B$200,DATA!$A$1:$A$200)/1%%+ROW($A$1:$A$200),ROW(A91)))&amp;"")</f>
        <v/>
      </c>
      <c r="D91" s="67"/>
      <c r="E91" s="67"/>
      <c r="F91" s="67"/>
      <c r="G91" s="67"/>
      <c r="H91" s="67"/>
      <c r="I91" s="67"/>
      <c r="J91" s="71"/>
    </row>
    <row r="92" s="54" customFormat="1" customHeight="1" spans="1:10">
      <c r="A92" s="56" t="str">
        <f ca="1">IFERROR(HLOOKUP(DATE($G$3,$H$3,$I$3),'API1'!$B$2:$CR$46,ROW($A95),0)&amp;"","")</f>
        <v/>
      </c>
      <c r="B92" s="56" t="str">
        <f>HLOOKUP(DATE($G$3,$H$3,$I$3),DATA!$C:$CS,ROW($B95),0)&amp;""</f>
        <v/>
      </c>
      <c r="C92" s="66" t="str">
        <f t="array" ref="C92">IF($C$1="休息日","查询日休息！",INDEX(DATA!$A:$A,SMALL(COUNTIF($B$1:$B$200,DATA!$A$1:$A$200)/1%%+ROW($A$1:$A$200),ROW(A92)))&amp;"")</f>
        <v/>
      </c>
      <c r="D92" s="67"/>
      <c r="E92" s="67"/>
      <c r="F92" s="67"/>
      <c r="G92" s="67"/>
      <c r="H92" s="67"/>
      <c r="I92" s="67"/>
      <c r="J92" s="71"/>
    </row>
    <row r="93" s="54" customFormat="1" customHeight="1" spans="1:10">
      <c r="A93" s="56" t="str">
        <f ca="1">IFERROR(HLOOKUP(DATE($G$3,$H$3,$I$3),'API1'!$B$2:$CR$46,ROW($A96),0)&amp;"","")</f>
        <v/>
      </c>
      <c r="B93" s="56" t="str">
        <f>HLOOKUP(DATE($G$3,$H$3,$I$3),DATA!$C:$CS,ROW($B96),0)&amp;""</f>
        <v/>
      </c>
      <c r="C93" s="66" t="str">
        <f t="array" ref="C93">IF($C$1="休息日","查询日休息！",INDEX(DATA!$A:$A,SMALL(COUNTIF($B$1:$B$200,DATA!$A$1:$A$200)/1%%+ROW($A$1:$A$200),ROW(A93)))&amp;"")</f>
        <v/>
      </c>
      <c r="D93" s="67"/>
      <c r="E93" s="67"/>
      <c r="F93" s="67"/>
      <c r="G93" s="67"/>
      <c r="H93" s="67"/>
      <c r="I93" s="67"/>
      <c r="J93" s="71"/>
    </row>
    <row r="94" s="54" customFormat="1" customHeight="1" spans="1:10">
      <c r="A94" s="56" t="str">
        <f ca="1">IFERROR(HLOOKUP(DATE($G$3,$H$3,$I$3),'API1'!$B$2:$CR$46,ROW($A97),0)&amp;"","")</f>
        <v/>
      </c>
      <c r="B94" s="56" t="str">
        <f>HLOOKUP(DATE($G$3,$H$3,$I$3),DATA!$C:$CS,ROW($B97),0)&amp;""</f>
        <v>赵卓然</v>
      </c>
      <c r="C94" s="66" t="str">
        <f t="array" ref="C94">IF($C$1="休息日","查询日休息！",INDEX(DATA!$A:$A,SMALL(COUNTIF($B$1:$B$200,DATA!$A$1:$A$200)/1%%+ROW($A$1:$A$200),ROW(A94)))&amp;"")</f>
        <v/>
      </c>
      <c r="D94" s="67"/>
      <c r="E94" s="67"/>
      <c r="F94" s="67"/>
      <c r="G94" s="67"/>
      <c r="H94" s="67"/>
      <c r="I94" s="67"/>
      <c r="J94" s="71"/>
    </row>
    <row r="95" s="54" customFormat="1" customHeight="1" spans="1:10">
      <c r="A95" s="56" t="str">
        <f ca="1">IFERROR(HLOOKUP(DATE($G$3,$H$3,$I$3),'API1'!$B$2:$CR$46,ROW($A98),0)&amp;"","")</f>
        <v/>
      </c>
      <c r="B95" s="56" t="str">
        <f>HLOOKUP(DATE($G$3,$H$3,$I$3),DATA!$C:$CS,ROW($B98),0)&amp;""</f>
        <v>02-09 08:17</v>
      </c>
      <c r="C95" s="66" t="str">
        <f t="array" ref="C95">IF($C$1="休息日","查询日休息！",INDEX(DATA!$A:$A,SMALL(COUNTIF($B$1:$B$200,DATA!$A$1:$A$200)/1%%+ROW($A$1:$A$200),ROW(A95)))&amp;"")</f>
        <v/>
      </c>
      <c r="D95" s="67"/>
      <c r="E95" s="67"/>
      <c r="F95" s="67"/>
      <c r="G95" s="67"/>
      <c r="H95" s="67"/>
      <c r="I95" s="67"/>
      <c r="J95" s="71"/>
    </row>
    <row r="96" s="54" customFormat="1" customHeight="1" spans="1:10">
      <c r="A96" s="56" t="str">
        <f ca="1">IFERROR(HLOOKUP(DATE($G$3,$H$3,$I$3),'API1'!$B$2:$CR$46,ROW($A99),0)&amp;"","")</f>
        <v/>
      </c>
      <c r="B96" s="56" t="str">
        <f>HLOOKUP(DATE($G$3,$H$3,$I$3),DATA!$C:$CS,ROW($B99),0)&amp;""</f>
        <v/>
      </c>
      <c r="C96" s="66" t="str">
        <f t="array" ref="C96">IF($C$1="休息日","查询日休息！",INDEX(DATA!$A:$A,SMALL(COUNTIF($B$1:$B$200,DATA!$A$1:$A$200)/1%%+ROW($A$1:$A$200),ROW(A96)))&amp;"")</f>
        <v/>
      </c>
      <c r="D96" s="67"/>
      <c r="E96" s="67"/>
      <c r="F96" s="67"/>
      <c r="G96" s="67"/>
      <c r="H96" s="67"/>
      <c r="I96" s="67"/>
      <c r="J96" s="71"/>
    </row>
    <row r="97" s="54" customFormat="1" customHeight="1" spans="1:10">
      <c r="A97" s="56" t="str">
        <f ca="1">IFERROR(HLOOKUP(DATE($G$3,$H$3,$I$3),'API1'!$B$2:$CR$46,ROW($A100),0)&amp;"","")</f>
        <v/>
      </c>
      <c r="B97" s="56" t="str">
        <f>HLOOKUP(DATE($G$3,$H$3,$I$3),DATA!$C:$CS,ROW($B100),0)&amp;""</f>
        <v/>
      </c>
      <c r="C97" s="66" t="str">
        <f t="array" ref="C97">IF($C$1="休息日","查询日休息！",INDEX(DATA!$A:$A,SMALL(COUNTIF($B$1:$B$200,DATA!$A$1:$A$200)/1%%+ROW($A$1:$A$200),ROW(A97)))&amp;"")</f>
        <v/>
      </c>
      <c r="D97" s="67"/>
      <c r="E97" s="67"/>
      <c r="F97" s="67"/>
      <c r="G97" s="67"/>
      <c r="H97" s="67"/>
      <c r="I97" s="67"/>
      <c r="J97" s="71"/>
    </row>
    <row r="98" s="54" customFormat="1" customHeight="1" spans="1:10">
      <c r="A98" s="56" t="str">
        <f ca="1">IFERROR(HLOOKUP(DATE($G$3,$H$3,$I$3),'API1'!$B$2:$CR$46,ROW($A101),0)&amp;"","")</f>
        <v/>
      </c>
      <c r="B98" s="56" t="str">
        <f>HLOOKUP(DATE($G$3,$H$3,$I$3),DATA!$C:$CS,ROW($B101),0)&amp;""</f>
        <v>黄璟亮</v>
      </c>
      <c r="C98" s="66" t="str">
        <f t="array" ref="C98">IF($C$1="休息日","查询日休息！",INDEX(DATA!$A:$A,SMALL(COUNTIF($B$1:$B$200,DATA!$A$1:$A$200)/1%%+ROW($A$1:$A$200),ROW(A98)))&amp;"")</f>
        <v/>
      </c>
      <c r="D98" s="67"/>
      <c r="E98" s="67"/>
      <c r="F98" s="67"/>
      <c r="G98" s="67"/>
      <c r="H98" s="67"/>
      <c r="I98" s="67"/>
      <c r="J98" s="71"/>
    </row>
    <row r="99" s="54" customFormat="1" customHeight="1" spans="1:10">
      <c r="A99" s="56" t="str">
        <f ca="1">IFERROR(HLOOKUP(DATE($G$3,$H$3,$I$3),'API1'!$B$2:$CR$46,ROW($A102),0)&amp;"","")</f>
        <v/>
      </c>
      <c r="B99" s="56" t="str">
        <f>HLOOKUP(DATE($G$3,$H$3,$I$3),DATA!$C:$CS,ROW($B102),0)&amp;""</f>
        <v>02-09 08:02</v>
      </c>
      <c r="C99" s="66" t="str">
        <f t="array" ref="C99">IF($C$1="休息日","查询日休息！",INDEX(DATA!$A:$A,SMALL(COUNTIF($B$1:$B$200,DATA!$A$1:$A$200)/1%%+ROW($A$1:$A$200),ROW(A99)))&amp;"")</f>
        <v/>
      </c>
      <c r="D99" s="67"/>
      <c r="E99" s="67"/>
      <c r="F99" s="67"/>
      <c r="G99" s="67"/>
      <c r="H99" s="67"/>
      <c r="I99" s="67"/>
      <c r="J99" s="71"/>
    </row>
    <row r="100" s="54" customFormat="1" customHeight="1" spans="1:10">
      <c r="A100" s="56" t="str">
        <f ca="1">IFERROR(HLOOKUP(DATE($G$3,$H$3,$I$3),'API1'!$B$2:$CR$46,ROW($A103),0)&amp;"","")</f>
        <v/>
      </c>
      <c r="B100" s="56" t="str">
        <f>HLOOKUP(DATE($G$3,$H$3,$I$3),DATA!$C:$CS,ROW($B103),0)&amp;""</f>
        <v/>
      </c>
      <c r="C100" s="66" t="str">
        <f t="array" ref="C100">IF($C$1="休息日","查询日休息！",INDEX(DATA!$A:$A,SMALL(COUNTIF($B$1:$B$200,DATA!$A$1:$A$200)/1%%+ROW($A$1:$A$200),ROW(A100)))&amp;"")</f>
        <v/>
      </c>
      <c r="D100" s="67"/>
      <c r="E100" s="67"/>
      <c r="F100" s="67"/>
      <c r="G100" s="67"/>
      <c r="H100" s="67"/>
      <c r="I100" s="67"/>
      <c r="J100" s="71"/>
    </row>
    <row r="101" s="54" customFormat="1" customHeight="1" spans="1:10">
      <c r="A101" s="56" t="str">
        <f ca="1">IFERROR(HLOOKUP(DATE($G$3,$H$3,$I$3),'API1'!$B$2:$CR$46,ROW($A104),0)&amp;"","")</f>
        <v/>
      </c>
      <c r="B101" s="56" t="str">
        <f>HLOOKUP(DATE($G$3,$H$3,$I$3),DATA!$C:$CS,ROW($B104),0)&amp;""</f>
        <v>翁凯凯</v>
      </c>
      <c r="C101" s="66" t="str">
        <f t="array" ref="C101">IF($C$1="休息日","查询日休息！",INDEX(DATA!$A:$A,SMALL(COUNTIF($B$1:$B$200,DATA!$A$1:$A$200)/1%%+ROW($A$1:$A$200),ROW(A101)))&amp;"")</f>
        <v/>
      </c>
      <c r="D101" s="67"/>
      <c r="E101" s="67"/>
      <c r="F101" s="67"/>
      <c r="G101" s="67"/>
      <c r="H101" s="67"/>
      <c r="I101" s="67"/>
      <c r="J101" s="71"/>
    </row>
    <row r="102" s="54" customFormat="1" customHeight="1" spans="1:10">
      <c r="A102" s="56" t="str">
        <f ca="1">IFERROR(HLOOKUP(DATE($G$3,$H$3,$I$3),'API1'!$B$2:$CR$46,ROW($A105),0)&amp;"","")</f>
        <v/>
      </c>
      <c r="B102" s="56" t="str">
        <f>HLOOKUP(DATE($G$3,$H$3,$I$3),DATA!$C:$CS,ROW($B105),0)&amp;""</f>
        <v>02-09 07:58</v>
      </c>
      <c r="C102" s="66" t="str">
        <f t="array" ref="C102">IF($C$1="休息日","查询日休息！",INDEX(DATA!$A:$A,SMALL(COUNTIF($B$1:$B$200,DATA!$A$1:$A$200)/1%%+ROW($A$1:$A$200),ROW(A102)))&amp;"")</f>
        <v/>
      </c>
      <c r="D102" s="67"/>
      <c r="E102" s="67"/>
      <c r="F102" s="67"/>
      <c r="G102" s="67"/>
      <c r="H102" s="67"/>
      <c r="I102" s="67"/>
      <c r="J102" s="71"/>
    </row>
    <row r="103" s="54" customFormat="1" customHeight="1" spans="1:10">
      <c r="A103" s="56" t="str">
        <f ca="1">IFERROR(HLOOKUP(DATE($G$3,$H$3,$I$3),'API1'!$B$2:$CR$46,ROW($A106),0)&amp;"","")</f>
        <v/>
      </c>
      <c r="B103" s="56" t="str">
        <f>HLOOKUP(DATE($G$3,$H$3,$I$3),DATA!$C:$CS,ROW($B106),0)&amp;""</f>
        <v/>
      </c>
      <c r="C103" s="66" t="str">
        <f t="array" ref="C103">IF($C$1="休息日","查询日休息！",INDEX(DATA!$A:$A,SMALL(COUNTIF($B$1:$B$200,DATA!$A$1:$A$200)/1%%+ROW($A$1:$A$200),ROW(A103)))&amp;"")</f>
        <v/>
      </c>
      <c r="D103" s="67"/>
      <c r="E103" s="67"/>
      <c r="F103" s="67"/>
      <c r="G103" s="67"/>
      <c r="H103" s="67"/>
      <c r="I103" s="67"/>
      <c r="J103" s="71"/>
    </row>
    <row r="104" s="54" customFormat="1" customHeight="1" spans="1:10">
      <c r="A104" s="56" t="str">
        <f ca="1">IFERROR(HLOOKUP(DATE($G$3,$H$3,$I$3),'API1'!$B$2:$CR$46,ROW($A107),0)&amp;"","")</f>
        <v/>
      </c>
      <c r="B104" s="56" t="str">
        <f>HLOOKUP(DATE($G$3,$H$3,$I$3),DATA!$C:$CS,ROW($B107),0)&amp;""</f>
        <v/>
      </c>
      <c r="C104" s="66" t="str">
        <f t="array" ref="C104">IF($C$1="休息日","查询日休息！",INDEX(DATA!$A:$A,SMALL(COUNTIF($B$1:$B$200,DATA!$A$1:$A$200)/1%%+ROW($A$1:$A$200),ROW(A104)))&amp;"")</f>
        <v/>
      </c>
      <c r="D104" s="67"/>
      <c r="E104" s="67"/>
      <c r="F104" s="67"/>
      <c r="G104" s="67"/>
      <c r="H104" s="67"/>
      <c r="I104" s="67"/>
      <c r="J104" s="71"/>
    </row>
    <row r="105" s="54" customFormat="1" customHeight="1" spans="1:10">
      <c r="A105" s="56" t="str">
        <f ca="1">IFERROR(HLOOKUP(DATE($G$3,$H$3,$I$3),'API1'!$B$2:$CR$46,ROW($A108),0)&amp;"","")</f>
        <v/>
      </c>
      <c r="B105" s="56" t="str">
        <f>HLOOKUP(DATE($G$3,$H$3,$I$3),DATA!$C:$CS,ROW($B108),0)&amp;""</f>
        <v>徐文锃</v>
      </c>
      <c r="C105" s="66" t="str">
        <f t="array" ref="C105">IF($C$1="休息日","查询日休息！",INDEX(DATA!$A:$A,SMALL(COUNTIF($B$1:$B$200,DATA!$A$1:$A$200)/1%%+ROW($A$1:$A$200),ROW(A105)))&amp;"")</f>
        <v/>
      </c>
      <c r="D105" s="67"/>
      <c r="E105" s="67"/>
      <c r="F105" s="67"/>
      <c r="G105" s="67"/>
      <c r="H105" s="67"/>
      <c r="I105" s="67"/>
      <c r="J105" s="71"/>
    </row>
    <row r="106" s="54" customFormat="1" customHeight="1" spans="1:10">
      <c r="A106" s="56" t="str">
        <f ca="1">IFERROR(HLOOKUP(DATE($G$3,$H$3,$I$3),'API1'!$B$2:$CR$46,ROW($A109),0)&amp;"","")</f>
        <v/>
      </c>
      <c r="B106" s="56" t="str">
        <f>HLOOKUP(DATE($G$3,$H$3,$I$3),DATA!$C:$CS,ROW($B109),0)&amp;""</f>
        <v>02-09 07:55</v>
      </c>
      <c r="C106" s="66" t="str">
        <f t="array" ref="C106">IF($C$1="休息日","查询日休息！",INDEX(DATA!$A:$A,SMALL(COUNTIF($B$1:$B$200,DATA!$A$1:$A$200)/1%%+ROW($A$1:$A$200),ROW(A106)))&amp;"")</f>
        <v/>
      </c>
      <c r="D106" s="67"/>
      <c r="E106" s="67"/>
      <c r="F106" s="67"/>
      <c r="G106" s="67"/>
      <c r="H106" s="67"/>
      <c r="I106" s="67"/>
      <c r="J106" s="71"/>
    </row>
    <row r="107" s="54" customFormat="1" customHeight="1" spans="1:10">
      <c r="A107" s="56" t="str">
        <f ca="1">IFERROR(HLOOKUP(DATE($G$3,$H$3,$I$3),'API1'!$B$2:$CR$46,ROW($A110),0)&amp;"","")</f>
        <v/>
      </c>
      <c r="B107" s="56" t="str">
        <f>HLOOKUP(DATE($G$3,$H$3,$I$3),DATA!$C:$CS,ROW($B110),0)&amp;""</f>
        <v/>
      </c>
      <c r="C107" s="66" t="str">
        <f t="array" ref="C107">IF($C$1="休息日","查询日休息！",INDEX(DATA!$A:$A,SMALL(COUNTIF($B$1:$B$200,DATA!$A$1:$A$200)/1%%+ROW($A$1:$A$200),ROW(A107)))&amp;"")</f>
        <v/>
      </c>
      <c r="D107" s="67"/>
      <c r="E107" s="67"/>
      <c r="F107" s="67"/>
      <c r="G107" s="67"/>
      <c r="H107" s="67"/>
      <c r="I107" s="67"/>
      <c r="J107" s="71"/>
    </row>
    <row r="108" s="54" customFormat="1" customHeight="1" spans="1:10">
      <c r="A108" s="56" t="str">
        <f ca="1">IFERROR(HLOOKUP(DATE($G$3,$H$3,$I$3),'API1'!$B$2:$CR$46,ROW($A111),0)&amp;"","")</f>
        <v/>
      </c>
      <c r="B108" s="56" t="str">
        <f>HLOOKUP(DATE($G$3,$H$3,$I$3),DATA!$C:$CS,ROW($B111),0)&amp;""</f>
        <v/>
      </c>
      <c r="C108" s="66" t="str">
        <f t="array" ref="C108">IF($C$1="休息日","查询日休息！",INDEX(DATA!$A:$A,SMALL(COUNTIF($B$1:$B$200,DATA!$A$1:$A$200)/1%%+ROW($A$1:$A$200),ROW(A108)))&amp;"")</f>
        <v/>
      </c>
      <c r="D108" s="67"/>
      <c r="E108" s="67"/>
      <c r="F108" s="67"/>
      <c r="G108" s="67"/>
      <c r="H108" s="67"/>
      <c r="I108" s="67"/>
      <c r="J108" s="71"/>
    </row>
    <row r="109" s="54" customFormat="1" customHeight="1" spans="1:10">
      <c r="A109" s="56" t="str">
        <f ca="1">IFERROR(HLOOKUP(DATE($G$3,$H$3,$I$3),'API1'!$B$2:$CR$46,ROW($A112),0)&amp;"","")</f>
        <v/>
      </c>
      <c r="B109" s="56" t="str">
        <f>HLOOKUP(DATE($G$3,$H$3,$I$3),DATA!$C:$CS,ROW($B112),0)&amp;""</f>
        <v>余飞</v>
      </c>
      <c r="C109" s="66" t="str">
        <f t="array" ref="C109">IF($C$1="休息日","查询日休息！",INDEX(DATA!$A:$A,SMALL(COUNTIF($B$1:$B$200,DATA!$A$1:$A$200)/1%%+ROW($A$1:$A$200),ROW(A109)))&amp;"")</f>
        <v/>
      </c>
      <c r="D109" s="67"/>
      <c r="E109" s="67"/>
      <c r="F109" s="67"/>
      <c r="G109" s="67"/>
      <c r="H109" s="67"/>
      <c r="I109" s="67"/>
      <c r="J109" s="71"/>
    </row>
    <row r="110" s="54" customFormat="1" customHeight="1" spans="1:10">
      <c r="A110" s="56" t="str">
        <f ca="1">IFERROR(HLOOKUP(DATE($G$3,$H$3,$I$3),'API1'!$B$2:$CR$46,ROW($A113),0)&amp;"","")</f>
        <v/>
      </c>
      <c r="B110" s="56" t="str">
        <f>HLOOKUP(DATE($G$3,$H$3,$I$3),DATA!$C:$CS,ROW($B113),0)&amp;""</f>
        <v>02-09 07:50</v>
      </c>
      <c r="C110" s="66" t="str">
        <f t="array" ref="C110">IF($C$1="休息日","查询日休息！",INDEX(DATA!$A:$A,SMALL(COUNTIF($B$1:$B$200,DATA!$A$1:$A$200)/1%%+ROW($A$1:$A$200),ROW(A110)))&amp;"")</f>
        <v/>
      </c>
      <c r="D110" s="67"/>
      <c r="E110" s="67"/>
      <c r="F110" s="67"/>
      <c r="G110" s="67"/>
      <c r="H110" s="67"/>
      <c r="I110" s="67"/>
      <c r="J110" s="71"/>
    </row>
    <row r="111" s="54" customFormat="1" customHeight="1" spans="1:10">
      <c r="A111" s="56" t="str">
        <f ca="1">IFERROR(HLOOKUP(DATE($G$3,$H$3,$I$3),'API1'!$B$2:$CR$46,ROW($A114),0)&amp;"","")</f>
        <v/>
      </c>
      <c r="B111" s="56" t="str">
        <f>HLOOKUP(DATE($G$3,$H$3,$I$3),DATA!$C:$CS,ROW($B114),0)&amp;""</f>
        <v/>
      </c>
      <c r="C111" s="66" t="str">
        <f t="array" ref="C111">IF($C$1="休息日","查询日休息！",INDEX(DATA!$A:$A,SMALL(COUNTIF($B$1:$B$200,DATA!$A$1:$A$200)/1%%+ROW($A$1:$A$200),ROW(A111)))&amp;"")</f>
        <v/>
      </c>
      <c r="D111" s="67"/>
      <c r="E111" s="67"/>
      <c r="F111" s="67"/>
      <c r="G111" s="67"/>
      <c r="H111" s="67"/>
      <c r="I111" s="67"/>
      <c r="J111" s="71"/>
    </row>
    <row r="112" s="54" customFormat="1" customHeight="1" spans="1:10">
      <c r="A112" s="56" t="str">
        <f ca="1">IFERROR(HLOOKUP(DATE($G$3,$H$3,$I$3),'API1'!$B$2:$CR$46,ROW($A115),0)&amp;"","")</f>
        <v/>
      </c>
      <c r="B112" s="56" t="str">
        <f>HLOOKUP(DATE($G$3,$H$3,$I$3),DATA!$C:$CS,ROW($B115),0)&amp;""</f>
        <v>陈创业</v>
      </c>
      <c r="C112" s="66" t="str">
        <f t="array" ref="C112">IF($C$1="休息日","查询日休息！",INDEX(DATA!$A:$A,SMALL(COUNTIF($B$1:$B$200,DATA!$A$1:$A$200)/1%%+ROW($A$1:$A$200),ROW(A112)))&amp;"")</f>
        <v/>
      </c>
      <c r="D112" s="67"/>
      <c r="E112" s="67"/>
      <c r="F112" s="67"/>
      <c r="G112" s="67"/>
      <c r="H112" s="67"/>
      <c r="I112" s="67"/>
      <c r="J112" s="71"/>
    </row>
    <row r="113" s="54" customFormat="1" customHeight="1" spans="1:10">
      <c r="A113" s="56" t="str">
        <f ca="1">IFERROR(HLOOKUP(DATE($G$3,$H$3,$I$3),'API1'!$B$2:$CR$46,ROW($A116),0)&amp;"","")</f>
        <v/>
      </c>
      <c r="B113" s="56" t="str">
        <f>HLOOKUP(DATE($G$3,$H$3,$I$3),DATA!$C:$CS,ROW($B116),0)&amp;""</f>
        <v>02-09 07:12</v>
      </c>
      <c r="C113" s="66" t="str">
        <f t="array" ref="C113">IF($C$1="休息日","查询日休息！",INDEX(DATA!$A:$A,SMALL(COUNTIF($B$1:$B$200,DATA!$A$1:$A$200)/1%%+ROW($A$1:$A$200),ROW(A113)))&amp;"")</f>
        <v/>
      </c>
      <c r="D113" s="67"/>
      <c r="E113" s="67"/>
      <c r="F113" s="67"/>
      <c r="G113" s="67"/>
      <c r="H113" s="67"/>
      <c r="I113" s="67"/>
      <c r="J113" s="71"/>
    </row>
    <row r="114" s="54" customFormat="1" customHeight="1" spans="1:10">
      <c r="A114" s="56" t="str">
        <f ca="1">IFERROR(HLOOKUP(DATE($G$3,$H$3,$I$3),'API1'!$B$2:$CR$46,ROW($A117),0)&amp;"","")</f>
        <v/>
      </c>
      <c r="B114" s="56" t="str">
        <f>HLOOKUP(DATE($G$3,$H$3,$I$3),DATA!$C:$CS,ROW($B117),0)&amp;""</f>
        <v/>
      </c>
      <c r="C114" s="66" t="str">
        <f t="array" ref="C114">IF($C$1="休息日","查询日休息！",INDEX(DATA!$A:$A,SMALL(COUNTIF($B$1:$B$200,DATA!$A$1:$A$200)/1%%+ROW($A$1:$A$200),ROW(A114)))&amp;"")</f>
        <v/>
      </c>
      <c r="D114" s="67"/>
      <c r="E114" s="67"/>
      <c r="F114" s="67"/>
      <c r="G114" s="67"/>
      <c r="H114" s="67"/>
      <c r="I114" s="67"/>
      <c r="J114" s="71"/>
    </row>
    <row r="115" s="54" customFormat="1" customHeight="1" spans="1:10">
      <c r="A115" s="56" t="str">
        <f ca="1">IFERROR(HLOOKUP(DATE($G$3,$H$3,$I$3),'API1'!$B$2:$CR$46,ROW($A118),0)&amp;"","")</f>
        <v/>
      </c>
      <c r="B115" s="56" t="str">
        <f>HLOOKUP(DATE($G$3,$H$3,$I$3),DATA!$C:$CS,ROW($B118),0)&amp;""</f>
        <v/>
      </c>
      <c r="C115" s="66" t="str">
        <f t="array" ref="C115">IF($C$1="休息日","查询日休息！",INDEX(DATA!$A:$A,SMALL(COUNTIF($B$1:$B$200,DATA!$A$1:$A$200)/1%%+ROW($A$1:$A$200),ROW(A115)))&amp;"")</f>
        <v/>
      </c>
      <c r="D115" s="67"/>
      <c r="E115" s="67"/>
      <c r="F115" s="67"/>
      <c r="G115" s="67"/>
      <c r="H115" s="67"/>
      <c r="I115" s="67"/>
      <c r="J115" s="71"/>
    </row>
    <row r="116" s="54" customFormat="1" customHeight="1" spans="1:10">
      <c r="A116" s="56" t="str">
        <f ca="1">IFERROR(HLOOKUP(DATE($G$3,$H$3,$I$3),'API1'!$B$2:$CR$46,ROW($A119),0)&amp;"","")</f>
        <v/>
      </c>
      <c r="B116" s="56" t="str">
        <f>HLOOKUP(DATE($G$3,$H$3,$I$3),DATA!$C:$CS,ROW($B119),0)&amp;""</f>
        <v>郭衍钢</v>
      </c>
      <c r="C116" s="66" t="str">
        <f t="array" ref="C116">IF($C$1="休息日","查询日休息！",INDEX(DATA!$A:$A,SMALL(COUNTIF($B$1:$B$200,DATA!$A$1:$A$200)/1%%+ROW($A$1:$A$200),ROW(A116)))&amp;"")</f>
        <v/>
      </c>
      <c r="D116" s="67"/>
      <c r="E116" s="67"/>
      <c r="F116" s="67"/>
      <c r="G116" s="67"/>
      <c r="H116" s="67"/>
      <c r="I116" s="67"/>
      <c r="J116" s="71"/>
    </row>
    <row r="117" s="54" customFormat="1" customHeight="1" spans="1:10">
      <c r="A117" s="56" t="str">
        <f ca="1">IFERROR(HLOOKUP(DATE($G$3,$H$3,$I$3),'API1'!$B$2:$CR$46,ROW($A120),0)&amp;"","")</f>
        <v/>
      </c>
      <c r="B117" s="56" t="str">
        <f>HLOOKUP(DATE($G$3,$H$3,$I$3),DATA!$C:$CS,ROW($B120),0)&amp;""</f>
        <v>02-09 07:00</v>
      </c>
      <c r="C117" s="66" t="str">
        <f t="array" ref="C117">IF($C$1="休息日","查询日休息！",INDEX(DATA!$A:$A,SMALL(COUNTIF($B$1:$B$200,DATA!$A$1:$A$200)/1%%+ROW($A$1:$A$200),ROW(A117)))&amp;"")</f>
        <v/>
      </c>
      <c r="D117" s="67"/>
      <c r="E117" s="67"/>
      <c r="F117" s="67"/>
      <c r="G117" s="67"/>
      <c r="H117" s="67"/>
      <c r="I117" s="67"/>
      <c r="J117" s="71"/>
    </row>
    <row r="118" s="54" customFormat="1" customHeight="1" spans="1:10">
      <c r="A118" s="56" t="str">
        <f ca="1">IFERROR(HLOOKUP(DATE($G$3,$H$3,$I$3),'API1'!$B$2:$CR$46,ROW($A121),0)&amp;"","")</f>
        <v/>
      </c>
      <c r="B118" s="56" t="str">
        <f>HLOOKUP(DATE($G$3,$H$3,$I$3),DATA!$C:$CS,ROW($B121),0)&amp;""</f>
        <v/>
      </c>
      <c r="C118" s="66" t="str">
        <f t="array" ref="C118">IF($C$1="休息日","查询日休息！",INDEX(DATA!$A:$A,SMALL(COUNTIF($B$1:$B$200,DATA!$A$1:$A$200)/1%%+ROW($A$1:$A$200),ROW(A118)))&amp;"")</f>
        <v/>
      </c>
      <c r="D118" s="67"/>
      <c r="E118" s="67"/>
      <c r="F118" s="67"/>
      <c r="G118" s="67"/>
      <c r="H118" s="67"/>
      <c r="I118" s="67"/>
      <c r="J118" s="71"/>
    </row>
    <row r="119" s="54" customFormat="1" customHeight="1" spans="1:10">
      <c r="A119" s="56" t="str">
        <f ca="1">IFERROR(HLOOKUP(DATE($G$3,$H$3,$I$3),'API1'!$B$2:$CR$46,ROW($A122),0)&amp;"","")</f>
        <v/>
      </c>
      <c r="B119" s="56" t="str">
        <f>HLOOKUP(DATE($G$3,$H$3,$I$3),DATA!$C:$CS,ROW($B122),0)&amp;""</f>
        <v/>
      </c>
      <c r="C119" s="66" t="str">
        <f t="array" ref="C119">IF($C$1="休息日","查询日休息！",INDEX(DATA!$A:$A,SMALL(COUNTIF($B$1:$B$200,DATA!$A$1:$A$200)/1%%+ROW($A$1:$A$200),ROW(A119)))&amp;"")</f>
        <v/>
      </c>
      <c r="D119" s="67"/>
      <c r="E119" s="67"/>
      <c r="F119" s="67"/>
      <c r="G119" s="67"/>
      <c r="H119" s="67"/>
      <c r="I119" s="67"/>
      <c r="J119" s="71"/>
    </row>
    <row r="120" s="54" customFormat="1" customHeight="1" spans="1:10">
      <c r="A120" s="56" t="str">
        <f ca="1">IFERROR(HLOOKUP(DATE($G$3,$H$3,$I$3),'API1'!$B$2:$CR$46,ROW($A123),0)&amp;"","")</f>
        <v/>
      </c>
      <c r="B120" s="56" t="str">
        <f>HLOOKUP(DATE($G$3,$H$3,$I$3),DATA!$C:$CS,ROW($B123),0)&amp;""</f>
        <v>马坚强</v>
      </c>
      <c r="C120" s="66" t="str">
        <f t="array" ref="C120">IF($C$1="休息日","查询日休息！",INDEX(DATA!$A:$A,SMALL(COUNTIF($B$1:$B$200,DATA!$A$1:$A$200)/1%%+ROW($A$1:$A$200),ROW(A120)))&amp;"")</f>
        <v/>
      </c>
      <c r="D120" s="67"/>
      <c r="E120" s="67"/>
      <c r="F120" s="67"/>
      <c r="G120" s="67"/>
      <c r="H120" s="67"/>
      <c r="I120" s="67"/>
      <c r="J120" s="71"/>
    </row>
    <row r="121" s="54" customFormat="1" customHeight="1" spans="1:10">
      <c r="A121" s="56" t="str">
        <f ca="1">IFERROR(HLOOKUP(DATE($G$3,$H$3,$I$3),'API1'!$B$2:$CR$46,ROW($A124),0)&amp;"","")</f>
        <v/>
      </c>
      <c r="B121" s="56" t="str">
        <f>HLOOKUP(DATE($G$3,$H$3,$I$3),DATA!$C:$CS,ROW($B124),0)&amp;""</f>
        <v>02-09 06:45</v>
      </c>
      <c r="C121" s="66" t="str">
        <f t="array" ref="C121">IF($C$1="休息日","查询日休息！",INDEX(DATA!$A:$A,SMALL(COUNTIF($B$1:$B$200,DATA!$A$1:$A$200)/1%%+ROW($A$1:$A$200),ROW(A121)))&amp;"")</f>
        <v/>
      </c>
      <c r="D121" s="67"/>
      <c r="E121" s="67"/>
      <c r="F121" s="67"/>
      <c r="G121" s="67"/>
      <c r="H121" s="67"/>
      <c r="I121" s="67"/>
      <c r="J121" s="71"/>
    </row>
    <row r="122" s="54" customFormat="1" customHeight="1" spans="1:10">
      <c r="A122" s="56" t="str">
        <f ca="1">IFERROR(HLOOKUP(DATE($G$3,$H$3,$I$3),'API1'!$B$2:$CR$46,ROW($A125),0)&amp;"","")</f>
        <v/>
      </c>
      <c r="B122" s="56" t="str">
        <f>HLOOKUP(DATE($G$3,$H$3,$I$3),DATA!$C:$CS,ROW($B125),0)&amp;""</f>
        <v/>
      </c>
      <c r="C122" s="66" t="str">
        <f t="array" ref="C122">IF($C$1="休息日","查询日休息！",INDEX(DATA!$A:$A,SMALL(COUNTIF($B$1:$B$200,DATA!$A$1:$A$200)/1%%+ROW($A$1:$A$200),ROW(A122)))&amp;"")</f>
        <v/>
      </c>
      <c r="D122" s="67"/>
      <c r="E122" s="67"/>
      <c r="F122" s="67"/>
      <c r="G122" s="67"/>
      <c r="H122" s="67"/>
      <c r="I122" s="67"/>
      <c r="J122" s="71"/>
    </row>
    <row r="123" s="54" customFormat="1" customHeight="1" spans="1:10">
      <c r="A123" s="56" t="str">
        <f ca="1">IFERROR(HLOOKUP(DATE($G$3,$H$3,$I$3),'API1'!$B$2:$CR$46,ROW($A126),0)&amp;"","")</f>
        <v/>
      </c>
      <c r="B123" s="56" t="str">
        <f>HLOOKUP(DATE($G$3,$H$3,$I$3),DATA!$C:$CS,ROW($B126),0)&amp;""</f>
        <v>费伟</v>
      </c>
      <c r="C123" s="66" t="str">
        <f t="array" ref="C123">IF($C$1="休息日","查询日休息！",INDEX(DATA!$A:$A,SMALL(COUNTIF($B$1:$B$200,DATA!$A$1:$A$200)/1%%+ROW($A$1:$A$200),ROW(A123)))&amp;"")</f>
        <v/>
      </c>
      <c r="D123" s="67"/>
      <c r="E123" s="67"/>
      <c r="F123" s="67"/>
      <c r="G123" s="67"/>
      <c r="H123" s="67"/>
      <c r="I123" s="67"/>
      <c r="J123" s="71"/>
    </row>
    <row r="124" s="54" customFormat="1" customHeight="1" spans="1:10">
      <c r="A124" s="56" t="str">
        <f ca="1">IFERROR(HLOOKUP(DATE($G$3,$H$3,$I$3),'API1'!$B$2:$CR$46,ROW($A127),0)&amp;"","")</f>
        <v/>
      </c>
      <c r="B124" s="56" t="str">
        <f>HLOOKUP(DATE($G$3,$H$3,$I$3),DATA!$C:$CS,ROW($B127),0)&amp;""</f>
        <v>02-09 06:43</v>
      </c>
      <c r="C124" s="66" t="str">
        <f t="array" ref="C124">IF($C$1="休息日","查询日休息！",INDEX(DATA!$A:$A,SMALL(COUNTIF($B$1:$B$200,DATA!$A$1:$A$200)/1%%+ROW($A$1:$A$200),ROW(A124)))&amp;"")</f>
        <v/>
      </c>
      <c r="D124" s="67"/>
      <c r="E124" s="67"/>
      <c r="F124" s="67"/>
      <c r="G124" s="67"/>
      <c r="H124" s="67"/>
      <c r="I124" s="67"/>
      <c r="J124" s="71"/>
    </row>
    <row r="125" s="54" customFormat="1" customHeight="1" spans="1:10">
      <c r="A125" s="56" t="str">
        <f ca="1">IFERROR(HLOOKUP(DATE($G$3,$H$3,$I$3),'API1'!$B$2:$CR$46,ROW($A128),0)&amp;"","")</f>
        <v/>
      </c>
      <c r="B125" s="56" t="str">
        <f>HLOOKUP(DATE($G$3,$H$3,$I$3),DATA!$C:$CS,ROW($B128),0)&amp;""</f>
        <v/>
      </c>
      <c r="C125" s="66" t="str">
        <f t="array" ref="C125">IF($C$1="休息日","查询日休息！",INDEX(DATA!$A:$A,SMALL(COUNTIF($B$1:$B$200,DATA!$A$1:$A$200)/1%%+ROW($A$1:$A$200),ROW(A125)))&amp;"")</f>
        <v/>
      </c>
      <c r="D125" s="67"/>
      <c r="E125" s="67"/>
      <c r="F125" s="67"/>
      <c r="G125" s="67"/>
      <c r="H125" s="67"/>
      <c r="I125" s="67"/>
      <c r="J125" s="71"/>
    </row>
    <row r="126" s="54" customFormat="1" customHeight="1" spans="1:10">
      <c r="A126" s="56" t="str">
        <f ca="1">IFERROR(HLOOKUP(DATE($G$3,$H$3,$I$3),'API1'!$B$2:$CR$46,ROW($A129),0)&amp;"","")</f>
        <v/>
      </c>
      <c r="B126" s="56" t="str">
        <f>HLOOKUP(DATE($G$3,$H$3,$I$3),DATA!$C:$CS,ROW($B129),0)&amp;""</f>
        <v/>
      </c>
      <c r="C126" s="66" t="str">
        <f t="array" ref="C126">IF($C$1="休息日","查询日休息！",INDEX(DATA!$A:$A,SMALL(COUNTIF($B$1:$B$200,DATA!$A$1:$A$200)/1%%+ROW($A$1:$A$200),ROW(A126)))&amp;"")</f>
        <v/>
      </c>
      <c r="D126" s="67"/>
      <c r="E126" s="67"/>
      <c r="F126" s="67"/>
      <c r="G126" s="67"/>
      <c r="H126" s="67"/>
      <c r="I126" s="67"/>
      <c r="J126" s="71"/>
    </row>
    <row r="127" s="54" customFormat="1" customHeight="1" spans="1:10">
      <c r="A127" s="56" t="str">
        <f ca="1">IFERROR(HLOOKUP(DATE($G$3,$H$3,$I$3),'API1'!$B$2:$CR$46,ROW($A130),0)&amp;"","")</f>
        <v/>
      </c>
      <c r="B127" s="56" t="str">
        <f>HLOOKUP(DATE($G$3,$H$3,$I$3),DATA!$C:$CS,ROW($B130),0)&amp;""</f>
        <v>陈相</v>
      </c>
      <c r="C127" s="66" t="str">
        <f t="array" ref="C127">IF($C$1="休息日","查询日休息！",INDEX(DATA!$A:$A,SMALL(COUNTIF($B$1:$B$200,DATA!$A$1:$A$200)/1%%+ROW($A$1:$A$200),ROW(A127)))&amp;"")</f>
        <v/>
      </c>
      <c r="D127" s="67"/>
      <c r="E127" s="67"/>
      <c r="F127" s="67"/>
      <c r="G127" s="67"/>
      <c r="H127" s="67"/>
      <c r="I127" s="67"/>
      <c r="J127" s="71"/>
    </row>
    <row r="128" s="54" customFormat="1" customHeight="1" spans="1:10">
      <c r="A128" s="56" t="str">
        <f ca="1">IFERROR(HLOOKUP(DATE($G$3,$H$3,$I$3),'API1'!$B$2:$CR$46,ROW($A131),0)&amp;"","")</f>
        <v/>
      </c>
      <c r="B128" s="56" t="str">
        <f>HLOOKUP(DATE($G$3,$H$3,$I$3),DATA!$C:$CS,ROW($B131),0)&amp;""</f>
        <v>02-09 05:43</v>
      </c>
      <c r="C128" s="66" t="str">
        <f t="array" ref="C128">IF($C$1="休息日","查询日休息！",INDEX(DATA!$A:$A,SMALL(COUNTIF($B$1:$B$200,DATA!$A$1:$A$200)/1%%+ROW($A$1:$A$200),ROW(A128)))&amp;"")</f>
        <v/>
      </c>
      <c r="D128" s="67"/>
      <c r="E128" s="67"/>
      <c r="F128" s="67"/>
      <c r="G128" s="67"/>
      <c r="H128" s="67"/>
      <c r="I128" s="67"/>
      <c r="J128" s="71"/>
    </row>
    <row r="129" s="54" customFormat="1" customHeight="1" spans="1:10">
      <c r="A129" s="56" t="str">
        <f ca="1">IFERROR(HLOOKUP(DATE($G$3,$H$3,$I$3),'API1'!$B$2:$CR$46,ROW($A132),0)&amp;"","")</f>
        <v/>
      </c>
      <c r="B129" s="56" t="str">
        <f>HLOOKUP(DATE($G$3,$H$3,$I$3),DATA!$C:$CS,ROW($B132),0)&amp;""</f>
        <v/>
      </c>
      <c r="C129" s="66" t="str">
        <f t="array" ref="C129">IF($C$1="休息日","查询日休息！",INDEX(DATA!$A:$A,SMALL(COUNTIF($B$1:$B$200,DATA!$A$1:$A$200)/1%%+ROW($A$1:$A$200),ROW(A129)))&amp;"")</f>
        <v/>
      </c>
      <c r="D129" s="67"/>
      <c r="E129" s="67"/>
      <c r="F129" s="67"/>
      <c r="G129" s="67"/>
      <c r="H129" s="67"/>
      <c r="I129" s="67"/>
      <c r="J129" s="71"/>
    </row>
    <row r="130" s="54" customFormat="1" customHeight="1" spans="1:10">
      <c r="A130" s="56" t="str">
        <f ca="1">IFERROR(HLOOKUP(DATE($G$3,$H$3,$I$3),'API1'!$B$2:$CR$46,ROW($A133),0)&amp;"","")</f>
        <v/>
      </c>
      <c r="B130" s="56" t="str">
        <f>HLOOKUP(DATE($G$3,$H$3,$I$3),DATA!$C:$CS,ROW($B133),0)&amp;""</f>
        <v/>
      </c>
      <c r="C130" s="66" t="str">
        <f t="array" ref="C130">IF($C$1="休息日","查询日休息！",INDEX(DATA!$A:$A,SMALL(COUNTIF($B$1:$B$200,DATA!$A$1:$A$200)/1%%+ROW($A$1:$A$200),ROW(A130)))&amp;"")</f>
        <v/>
      </c>
      <c r="D130" s="67"/>
      <c r="E130" s="67"/>
      <c r="F130" s="67"/>
      <c r="G130" s="67"/>
      <c r="H130" s="67"/>
      <c r="I130" s="67"/>
      <c r="J130" s="71"/>
    </row>
    <row r="131" s="54" customFormat="1" customHeight="1" spans="1:10">
      <c r="A131" s="56" t="str">
        <f ca="1">IFERROR(HLOOKUP(DATE($G$3,$H$3,$I$3),'API1'!$B$2:$CR$46,ROW($A134),0)&amp;"","")</f>
        <v/>
      </c>
      <c r="B131" s="56" t="str">
        <f>HLOOKUP(DATE($G$3,$H$3,$I$3),DATA!$C:$CS,ROW($B134),0)&amp;""</f>
        <v>占玄辉</v>
      </c>
      <c r="C131" s="66" t="str">
        <f t="array" ref="C131">IF($C$1="休息日","查询日休息！",INDEX(DATA!$A:$A,SMALL(COUNTIF($B$1:$B$200,DATA!$A$1:$A$200)/1%%+ROW($A$1:$A$200),ROW(A131)))&amp;"")</f>
        <v/>
      </c>
      <c r="D131" s="67"/>
      <c r="E131" s="67"/>
      <c r="F131" s="67"/>
      <c r="G131" s="67"/>
      <c r="H131" s="67"/>
      <c r="I131" s="67"/>
      <c r="J131" s="71"/>
    </row>
    <row r="132" s="54" customFormat="1" customHeight="1" spans="1:10">
      <c r="A132" s="56" t="str">
        <f ca="1">IFERROR(HLOOKUP(DATE($G$3,$H$3,$I$3),'API1'!$B$2:$CR$46,ROW($A135),0)&amp;"","")</f>
        <v/>
      </c>
      <c r="B132" s="56" t="str">
        <f>HLOOKUP(DATE($G$3,$H$3,$I$3),DATA!$C:$CS,ROW($B135),0)&amp;""</f>
        <v>02-09 05:43</v>
      </c>
      <c r="C132" s="66" t="str">
        <f t="array" ref="C132">IF($C$1="休息日","查询日休息！",INDEX(DATA!$A:$A,SMALL(COUNTIF($B$1:$B$200,DATA!$A$1:$A$200)/1%%+ROW($A$1:$A$200),ROW(A132)))&amp;"")</f>
        <v/>
      </c>
      <c r="D132" s="67"/>
      <c r="E132" s="67"/>
      <c r="F132" s="67"/>
      <c r="G132" s="67"/>
      <c r="H132" s="67"/>
      <c r="I132" s="67"/>
      <c r="J132" s="71"/>
    </row>
    <row r="133" s="54" customFormat="1" customHeight="1" spans="1:10">
      <c r="A133" s="56" t="str">
        <f ca="1">IFERROR(HLOOKUP(DATE($G$3,$H$3,$I$3),'API1'!$B$2:$CR$46,ROW($A136),0)&amp;"","")</f>
        <v/>
      </c>
      <c r="B133" s="56" t="str">
        <f>HLOOKUP(DATE($G$3,$H$3,$I$3),DATA!$C:$CS,ROW($B136),0)&amp;""</f>
        <v/>
      </c>
      <c r="C133" s="66" t="str">
        <f t="array" ref="C133">IF($C$1="休息日","查询日休息！",INDEX(DATA!$A:$A,SMALL(COUNTIF($B$1:$B$200,DATA!$A$1:$A$200)/1%%+ROW($A$1:$A$200),ROW(A133)))&amp;"")</f>
        <v/>
      </c>
      <c r="D133" s="67"/>
      <c r="E133" s="67"/>
      <c r="F133" s="67"/>
      <c r="G133" s="67"/>
      <c r="H133" s="67"/>
      <c r="I133" s="67"/>
      <c r="J133" s="71"/>
    </row>
    <row r="134" s="54" customFormat="1" customHeight="1" spans="1:10">
      <c r="A134" s="56" t="str">
        <f ca="1">IFERROR(HLOOKUP(DATE($G$3,$H$3,$I$3),'API1'!$B$2:$CR$46,ROW($A137),0)&amp;"","")</f>
        <v/>
      </c>
      <c r="B134" s="56" t="str">
        <f>HLOOKUP(DATE($G$3,$H$3,$I$3),DATA!$C:$CS,ROW($B137),0)&amp;""</f>
        <v>乔坤</v>
      </c>
      <c r="C134" s="66" t="str">
        <f t="array" ref="C134">IF($C$1="休息日","查询日休息！",INDEX(DATA!$A:$A,SMALL(COUNTIF($B$1:$B$200,DATA!$A$1:$A$200)/1%%+ROW($A$1:$A$200),ROW(A134)))&amp;"")</f>
        <v/>
      </c>
      <c r="D134" s="67"/>
      <c r="E134" s="67"/>
      <c r="F134" s="67"/>
      <c r="G134" s="67"/>
      <c r="H134" s="67"/>
      <c r="I134" s="67"/>
      <c r="J134" s="71"/>
    </row>
    <row r="135" s="54" customFormat="1" customHeight="1" spans="1:10">
      <c r="A135" s="56" t="str">
        <f ca="1">IFERROR(HLOOKUP(DATE($G$3,$H$3,$I$3),'API1'!$B$2:$CR$46,ROW($A138),0)&amp;"","")</f>
        <v/>
      </c>
      <c r="B135" s="56" t="str">
        <f>HLOOKUP(DATE($G$3,$H$3,$I$3),DATA!$C:$CS,ROW($B138),0)&amp;""</f>
        <v>02-09 05:32</v>
      </c>
      <c r="C135" s="66" t="str">
        <f t="array" ref="C135">IF($C$1="休息日","查询日休息！",INDEX(DATA!$A:$A,SMALL(COUNTIF($B$1:$B$200,DATA!$A$1:$A$200)/1%%+ROW($A$1:$A$200),ROW(A135)))&amp;"")</f>
        <v/>
      </c>
      <c r="D135" s="67"/>
      <c r="E135" s="67"/>
      <c r="F135" s="67"/>
      <c r="G135" s="67"/>
      <c r="H135" s="67"/>
      <c r="I135" s="67"/>
      <c r="J135" s="71"/>
    </row>
    <row r="136" s="54" customFormat="1" customHeight="1" spans="1:10">
      <c r="A136" s="56" t="str">
        <f ca="1">IFERROR(HLOOKUP(DATE($G$3,$H$3,$I$3),'API1'!$B$2:$CR$46,ROW($A139),0)&amp;"","")</f>
        <v/>
      </c>
      <c r="B136" s="56" t="str">
        <f>HLOOKUP(DATE($G$3,$H$3,$I$3),DATA!$C:$CS,ROW($B139),0)&amp;""</f>
        <v/>
      </c>
      <c r="C136" s="66" t="str">
        <f t="array" ref="C136">IF($C$1="休息日","查询日休息！",INDEX(DATA!$A:$A,SMALL(COUNTIF($B$1:$B$200,DATA!$A$1:$A$200)/1%%+ROW($A$1:$A$200),ROW(A136)))&amp;"")</f>
        <v/>
      </c>
      <c r="D136" s="67"/>
      <c r="E136" s="67"/>
      <c r="F136" s="67"/>
      <c r="G136" s="67"/>
      <c r="H136" s="67"/>
      <c r="I136" s="67"/>
      <c r="J136" s="71"/>
    </row>
    <row r="137" s="54" customFormat="1" customHeight="1" spans="1:10">
      <c r="A137" s="56" t="str">
        <f ca="1">IFERROR(HLOOKUP(DATE($G$3,$H$3,$I$3),'API1'!$B$2:$CR$46,ROW($A140),0)&amp;"","")</f>
        <v/>
      </c>
      <c r="B137" s="56" t="str">
        <f>HLOOKUP(DATE($G$3,$H$3,$I$3),DATA!$C:$CS,ROW($B140),0)&amp;""</f>
        <v/>
      </c>
      <c r="C137" s="66" t="str">
        <f t="array" ref="C137">IF($C$1="休息日","查询日休息！",INDEX(DATA!$A:$A,SMALL(COUNTIF($B$1:$B$200,DATA!$A$1:$A$200)/1%%+ROW($A$1:$A$200),ROW(A137)))&amp;"")</f>
        <v/>
      </c>
      <c r="D137" s="67"/>
      <c r="E137" s="67"/>
      <c r="F137" s="67"/>
      <c r="G137" s="67"/>
      <c r="H137" s="67"/>
      <c r="I137" s="67"/>
      <c r="J137" s="71"/>
    </row>
    <row r="138" s="54" customFormat="1" customHeight="1" spans="1:10">
      <c r="A138" s="56" t="str">
        <f ca="1">IFERROR(HLOOKUP(DATE($G$3,$H$3,$I$3),'API1'!$B$2:$CR$46,ROW($A141),0)&amp;"","")</f>
        <v/>
      </c>
      <c r="B138" s="56" t="str">
        <f>HLOOKUP(DATE($G$3,$H$3,$I$3),DATA!$C:$CS,ROW($B141),0)&amp;""</f>
        <v>周洋</v>
      </c>
      <c r="C138" s="66" t="str">
        <f t="array" ref="C138">IF($C$1="休息日","查询日休息！",INDEX(DATA!$A:$A,SMALL(COUNTIF($B$1:$B$200,DATA!$A$1:$A$200)/1%%+ROW($A$1:$A$200),ROW(A138)))&amp;"")</f>
        <v/>
      </c>
      <c r="D138" s="67"/>
      <c r="E138" s="67"/>
      <c r="F138" s="67"/>
      <c r="G138" s="67"/>
      <c r="H138" s="67"/>
      <c r="I138" s="67"/>
      <c r="J138" s="71"/>
    </row>
    <row r="139" s="54" customFormat="1" customHeight="1" spans="1:10">
      <c r="A139" s="56" t="str">
        <f ca="1">IFERROR(HLOOKUP(DATE($G$3,$H$3,$I$3),'API1'!$B$2:$CR$46,ROW($A142),0)&amp;"","")</f>
        <v/>
      </c>
      <c r="B139" s="56" t="str">
        <f>HLOOKUP(DATE($G$3,$H$3,$I$3),DATA!$C:$CS,ROW($B142),0)&amp;""</f>
        <v>02-09 05:18</v>
      </c>
      <c r="C139" s="66" t="str">
        <f t="array" ref="C139">IF($C$1="休息日","查询日休息！",INDEX(DATA!$A:$A,SMALL(COUNTIF($B$1:$B$200,DATA!$A$1:$A$200)/1%%+ROW($A$1:$A$200),ROW(A139)))&amp;"")</f>
        <v/>
      </c>
      <c r="D139" s="67"/>
      <c r="E139" s="67"/>
      <c r="F139" s="67"/>
      <c r="G139" s="67"/>
      <c r="H139" s="67"/>
      <c r="I139" s="67"/>
      <c r="J139" s="71"/>
    </row>
    <row r="140" s="54" customFormat="1" customHeight="1" spans="1:10">
      <c r="A140" s="56" t="str">
        <f ca="1">IFERROR(HLOOKUP(DATE($G$3,$H$3,$I$3),'API1'!$B$2:$CR$46,ROW($A143),0)&amp;"","")</f>
        <v/>
      </c>
      <c r="B140" s="56" t="str">
        <f>HLOOKUP(DATE($G$3,$H$3,$I$3),DATA!$C:$CS,ROW($B143),0)&amp;""</f>
        <v/>
      </c>
      <c r="C140" s="66" t="str">
        <f t="array" ref="C140">IF($C$1="休息日","查询日休息！",INDEX(DATA!$A:$A,SMALL(COUNTIF($B$1:$B$200,DATA!$A$1:$A$200)/1%%+ROW($A$1:$A$200),ROW(A140)))&amp;"")</f>
        <v/>
      </c>
      <c r="D140" s="67"/>
      <c r="E140" s="67"/>
      <c r="F140" s="67"/>
      <c r="G140" s="67"/>
      <c r="H140" s="67"/>
      <c r="I140" s="67"/>
      <c r="J140" s="71"/>
    </row>
    <row r="141" s="54" customFormat="1" customHeight="1" spans="1:10">
      <c r="A141" s="56" t="str">
        <f ca="1">IFERROR(HLOOKUP(DATE($G$3,$H$3,$I$3),'API1'!$B$2:$CR$46,ROW($A144),0)&amp;"","")</f>
        <v/>
      </c>
      <c r="B141" s="56" t="str">
        <f>HLOOKUP(DATE($G$3,$H$3,$I$3),DATA!$C:$CS,ROW($B144),0)&amp;""</f>
        <v/>
      </c>
      <c r="C141" s="66" t="str">
        <f t="array" ref="C141">IF($C$1="休息日","查询日休息！",INDEX(DATA!$A:$A,SMALL(COUNTIF($B$1:$B$200,DATA!$A$1:$A$200)/1%%+ROW($A$1:$A$200),ROW(A141)))&amp;"")</f>
        <v/>
      </c>
      <c r="D141" s="67"/>
      <c r="E141" s="67"/>
      <c r="F141" s="67"/>
      <c r="G141" s="67"/>
      <c r="H141" s="67"/>
      <c r="I141" s="67"/>
      <c r="J141" s="71"/>
    </row>
    <row r="142" s="54" customFormat="1" customHeight="1" spans="1:10">
      <c r="A142" s="56" t="str">
        <f ca="1">IFERROR(HLOOKUP(DATE($G$3,$H$3,$I$3),'API1'!$B$2:$CR$46,ROW($A145),0)&amp;"","")</f>
        <v/>
      </c>
      <c r="B142" s="56" t="str">
        <f>HLOOKUP(DATE($G$3,$H$3,$I$3),DATA!$C:$CS,ROW($B145),0)&amp;""</f>
        <v>胡栋杰</v>
      </c>
      <c r="C142" s="66" t="str">
        <f t="array" ref="C142">IF($C$1="休息日","查询日休息！",INDEX(DATA!$A:$A,SMALL(COUNTIF($B$1:$B$200,DATA!$A$1:$A$200)/1%%+ROW($A$1:$A$200),ROW(A142)))&amp;"")</f>
        <v/>
      </c>
      <c r="D142" s="67"/>
      <c r="E142" s="67"/>
      <c r="F142" s="67"/>
      <c r="G142" s="67"/>
      <c r="H142" s="67"/>
      <c r="I142" s="67"/>
      <c r="J142" s="71"/>
    </row>
    <row r="143" s="54" customFormat="1" customHeight="1" spans="1:10">
      <c r="A143" s="56" t="str">
        <f ca="1">IFERROR(HLOOKUP(DATE($G$3,$H$3,$I$3),'API1'!$B$2:$CR$46,ROW($A146),0)&amp;"","")</f>
        <v/>
      </c>
      <c r="B143" s="56" t="str">
        <f>HLOOKUP(DATE($G$3,$H$3,$I$3),DATA!$C:$CS,ROW($B146),0)&amp;""</f>
        <v>02-09 05:17</v>
      </c>
      <c r="C143" s="66" t="str">
        <f t="array" ref="C143">IF($C$1="休息日","查询日休息！",INDEX(DATA!$A:$A,SMALL(COUNTIF($B$1:$B$200,DATA!$A$1:$A$200)/1%%+ROW($A$1:$A$200),ROW(A143)))&amp;"")</f>
        <v/>
      </c>
      <c r="D143" s="67"/>
      <c r="E143" s="67"/>
      <c r="F143" s="67"/>
      <c r="G143" s="67"/>
      <c r="H143" s="67"/>
      <c r="I143" s="67"/>
      <c r="J143" s="71"/>
    </row>
    <row r="144" s="54" customFormat="1" customHeight="1" spans="1:10">
      <c r="A144" s="56" t="str">
        <f ca="1">IFERROR(HLOOKUP(DATE($G$3,$H$3,$I$3),'API1'!$B$2:$CR$46,ROW($A147),0)&amp;"","")</f>
        <v/>
      </c>
      <c r="B144" s="56" t="str">
        <f>HLOOKUP(DATE($G$3,$H$3,$I$3),DATA!$C:$CS,ROW($B147),0)&amp;""</f>
        <v/>
      </c>
      <c r="C144" s="66" t="str">
        <f t="array" ref="C144">IF($C$1="休息日","查询日休息！",INDEX(DATA!$A:$A,SMALL(COUNTIF($B$1:$B$200,DATA!$A$1:$A$200)/1%%+ROW($A$1:$A$200),ROW(A144)))&amp;"")</f>
        <v/>
      </c>
      <c r="D144" s="67"/>
      <c r="E144" s="67"/>
      <c r="F144" s="67"/>
      <c r="G144" s="67"/>
      <c r="H144" s="67"/>
      <c r="I144" s="67"/>
      <c r="J144" s="71"/>
    </row>
    <row r="145" s="54" customFormat="1" customHeight="1" spans="1:10">
      <c r="A145" s="56" t="str">
        <f ca="1">IFERROR(HLOOKUP(DATE($G$3,$H$3,$I$3),'API1'!$B$2:$CR$46,ROW($A148),0)&amp;"","")</f>
        <v/>
      </c>
      <c r="B145" s="56" t="str">
        <f>HLOOKUP(DATE($G$3,$H$3,$I$3),DATA!$C:$CS,ROW($B148),0)&amp;""</f>
        <v>周美霖</v>
      </c>
      <c r="C145" s="66" t="str">
        <f t="array" ref="C145">IF($C$1="休息日","查询日休息！",INDEX(DATA!$A:$A,SMALL(COUNTIF($B$1:$B$200,DATA!$A$1:$A$200)/1%%+ROW($A$1:$A$200),ROW(A145)))&amp;"")</f>
        <v/>
      </c>
      <c r="D145" s="67"/>
      <c r="E145" s="67"/>
      <c r="F145" s="67"/>
      <c r="G145" s="67"/>
      <c r="H145" s="67"/>
      <c r="I145" s="67"/>
      <c r="J145" s="71"/>
    </row>
    <row r="146" s="54" customFormat="1" customHeight="1" spans="1:10">
      <c r="A146" s="56" t="str">
        <f ca="1">IFERROR(HLOOKUP(DATE($G$3,$H$3,$I$3),'API1'!$B$2:$CR$46,ROW($A149),0)&amp;"","")</f>
        <v/>
      </c>
      <c r="B146" s="56" t="str">
        <f>HLOOKUP(DATE($G$3,$H$3,$I$3),DATA!$C:$CS,ROW($B149),0)&amp;""</f>
        <v>02-09 05:13</v>
      </c>
      <c r="C146" s="66" t="str">
        <f t="array" ref="C146">IF($C$1="休息日","查询日休息！",INDEX(DATA!$A:$A,SMALL(COUNTIF($B$1:$B$200,DATA!$A$1:$A$200)/1%%+ROW($A$1:$A$200),ROW(A146)))&amp;"")</f>
        <v/>
      </c>
      <c r="D146" s="67"/>
      <c r="E146" s="67"/>
      <c r="F146" s="67"/>
      <c r="G146" s="67"/>
      <c r="H146" s="67"/>
      <c r="I146" s="67"/>
      <c r="J146" s="71"/>
    </row>
    <row r="147" s="54" customFormat="1" customHeight="1" spans="1:10">
      <c r="A147" s="56" t="str">
        <f ca="1">IFERROR(HLOOKUP(DATE($G$3,$H$3,$I$3),'API1'!$B$2:$CR$46,ROW($A150),0)&amp;"","")</f>
        <v/>
      </c>
      <c r="B147" s="56" t="str">
        <f>HLOOKUP(DATE($G$3,$H$3,$I$3),DATA!$C:$CS,ROW($B150),0)&amp;""</f>
        <v/>
      </c>
      <c r="C147" s="66" t="str">
        <f t="array" ref="C147">IF($C$1="休息日","查询日休息！",INDEX(DATA!$A:$A,SMALL(COUNTIF($B$1:$B$200,DATA!$A$1:$A$200)/1%%+ROW($A$1:$A$200),ROW(A147)))&amp;"")</f>
        <v/>
      </c>
      <c r="D147" s="67"/>
      <c r="E147" s="67"/>
      <c r="F147" s="67"/>
      <c r="G147" s="67"/>
      <c r="H147" s="67"/>
      <c r="I147" s="67"/>
      <c r="J147" s="71"/>
    </row>
    <row r="148" s="54" customFormat="1" customHeight="1" spans="1:10">
      <c r="A148" s="56" t="str">
        <f ca="1">IFERROR(HLOOKUP(DATE($G$3,$H$3,$I$3),'API1'!$B$2:$CR$46,ROW($A151),0)&amp;"","")</f>
        <v/>
      </c>
      <c r="B148" s="56" t="str">
        <f>HLOOKUP(DATE($G$3,$H$3,$I$3),DATA!$C:$CS,ROW($B151),0)&amp;""</f>
        <v/>
      </c>
      <c r="C148" s="66" t="str">
        <f t="array" ref="C148">IF($C$1="休息日","查询日休息！",INDEX(DATA!$A:$A,SMALL(COUNTIF($B$1:$B$200,DATA!$A$1:$A$200)/1%%+ROW($A$1:$A$200),ROW(A148)))&amp;"")</f>
        <v/>
      </c>
      <c r="D148" s="67"/>
      <c r="E148" s="67"/>
      <c r="F148" s="67"/>
      <c r="G148" s="67"/>
      <c r="H148" s="67"/>
      <c r="I148" s="67"/>
      <c r="J148" s="71"/>
    </row>
    <row r="149" s="54" customFormat="1" customHeight="1" spans="1:10">
      <c r="A149" s="56" t="str">
        <f ca="1">IFERROR(HLOOKUP(DATE($G$3,$H$3,$I$3),'API1'!$B$2:$CR$46,ROW($A152),0)&amp;"","")</f>
        <v/>
      </c>
      <c r="B149" s="56" t="str">
        <f>HLOOKUP(DATE($G$3,$H$3,$I$3),DATA!$C:$CS,ROW($B152),0)&amp;""</f>
        <v/>
      </c>
      <c r="C149" s="66" t="str">
        <f t="array" ref="C149">IF($C$1="休息日","查询日休息！",INDEX(DATA!$A:$A,SMALL(COUNTIF($B$1:$B$200,DATA!$A$1:$A$200)/1%%+ROW($A$1:$A$200),ROW(A149)))&amp;"")</f>
        <v/>
      </c>
      <c r="D149" s="67"/>
      <c r="E149" s="67"/>
      <c r="F149" s="67"/>
      <c r="G149" s="67"/>
      <c r="H149" s="67"/>
      <c r="I149" s="67"/>
      <c r="J149" s="71"/>
    </row>
    <row r="150" s="54" customFormat="1" customHeight="1" spans="1:10">
      <c r="A150" s="56" t="str">
        <f ca="1">IFERROR(HLOOKUP(DATE($G$3,$H$3,$I$3),'API1'!$B$2:$CR$46,ROW($A153),0)&amp;"","")</f>
        <v/>
      </c>
      <c r="B150" s="56" t="str">
        <f>HLOOKUP(DATE($G$3,$H$3,$I$3),DATA!$C:$CS,ROW($B153),0)&amp;""</f>
        <v/>
      </c>
      <c r="C150" s="66" t="str">
        <f t="array" ref="C150">IF($C$1="休息日","查询日休息！",INDEX(DATA!$A:$A,SMALL(COUNTIF($B$1:$B$200,DATA!$A$1:$A$200)/1%%+ROW($A$1:$A$200),ROW(A150)))&amp;"")</f>
        <v/>
      </c>
      <c r="D150" s="67"/>
      <c r="E150" s="67"/>
      <c r="F150" s="67"/>
      <c r="G150" s="67"/>
      <c r="H150" s="67"/>
      <c r="I150" s="67"/>
      <c r="J150" s="71"/>
    </row>
    <row r="151" s="54" customFormat="1" customHeight="1" spans="1:10">
      <c r="A151" s="56" t="str">
        <f ca="1">IFERROR(HLOOKUP(DATE($G$3,$H$3,$I$3),'API1'!$B$2:$CR$46,ROW($A154),0)&amp;"","")</f>
        <v/>
      </c>
      <c r="B151" s="56" t="str">
        <f>HLOOKUP(DATE($G$3,$H$3,$I$3),DATA!$C:$CS,ROW($B154),0)&amp;""</f>
        <v/>
      </c>
      <c r="C151" s="66" t="str">
        <f t="array" ref="C151">IF($C$1="休息日","查询日休息！",INDEX(DATA!$A:$A,SMALL(COUNTIF($B$1:$B$200,DATA!$A$1:$A$200)/1%%+ROW($A$1:$A$200),ROW(A151)))&amp;"")</f>
        <v/>
      </c>
      <c r="D151" s="67"/>
      <c r="E151" s="67"/>
      <c r="F151" s="67"/>
      <c r="G151" s="67"/>
      <c r="H151" s="67"/>
      <c r="I151" s="67"/>
      <c r="J151" s="71"/>
    </row>
    <row r="152" s="54" customFormat="1" customHeight="1" spans="1:10">
      <c r="A152" s="56" t="str">
        <f ca="1">IFERROR(HLOOKUP(DATE($G$3,$H$3,$I$3),'API1'!$B$2:$CR$46,ROW($A155),0)&amp;"","")</f>
        <v/>
      </c>
      <c r="B152" s="56" t="str">
        <f>HLOOKUP(DATE($G$3,$H$3,$I$3),DATA!$C:$CS,ROW($B155),0)&amp;""</f>
        <v/>
      </c>
      <c r="C152" s="66" t="str">
        <f t="array" ref="C152">IF($C$1="休息日","查询日休息！",INDEX(DATA!$A:$A,SMALL(COUNTIF($B$1:$B$200,DATA!$A$1:$A$200)/1%%+ROW($A$1:$A$200),ROW(A152)))&amp;"")</f>
        <v/>
      </c>
      <c r="D152" s="67"/>
      <c r="E152" s="67"/>
      <c r="F152" s="67"/>
      <c r="G152" s="67"/>
      <c r="H152" s="67"/>
      <c r="I152" s="67"/>
      <c r="J152" s="71"/>
    </row>
    <row r="153" s="54" customFormat="1" customHeight="1" spans="1:10">
      <c r="A153" s="56" t="str">
        <f ca="1">IFERROR(HLOOKUP(DATE($G$3,$H$3,$I$3),'API1'!$B$2:$CR$46,ROW($A156),0)&amp;"","")</f>
        <v/>
      </c>
      <c r="B153" s="56" t="str">
        <f>HLOOKUP(DATE($G$3,$H$3,$I$3),DATA!$C:$CS,ROW($B156),0)&amp;""</f>
        <v/>
      </c>
      <c r="C153" s="66" t="str">
        <f t="array" ref="C153">IF($C$1="休息日","查询日休息！",INDEX(DATA!$A:$A,SMALL(COUNTIF($B$1:$B$200,DATA!$A$1:$A$200)/1%%+ROW($A$1:$A$200),ROW(A153)))&amp;"")</f>
        <v/>
      </c>
      <c r="D153" s="67"/>
      <c r="E153" s="67"/>
      <c r="F153" s="67"/>
      <c r="G153" s="67"/>
      <c r="H153" s="67"/>
      <c r="I153" s="67"/>
      <c r="J153" s="71"/>
    </row>
    <row r="154" s="54" customFormat="1" customHeight="1" spans="1:10">
      <c r="A154" s="56" t="str">
        <f ca="1">IFERROR(HLOOKUP(DATE($G$3,$H$3,$I$3),'API1'!$B$2:$CR$46,ROW($A157),0)&amp;"","")</f>
        <v/>
      </c>
      <c r="B154" s="56" t="str">
        <f>HLOOKUP(DATE($G$3,$H$3,$I$3),DATA!$C:$CS,ROW($B157),0)&amp;""</f>
        <v/>
      </c>
      <c r="C154" s="66" t="str">
        <f t="array" ref="C154">IF($C$1="休息日","查询日休息！",INDEX(DATA!$A:$A,SMALL(COUNTIF($B$1:$B$200,DATA!$A$1:$A$200)/1%%+ROW($A$1:$A$200),ROW(A154)))&amp;"")</f>
        <v/>
      </c>
      <c r="D154" s="67"/>
      <c r="E154" s="67"/>
      <c r="F154" s="67"/>
      <c r="G154" s="67"/>
      <c r="H154" s="67"/>
      <c r="I154" s="67"/>
      <c r="J154" s="71"/>
    </row>
    <row r="155" s="54" customFormat="1" customHeight="1" spans="1:10">
      <c r="A155" s="56" t="str">
        <f ca="1">IFERROR(HLOOKUP(DATE($G$3,$H$3,$I$3),'API1'!$B$2:$CR$46,ROW($A158),0)&amp;"","")</f>
        <v/>
      </c>
      <c r="B155" s="56" t="str">
        <f>HLOOKUP(DATE($G$3,$H$3,$I$3),DATA!$C:$CS,ROW($B158),0)&amp;""</f>
        <v/>
      </c>
      <c r="C155" s="66" t="str">
        <f t="array" ref="C155">IF($C$1="休息日","查询日休息！",INDEX(DATA!$A:$A,SMALL(COUNTIF($B$1:$B$200,DATA!$A$1:$A$200)/1%%+ROW($A$1:$A$200),ROW(A155)))&amp;"")</f>
        <v/>
      </c>
      <c r="D155" s="67"/>
      <c r="E155" s="67"/>
      <c r="F155" s="67"/>
      <c r="G155" s="67"/>
      <c r="H155" s="67"/>
      <c r="I155" s="67"/>
      <c r="J155" s="71"/>
    </row>
    <row r="156" s="54" customFormat="1" customHeight="1" spans="1:10">
      <c r="A156" s="56" t="str">
        <f ca="1">IFERROR(HLOOKUP(DATE($G$3,$H$3,$I$3),'API1'!$B$2:$CR$46,ROW($A159),0)&amp;"","")</f>
        <v/>
      </c>
      <c r="B156" s="56" t="str">
        <f>HLOOKUP(DATE($G$3,$H$3,$I$3),DATA!$C:$CS,ROW($B159),0)&amp;""</f>
        <v/>
      </c>
      <c r="C156" s="66" t="str">
        <f t="array" ref="C156">IF($C$1="休息日","查询日休息！",INDEX(DATA!$A:$A,SMALL(COUNTIF($B$1:$B$200,DATA!$A$1:$A$200)/1%%+ROW($A$1:$A$200),ROW(A156)))&amp;"")</f>
        <v/>
      </c>
      <c r="D156" s="67"/>
      <c r="E156" s="67"/>
      <c r="F156" s="67"/>
      <c r="G156" s="67"/>
      <c r="H156" s="67"/>
      <c r="I156" s="67"/>
      <c r="J156" s="71"/>
    </row>
    <row r="157" s="54" customFormat="1" customHeight="1" spans="1:10">
      <c r="A157" s="56" t="str">
        <f ca="1">IFERROR(HLOOKUP(DATE($G$3,$H$3,$I$3),'API1'!$B$2:$CR$46,ROW($A160),0)&amp;"","")</f>
        <v/>
      </c>
      <c r="B157" s="56" t="str">
        <f>HLOOKUP(DATE($G$3,$H$3,$I$3),DATA!$C:$CS,ROW($B160),0)&amp;""</f>
        <v/>
      </c>
      <c r="C157" s="66" t="str">
        <f t="array" ref="C157">IF($C$1="休息日","查询日休息！",INDEX(DATA!$A:$A,SMALL(COUNTIF($B$1:$B$200,DATA!$A$1:$A$200)/1%%+ROW($A$1:$A$200),ROW(A157)))&amp;"")</f>
        <v/>
      </c>
      <c r="D157" s="67"/>
      <c r="E157" s="67"/>
      <c r="F157" s="67"/>
      <c r="G157" s="67"/>
      <c r="H157" s="67"/>
      <c r="I157" s="67"/>
      <c r="J157" s="71"/>
    </row>
    <row r="158" s="54" customFormat="1" customHeight="1" spans="1:10">
      <c r="A158" s="56" t="str">
        <f ca="1">IFERROR(HLOOKUP(DATE($G$3,$H$3,$I$3),'API1'!$B$2:$CR$46,ROW($A161),0)&amp;"","")</f>
        <v/>
      </c>
      <c r="B158" s="56" t="str">
        <f>HLOOKUP(DATE($G$3,$H$3,$I$3),DATA!$C:$CS,ROW($B161),0)&amp;""</f>
        <v/>
      </c>
      <c r="C158" s="66" t="str">
        <f t="array" ref="C158">IF($C$1="休息日","查询日休息！",INDEX(DATA!$A:$A,SMALL(COUNTIF($B$1:$B$200,DATA!$A$1:$A$200)/1%%+ROW($A$1:$A$200),ROW(A158)))&amp;"")</f>
        <v/>
      </c>
      <c r="D158" s="67"/>
      <c r="E158" s="67"/>
      <c r="F158" s="67"/>
      <c r="G158" s="67"/>
      <c r="H158" s="67"/>
      <c r="I158" s="67"/>
      <c r="J158" s="71"/>
    </row>
    <row r="159" s="54" customFormat="1" customHeight="1" spans="1:10">
      <c r="A159" s="56" t="str">
        <f ca="1">IFERROR(HLOOKUP(DATE($G$3,$H$3,$I$3),'API1'!$B$2:$CR$46,ROW($A162),0)&amp;"","")</f>
        <v/>
      </c>
      <c r="B159" s="56" t="str">
        <f>HLOOKUP(DATE($G$3,$H$3,$I$3),DATA!$C:$CS,ROW($B162),0)&amp;""</f>
        <v/>
      </c>
      <c r="C159" s="66" t="str">
        <f t="array" ref="C159">IF($C$1="休息日","查询日休息！",INDEX(DATA!$A:$A,SMALL(COUNTIF($B$1:$B$200,DATA!$A$1:$A$200)/1%%+ROW($A$1:$A$200),ROW(A159)))&amp;"")</f>
        <v/>
      </c>
      <c r="D159" s="67"/>
      <c r="E159" s="67"/>
      <c r="F159" s="67"/>
      <c r="G159" s="67"/>
      <c r="H159" s="67"/>
      <c r="I159" s="67"/>
      <c r="J159" s="71"/>
    </row>
    <row r="160" s="54" customFormat="1" customHeight="1" spans="1:10">
      <c r="A160" s="56" t="str">
        <f ca="1">IFERROR(HLOOKUP(DATE($G$3,$H$3,$I$3),'API1'!$B$2:$CR$46,ROW($A163),0)&amp;"","")</f>
        <v/>
      </c>
      <c r="B160" s="56" t="str">
        <f>HLOOKUP(DATE($G$3,$H$3,$I$3),DATA!$C:$CS,ROW($B163),0)&amp;""</f>
        <v/>
      </c>
      <c r="C160" s="66" t="str">
        <f t="array" ref="C160">IF($C$1="休息日","查询日休息！",INDEX(DATA!$A:$A,SMALL(COUNTIF($B$1:$B$200,DATA!$A$1:$A$200)/1%%+ROW($A$1:$A$200),ROW(A160)))&amp;"")</f>
        <v/>
      </c>
      <c r="D160" s="67"/>
      <c r="E160" s="67"/>
      <c r="F160" s="67"/>
      <c r="G160" s="67"/>
      <c r="H160" s="67"/>
      <c r="I160" s="67"/>
      <c r="J160" s="71"/>
    </row>
    <row r="161" s="54" customFormat="1" customHeight="1" spans="1:10">
      <c r="A161" s="56" t="str">
        <f ca="1">IFERROR(HLOOKUP(DATE($G$3,$H$3,$I$3),'API1'!$B$2:$CR$46,ROW($A164),0)&amp;"","")</f>
        <v/>
      </c>
      <c r="B161" s="56" t="str">
        <f>HLOOKUP(DATE($G$3,$H$3,$I$3),DATA!$C:$CS,ROW($B164),0)&amp;""</f>
        <v/>
      </c>
      <c r="C161" s="66" t="str">
        <f t="array" ref="C161">IF($C$1="休息日","查询日休息！",INDEX(DATA!$A:$A,SMALL(COUNTIF($B$1:$B$200,DATA!$A$1:$A$200)/1%%+ROW($A$1:$A$200),ROW(A161)))&amp;"")</f>
        <v/>
      </c>
      <c r="D161" s="67"/>
      <c r="E161" s="67"/>
      <c r="F161" s="67"/>
      <c r="G161" s="67"/>
      <c r="H161" s="67"/>
      <c r="I161" s="67"/>
      <c r="J161" s="71"/>
    </row>
    <row r="162" s="54" customFormat="1" customHeight="1" spans="1:10">
      <c r="A162" s="56" t="str">
        <f ca="1">IFERROR(HLOOKUP(DATE($G$3,$H$3,$I$3),'API1'!$B$2:$CR$46,ROW($A165),0)&amp;"","")</f>
        <v/>
      </c>
      <c r="B162" s="56" t="str">
        <f>HLOOKUP(DATE($G$3,$H$3,$I$3),DATA!$C:$CS,ROW($B165),0)&amp;""</f>
        <v/>
      </c>
      <c r="C162" s="66" t="str">
        <f t="array" ref="C162">IF($C$1="休息日","查询日休息！",INDEX(DATA!$A:$A,SMALL(COUNTIF($B$1:$B$200,DATA!$A$1:$A$200)/1%%+ROW($A$1:$A$200),ROW(A162)))&amp;"")</f>
        <v/>
      </c>
      <c r="D162" s="67"/>
      <c r="E162" s="67"/>
      <c r="F162" s="67"/>
      <c r="G162" s="67"/>
      <c r="H162" s="67"/>
      <c r="I162" s="67"/>
      <c r="J162" s="71"/>
    </row>
    <row r="163" s="54" customFormat="1" customHeight="1" spans="1:10">
      <c r="A163" s="56" t="str">
        <f ca="1">IFERROR(HLOOKUP(DATE($G$3,$H$3,$I$3),'API1'!$B$2:$CR$46,ROW($A166),0)&amp;"","")</f>
        <v/>
      </c>
      <c r="B163" s="56" t="str">
        <f>HLOOKUP(DATE($G$3,$H$3,$I$3),DATA!$C:$CS,ROW($B166),0)&amp;""</f>
        <v/>
      </c>
      <c r="C163" s="66" t="str">
        <f t="array" ref="C163">IF($C$1="休息日","查询日休息！",INDEX(DATA!$A:$A,SMALL(COUNTIF($B$1:$B$200,DATA!$A$1:$A$200)/1%%+ROW($A$1:$A$200),ROW(A163)))&amp;"")</f>
        <v/>
      </c>
      <c r="D163" s="67"/>
      <c r="E163" s="67"/>
      <c r="F163" s="67"/>
      <c r="G163" s="67"/>
      <c r="H163" s="67"/>
      <c r="I163" s="67"/>
      <c r="J163" s="71"/>
    </row>
    <row r="164" s="54" customFormat="1" customHeight="1" spans="1:10">
      <c r="A164" s="56" t="str">
        <f ca="1">IFERROR(HLOOKUP(DATE($G$3,$H$3,$I$3),'API1'!$B$2:$CR$46,ROW($A167),0)&amp;"","")</f>
        <v/>
      </c>
      <c r="B164" s="56" t="str">
        <f>HLOOKUP(DATE($G$3,$H$3,$I$3),DATA!$C:$CS,ROW($B167),0)&amp;""</f>
        <v/>
      </c>
      <c r="C164" s="66" t="str">
        <f t="array" ref="C164">IF($C$1="休息日","查询日休息！",INDEX(DATA!$A:$A,SMALL(COUNTIF($B$1:$B$200,DATA!$A$1:$A$200)/1%%+ROW($A$1:$A$200),ROW(A164)))&amp;"")</f>
        <v/>
      </c>
      <c r="D164" s="67"/>
      <c r="E164" s="67"/>
      <c r="F164" s="67"/>
      <c r="G164" s="67"/>
      <c r="H164" s="67"/>
      <c r="I164" s="67"/>
      <c r="J164" s="71"/>
    </row>
    <row r="165" s="54" customFormat="1" customHeight="1" spans="1:10">
      <c r="A165" s="56" t="str">
        <f ca="1">IFERROR(HLOOKUP(DATE($G$3,$H$3,$I$3),'API1'!$B$2:$CR$46,ROW($A168),0)&amp;"","")</f>
        <v/>
      </c>
      <c r="B165" s="56" t="str">
        <f>HLOOKUP(DATE($G$3,$H$3,$I$3),DATA!$C:$CS,ROW($B168),0)&amp;""</f>
        <v/>
      </c>
      <c r="C165" s="66" t="str">
        <f t="array" ref="C165">IF($C$1="休息日","查询日休息！",INDEX(DATA!$A:$A,SMALL(COUNTIF($B$1:$B$200,DATA!$A$1:$A$200)/1%%+ROW($A$1:$A$200),ROW(A165)))&amp;"")</f>
        <v/>
      </c>
      <c r="D165" s="67"/>
      <c r="E165" s="67"/>
      <c r="F165" s="67"/>
      <c r="G165" s="67"/>
      <c r="H165" s="67"/>
      <c r="I165" s="67"/>
      <c r="J165" s="71"/>
    </row>
    <row r="166" s="54" customFormat="1" customHeight="1" spans="1:10">
      <c r="A166" s="56" t="str">
        <f ca="1">IFERROR(HLOOKUP(DATE($G$3,$H$3,$I$3),'API1'!$B$2:$CR$46,ROW($A169),0)&amp;"","")</f>
        <v/>
      </c>
      <c r="B166" s="56" t="str">
        <f>HLOOKUP(DATE($G$3,$H$3,$I$3),DATA!$C:$CS,ROW($B169),0)&amp;""</f>
        <v/>
      </c>
      <c r="C166" s="66" t="str">
        <f t="array" ref="C166">IF($C$1="休息日","查询日休息！",INDEX(DATA!$A:$A,SMALL(COUNTIF($B$1:$B$200,DATA!$A$1:$A$200)/1%%+ROW($A$1:$A$200),ROW(A166)))&amp;"")</f>
        <v/>
      </c>
      <c r="D166" s="67"/>
      <c r="E166" s="67"/>
      <c r="F166" s="67"/>
      <c r="G166" s="67"/>
      <c r="H166" s="67"/>
      <c r="I166" s="67"/>
      <c r="J166" s="71"/>
    </row>
    <row r="167" s="54" customFormat="1" customHeight="1" spans="1:10">
      <c r="A167" s="56" t="str">
        <f ca="1">IFERROR(HLOOKUP(DATE($G$3,$H$3,$I$3),'API1'!$B$2:$CR$46,ROW($A170),0)&amp;"","")</f>
        <v/>
      </c>
      <c r="B167" s="56" t="str">
        <f>HLOOKUP(DATE($G$3,$H$3,$I$3),DATA!$C:$CS,ROW($B170),0)&amp;""</f>
        <v/>
      </c>
      <c r="C167" s="66" t="str">
        <f t="array" ref="C167">IF($C$1="休息日","查询日休息！",INDEX(DATA!$A:$A,SMALL(COUNTIF($B$1:$B$200,DATA!$A$1:$A$200)/1%%+ROW($A$1:$A$200),ROW(A167)))&amp;"")</f>
        <v/>
      </c>
      <c r="D167" s="67"/>
      <c r="E167" s="67"/>
      <c r="F167" s="67"/>
      <c r="G167" s="67"/>
      <c r="H167" s="67"/>
      <c r="I167" s="67"/>
      <c r="J167" s="71"/>
    </row>
    <row r="168" s="54" customFormat="1" customHeight="1" spans="1:10">
      <c r="A168" s="56" t="str">
        <f ca="1">IFERROR(HLOOKUP(DATE($G$3,$H$3,$I$3),'API1'!$B$2:$CR$46,ROW($A171),0)&amp;"","")</f>
        <v/>
      </c>
      <c r="B168" s="56" t="str">
        <f>HLOOKUP(DATE($G$3,$H$3,$I$3),DATA!$C:$CS,ROW($B171),0)&amp;""</f>
        <v/>
      </c>
      <c r="C168" s="66" t="str">
        <f t="array" ref="C168">IF($C$1="休息日","查询日休息！",INDEX(DATA!$A:$A,SMALL(COUNTIF($B$1:$B$200,DATA!$A$1:$A$200)/1%%+ROW($A$1:$A$200),ROW(A168)))&amp;"")</f>
        <v/>
      </c>
      <c r="D168" s="67"/>
      <c r="E168" s="67"/>
      <c r="F168" s="67"/>
      <c r="G168" s="67"/>
      <c r="H168" s="67"/>
      <c r="I168" s="67"/>
      <c r="J168" s="71"/>
    </row>
    <row r="169" s="54" customFormat="1" customHeight="1" spans="1:10">
      <c r="A169" s="56" t="str">
        <f ca="1">IFERROR(HLOOKUP(DATE($G$3,$H$3,$I$3),'API1'!$B$2:$CR$46,ROW($A172),0)&amp;"","")</f>
        <v/>
      </c>
      <c r="B169" s="56" t="str">
        <f>HLOOKUP(DATE($G$3,$H$3,$I$3),DATA!$C:$CS,ROW($B172),0)&amp;""</f>
        <v/>
      </c>
      <c r="C169" s="66" t="str">
        <f t="array" ref="C169">IF($C$1="休息日","查询日休息！",INDEX(DATA!$A:$A,SMALL(COUNTIF($B$1:$B$200,DATA!$A$1:$A$200)/1%%+ROW($A$1:$A$200),ROW(A169)))&amp;"")</f>
        <v/>
      </c>
      <c r="D169" s="67"/>
      <c r="E169" s="67"/>
      <c r="F169" s="67"/>
      <c r="G169" s="67"/>
      <c r="H169" s="67"/>
      <c r="I169" s="67"/>
      <c r="J169" s="71"/>
    </row>
    <row r="170" s="54" customFormat="1" customHeight="1" spans="1:10">
      <c r="A170" s="56" t="str">
        <f ca="1">IFERROR(HLOOKUP(DATE($G$3,$H$3,$I$3),'API1'!$B$2:$CR$46,ROW($A173),0)&amp;"","")</f>
        <v/>
      </c>
      <c r="B170" s="56" t="str">
        <f>HLOOKUP(DATE($G$3,$H$3,$I$3),DATA!$C:$CS,ROW($B173),0)&amp;""</f>
        <v/>
      </c>
      <c r="C170" s="66" t="str">
        <f t="array" ref="C170">IF($C$1="休息日","查询日休息！",INDEX(DATA!$A:$A,SMALL(COUNTIF($B$1:$B$200,DATA!$A$1:$A$200)/1%%+ROW($A$1:$A$200),ROW(A170)))&amp;"")</f>
        <v/>
      </c>
      <c r="D170" s="67"/>
      <c r="E170" s="67"/>
      <c r="F170" s="67"/>
      <c r="G170" s="67"/>
      <c r="H170" s="67"/>
      <c r="I170" s="67"/>
      <c r="J170" s="71"/>
    </row>
    <row r="171" s="54" customFormat="1" customHeight="1" spans="1:10">
      <c r="A171" s="56" t="str">
        <f ca="1">IFERROR(HLOOKUP(DATE($G$3,$H$3,$I$3),'API1'!$B$2:$CR$46,ROW($A174),0)&amp;"","")</f>
        <v/>
      </c>
      <c r="B171" s="56" t="str">
        <f>HLOOKUP(DATE($G$3,$H$3,$I$3),DATA!$C:$CS,ROW($B174),0)&amp;""</f>
        <v/>
      </c>
      <c r="C171" s="66" t="str">
        <f t="array" ref="C171">IF($C$1="休息日","查询日休息！",INDEX(DATA!$A:$A,SMALL(COUNTIF($B$1:$B$200,DATA!$A$1:$A$200)/1%%+ROW($A$1:$A$200),ROW(A171)))&amp;"")</f>
        <v/>
      </c>
      <c r="D171" s="67"/>
      <c r="E171" s="67"/>
      <c r="F171" s="67"/>
      <c r="G171" s="67"/>
      <c r="H171" s="67"/>
      <c r="I171" s="67"/>
      <c r="J171" s="71"/>
    </row>
    <row r="172" s="54" customFormat="1" customHeight="1" spans="1:10">
      <c r="A172" s="56" t="str">
        <f ca="1">IFERROR(HLOOKUP(DATE($G$3,$H$3,$I$3),'API1'!$B$2:$CR$46,ROW($A175),0)&amp;"","")</f>
        <v/>
      </c>
      <c r="B172" s="56" t="str">
        <f>HLOOKUP(DATE($G$3,$H$3,$I$3),DATA!$C:$CS,ROW($B175),0)&amp;""</f>
        <v/>
      </c>
      <c r="C172" s="66" t="str">
        <f t="array" ref="C172">IF($C$1="休息日","查询日休息！",INDEX(DATA!$A:$A,SMALL(COUNTIF($B$1:$B$200,DATA!$A$1:$A$200)/1%%+ROW($A$1:$A$200),ROW(A172)))&amp;"")</f>
        <v/>
      </c>
      <c r="D172" s="67"/>
      <c r="E172" s="67"/>
      <c r="F172" s="67"/>
      <c r="G172" s="67"/>
      <c r="H172" s="67"/>
      <c r="I172" s="67"/>
      <c r="J172" s="71"/>
    </row>
    <row r="173" s="54" customFormat="1" customHeight="1" spans="1:10">
      <c r="A173" s="56" t="str">
        <f ca="1">IFERROR(HLOOKUP(DATE($G$3,$H$3,$I$3),'API1'!$B$2:$CR$46,ROW($A176),0)&amp;"","")</f>
        <v/>
      </c>
      <c r="B173" s="56" t="str">
        <f>HLOOKUP(DATE($G$3,$H$3,$I$3),DATA!$C:$CS,ROW($B176),0)&amp;""</f>
        <v/>
      </c>
      <c r="C173" s="66" t="str">
        <f t="array" ref="C173">IF($C$1="休息日","查询日休息！",INDEX(DATA!$A:$A,SMALL(COUNTIF($B$1:$B$200,DATA!$A$1:$A$200)/1%%+ROW($A$1:$A$200),ROW(A173)))&amp;"")</f>
        <v/>
      </c>
      <c r="D173" s="67"/>
      <c r="E173" s="67"/>
      <c r="F173" s="67"/>
      <c r="G173" s="67"/>
      <c r="H173" s="67"/>
      <c r="I173" s="67"/>
      <c r="J173" s="71"/>
    </row>
    <row r="174" s="54" customFormat="1" customHeight="1" spans="1:10">
      <c r="A174" s="56" t="str">
        <f ca="1">IFERROR(HLOOKUP(DATE($G$3,$H$3,$I$3),'API1'!$B$2:$CR$46,ROW($A177),0)&amp;"","")</f>
        <v/>
      </c>
      <c r="B174" s="56" t="str">
        <f>HLOOKUP(DATE($G$3,$H$3,$I$3),DATA!$C:$CS,ROW($B177),0)&amp;""</f>
        <v/>
      </c>
      <c r="C174" s="66" t="str">
        <f t="array" ref="C174">IF($C$1="休息日","查询日休息！",INDEX(DATA!$A:$A,SMALL(COUNTIF($B$1:$B$200,DATA!$A$1:$A$200)/1%%+ROW($A$1:$A$200),ROW(A174)))&amp;"")</f>
        <v/>
      </c>
      <c r="D174" s="67"/>
      <c r="E174" s="67"/>
      <c r="F174" s="67"/>
      <c r="G174" s="67"/>
      <c r="H174" s="67"/>
      <c r="I174" s="67"/>
      <c r="J174" s="71"/>
    </row>
    <row r="175" s="54" customFormat="1" customHeight="1" spans="1:10">
      <c r="A175" s="56" t="str">
        <f ca="1">IFERROR(HLOOKUP(DATE($G$3,$H$3,$I$3),'API1'!$B$2:$CR$46,ROW($A178),0)&amp;"","")</f>
        <v/>
      </c>
      <c r="B175" s="56" t="str">
        <f>HLOOKUP(DATE($G$3,$H$3,$I$3),DATA!$C:$CS,ROW($B178),0)&amp;""</f>
        <v/>
      </c>
      <c r="C175" s="66" t="str">
        <f t="array" ref="C175">IF($C$1="休息日","查询日休息！",INDEX(DATA!$A:$A,SMALL(COUNTIF($B$1:$B$200,DATA!$A$1:$A$200)/1%%+ROW($A$1:$A$200),ROW(A175)))&amp;"")</f>
        <v/>
      </c>
      <c r="D175" s="67"/>
      <c r="E175" s="67"/>
      <c r="F175" s="67"/>
      <c r="G175" s="67"/>
      <c r="H175" s="67"/>
      <c r="I175" s="67"/>
      <c r="J175" s="71"/>
    </row>
    <row r="176" s="54" customFormat="1" customHeight="1" spans="1:10">
      <c r="A176" s="56" t="str">
        <f ca="1">IFERROR(HLOOKUP(DATE($G$3,$H$3,$I$3),'API1'!$B$2:$CR$46,ROW($A179),0)&amp;"","")</f>
        <v/>
      </c>
      <c r="B176" s="56" t="str">
        <f>HLOOKUP(DATE($G$3,$H$3,$I$3),DATA!$C:$CS,ROW($B179),0)&amp;""</f>
        <v/>
      </c>
      <c r="C176" s="66" t="str">
        <f t="array" ref="C176">IF($C$1="休息日","查询日休息！",INDEX(DATA!$A:$A,SMALL(COUNTIF($B$1:$B$200,DATA!$A$1:$A$200)/1%%+ROW($A$1:$A$200),ROW(A176)))&amp;"")</f>
        <v/>
      </c>
      <c r="D176" s="67"/>
      <c r="E176" s="67"/>
      <c r="F176" s="67"/>
      <c r="G176" s="67"/>
      <c r="H176" s="67"/>
      <c r="I176" s="67"/>
      <c r="J176" s="71"/>
    </row>
    <row r="177" s="54" customFormat="1" customHeight="1" spans="1:10">
      <c r="A177" s="56" t="str">
        <f ca="1">IFERROR(HLOOKUP(DATE($G$3,$H$3,$I$3),'API1'!$B$2:$CR$46,ROW($A180),0)&amp;"","")</f>
        <v/>
      </c>
      <c r="B177" s="56" t="str">
        <f>HLOOKUP(DATE($G$3,$H$3,$I$3),DATA!$C:$CS,ROW($B180),0)&amp;""</f>
        <v/>
      </c>
      <c r="C177" s="66" t="str">
        <f t="array" ref="C177">IF($C$1="休息日","查询日休息！",INDEX(DATA!$A:$A,SMALL(COUNTIF($B$1:$B$200,DATA!$A$1:$A$200)/1%%+ROW($A$1:$A$200),ROW(A177)))&amp;"")</f>
        <v/>
      </c>
      <c r="D177" s="67"/>
      <c r="E177" s="67"/>
      <c r="F177" s="67"/>
      <c r="G177" s="67"/>
      <c r="H177" s="67"/>
      <c r="I177" s="67"/>
      <c r="J177" s="71"/>
    </row>
    <row r="178" s="54" customFormat="1" customHeight="1" spans="1:10">
      <c r="A178" s="56" t="str">
        <f ca="1">IFERROR(HLOOKUP(DATE($G$3,$H$3,$I$3),'API1'!$B$2:$CR$46,ROW($A181),0)&amp;"","")</f>
        <v/>
      </c>
      <c r="B178" s="56" t="str">
        <f>HLOOKUP(DATE($G$3,$H$3,$I$3),DATA!$C:$CS,ROW($B181),0)&amp;""</f>
        <v/>
      </c>
      <c r="C178" s="66" t="str">
        <f t="array" ref="C178">IF($C$1="休息日","查询日休息！",INDEX(DATA!$A:$A,SMALL(COUNTIF($B$1:$B$200,DATA!$A$1:$A$200)/1%%+ROW($A$1:$A$200),ROW(A178)))&amp;"")</f>
        <v/>
      </c>
      <c r="D178" s="67"/>
      <c r="E178" s="67"/>
      <c r="F178" s="67"/>
      <c r="G178" s="67"/>
      <c r="H178" s="67"/>
      <c r="I178" s="67"/>
      <c r="J178" s="71"/>
    </row>
    <row r="179" s="54" customFormat="1" customHeight="1" spans="1:10">
      <c r="A179" s="56" t="str">
        <f ca="1">IFERROR(HLOOKUP(DATE($G$3,$H$3,$I$3),'API1'!$B$2:$CR$46,ROW($A182),0)&amp;"","")</f>
        <v/>
      </c>
      <c r="B179" s="56" t="str">
        <f>HLOOKUP(DATE($G$3,$H$3,$I$3),DATA!$C:$CS,ROW($B182),0)&amp;""</f>
        <v/>
      </c>
      <c r="C179" s="66" t="str">
        <f t="array" ref="C179">IF($C$1="休息日","查询日休息！",INDEX(DATA!$A:$A,SMALL(COUNTIF($B$1:$B$200,DATA!$A$1:$A$200)/1%%+ROW($A$1:$A$200),ROW(A179)))&amp;"")</f>
        <v/>
      </c>
      <c r="D179" s="67"/>
      <c r="E179" s="67"/>
      <c r="F179" s="67"/>
      <c r="G179" s="67"/>
      <c r="H179" s="67"/>
      <c r="I179" s="67"/>
      <c r="J179" s="71"/>
    </row>
    <row r="180" s="54" customFormat="1" customHeight="1" spans="1:10">
      <c r="A180" s="56" t="str">
        <f ca="1">IFERROR(HLOOKUP(DATE($G$3,$H$3,$I$3),'API1'!$B$2:$CR$46,ROW($A183),0)&amp;"","")</f>
        <v/>
      </c>
      <c r="B180" s="56" t="str">
        <f>HLOOKUP(DATE($G$3,$H$3,$I$3),DATA!$C:$CS,ROW($B183),0)&amp;""</f>
        <v/>
      </c>
      <c r="C180" s="66" t="str">
        <f t="array" ref="C180">IF($C$1="休息日","查询日休息！",INDEX(DATA!$A:$A,SMALL(COUNTIF($B$1:$B$200,DATA!$A$1:$A$200)/1%%+ROW($A$1:$A$200),ROW(A180)))&amp;"")</f>
        <v/>
      </c>
      <c r="D180" s="67"/>
      <c r="E180" s="67"/>
      <c r="F180" s="67"/>
      <c r="G180" s="67"/>
      <c r="H180" s="67"/>
      <c r="I180" s="67"/>
      <c r="J180" s="71"/>
    </row>
    <row r="181" s="54" customFormat="1" customHeight="1" spans="1:10">
      <c r="A181" s="56" t="str">
        <f ca="1">IFERROR(HLOOKUP(DATE($G$3,$H$3,$I$3),'API1'!$B$2:$CR$46,ROW($A184),0)&amp;"","")</f>
        <v/>
      </c>
      <c r="B181" s="56" t="str">
        <f>HLOOKUP(DATE($G$3,$H$3,$I$3),DATA!$C:$CS,ROW($B184),0)&amp;""</f>
        <v/>
      </c>
      <c r="C181" s="66" t="str">
        <f t="array" ref="C181">IF($C$1="休息日","查询日休息！",INDEX(DATA!$A:$A,SMALL(COUNTIF($B$1:$B$200,DATA!$A$1:$A$200)/1%%+ROW($A$1:$A$200),ROW(A181)))&amp;"")</f>
        <v/>
      </c>
      <c r="D181" s="67"/>
      <c r="E181" s="67"/>
      <c r="F181" s="67"/>
      <c r="G181" s="67"/>
      <c r="H181" s="67"/>
      <c r="I181" s="67"/>
      <c r="J181" s="71"/>
    </row>
    <row r="182" s="54" customFormat="1" customHeight="1" spans="1:10">
      <c r="A182" s="56" t="str">
        <f ca="1">IFERROR(HLOOKUP(DATE($G$3,$H$3,$I$3),'API1'!$B$2:$CR$46,ROW($A185),0)&amp;"","")</f>
        <v/>
      </c>
      <c r="B182" s="56" t="str">
        <f>HLOOKUP(DATE($G$3,$H$3,$I$3),DATA!$C:$CS,ROW($B185),0)&amp;""</f>
        <v/>
      </c>
      <c r="C182" s="66" t="str">
        <f t="array" ref="C182">IF($C$1="休息日","查询日休息！",INDEX(DATA!$A:$A,SMALL(COUNTIF($B$1:$B$200,DATA!$A$1:$A$200)/1%%+ROW($A$1:$A$200),ROW(A182)))&amp;"")</f>
        <v/>
      </c>
      <c r="D182" s="67"/>
      <c r="E182" s="67"/>
      <c r="F182" s="67"/>
      <c r="G182" s="67"/>
      <c r="H182" s="67"/>
      <c r="I182" s="67"/>
      <c r="J182" s="71"/>
    </row>
    <row r="183" s="54" customFormat="1" customHeight="1" spans="1:10">
      <c r="A183" s="56" t="str">
        <f ca="1">IFERROR(HLOOKUP(DATE($G$3,$H$3,$I$3),'API1'!$B$2:$CR$46,ROW($A186),0)&amp;"","")</f>
        <v/>
      </c>
      <c r="B183" s="56" t="str">
        <f>HLOOKUP(DATE($G$3,$H$3,$I$3),DATA!$C:$CS,ROW($B186),0)&amp;""</f>
        <v/>
      </c>
      <c r="C183" s="66" t="str">
        <f t="array" ref="C183">IF($C$1="休息日","查询日休息！",INDEX(DATA!$A:$A,SMALL(COUNTIF($B$1:$B$200,DATA!$A$1:$A$200)/1%%+ROW($A$1:$A$200),ROW(A183)))&amp;"")</f>
        <v/>
      </c>
      <c r="D183" s="67"/>
      <c r="E183" s="67"/>
      <c r="F183" s="67"/>
      <c r="G183" s="67"/>
      <c r="H183" s="67"/>
      <c r="I183" s="67"/>
      <c r="J183" s="71"/>
    </row>
    <row r="184" s="54" customFormat="1" customHeight="1" spans="1:10">
      <c r="A184" s="56" t="str">
        <f ca="1">IFERROR(HLOOKUP(DATE($G$3,$H$3,$I$3),'API1'!$B$2:$CR$46,ROW($A187),0)&amp;"","")</f>
        <v/>
      </c>
      <c r="B184" s="56" t="str">
        <f>HLOOKUP(DATE($G$3,$H$3,$I$3),DATA!$C:$CS,ROW($B187),0)&amp;""</f>
        <v/>
      </c>
      <c r="C184" s="66" t="str">
        <f t="array" ref="C184">IF($C$1="休息日","查询日休息！",INDEX(DATA!$A:$A,SMALL(COUNTIF($B$1:$B$200,DATA!$A$1:$A$200)/1%%+ROW($A$1:$A$200),ROW(A184)))&amp;"")</f>
        <v/>
      </c>
      <c r="D184" s="67"/>
      <c r="E184" s="67"/>
      <c r="F184" s="67"/>
      <c r="G184" s="67"/>
      <c r="H184" s="67"/>
      <c r="I184" s="67"/>
      <c r="J184" s="71"/>
    </row>
    <row r="185" s="54" customFormat="1" customHeight="1" spans="1:10">
      <c r="A185" s="56" t="str">
        <f ca="1">IFERROR(HLOOKUP(DATE($G$3,$H$3,$I$3),'API1'!$B$2:$CR$46,ROW($A188),0)&amp;"","")</f>
        <v/>
      </c>
      <c r="B185" s="56" t="str">
        <f>HLOOKUP(DATE($G$3,$H$3,$I$3),DATA!$C:$CS,ROW($B188),0)&amp;""</f>
        <v/>
      </c>
      <c r="C185" s="66" t="str">
        <f t="array" ref="C185">IF($C$1="休息日","查询日休息！",INDEX(DATA!$A:$A,SMALL(COUNTIF($B$1:$B$200,DATA!$A$1:$A$200)/1%%+ROW($A$1:$A$200),ROW(A185)))&amp;"")</f>
        <v/>
      </c>
      <c r="D185" s="67"/>
      <c r="E185" s="67"/>
      <c r="F185" s="67"/>
      <c r="G185" s="67"/>
      <c r="H185" s="67"/>
      <c r="I185" s="67"/>
      <c r="J185" s="71"/>
    </row>
    <row r="186" s="54" customFormat="1" customHeight="1" spans="1:10">
      <c r="A186" s="56" t="str">
        <f ca="1">IFERROR(HLOOKUP(DATE($G$3,$H$3,$I$3),'API1'!$B$2:$CR$46,ROW($A189),0)&amp;"","")</f>
        <v/>
      </c>
      <c r="B186" s="56" t="str">
        <f>HLOOKUP(DATE($G$3,$H$3,$I$3),DATA!$C:$CS,ROW($B189),0)&amp;""</f>
        <v/>
      </c>
      <c r="C186" s="66" t="str">
        <f t="array" ref="C186">IF($C$1="休息日","查询日休息！",INDEX(DATA!$A:$A,SMALL(COUNTIF($B$1:$B$200,DATA!$A$1:$A$200)/1%%+ROW($A$1:$A$200),ROW(A186)))&amp;"")</f>
        <v/>
      </c>
      <c r="D186" s="67"/>
      <c r="E186" s="67"/>
      <c r="F186" s="67"/>
      <c r="G186" s="67"/>
      <c r="H186" s="67"/>
      <c r="I186" s="67"/>
      <c r="J186" s="71"/>
    </row>
    <row r="187" s="54" customFormat="1" customHeight="1" spans="1:10">
      <c r="A187" s="56" t="str">
        <f ca="1">IFERROR(HLOOKUP(DATE($G$3,$H$3,$I$3),'API1'!$B$2:$CR$46,ROW($A190),0)&amp;"","")</f>
        <v/>
      </c>
      <c r="B187" s="56" t="str">
        <f>HLOOKUP(DATE($G$3,$H$3,$I$3),DATA!$C:$CS,ROW($B190),0)&amp;""</f>
        <v/>
      </c>
      <c r="C187" s="66" t="str">
        <f t="array" ref="C187">IF($C$1="休息日","查询日休息！",INDEX(DATA!$A:$A,SMALL(COUNTIF($B$1:$B$200,DATA!$A$1:$A$200)/1%%+ROW($A$1:$A$200),ROW(A187)))&amp;"")</f>
        <v/>
      </c>
      <c r="D187" s="67"/>
      <c r="E187" s="67"/>
      <c r="F187" s="67"/>
      <c r="G187" s="67"/>
      <c r="H187" s="67"/>
      <c r="I187" s="67"/>
      <c r="J187" s="71"/>
    </row>
    <row r="188" s="54" customFormat="1" customHeight="1" spans="1:10">
      <c r="A188" s="56" t="str">
        <f ca="1">IFERROR(HLOOKUP(DATE($G$3,$H$3,$I$3),'API1'!$B$2:$CR$46,ROW($A191),0)&amp;"","")</f>
        <v/>
      </c>
      <c r="B188" s="56" t="str">
        <f>HLOOKUP(DATE($G$3,$H$3,$I$3),DATA!$C:$CS,ROW($B191),0)&amp;""</f>
        <v/>
      </c>
      <c r="C188" s="66" t="str">
        <f t="array" ref="C188">IF($C$1="休息日","查询日休息！",INDEX(DATA!$A:$A,SMALL(COUNTIF($B$1:$B$200,DATA!$A$1:$A$200)/1%%+ROW($A$1:$A$200),ROW(A188)))&amp;"")</f>
        <v/>
      </c>
      <c r="D188" s="67"/>
      <c r="E188" s="67"/>
      <c r="F188" s="67"/>
      <c r="G188" s="67"/>
      <c r="H188" s="67"/>
      <c r="I188" s="67"/>
      <c r="J188" s="71"/>
    </row>
    <row r="189" s="54" customFormat="1" customHeight="1" spans="1:10">
      <c r="A189" s="56" t="str">
        <f ca="1">IFERROR(HLOOKUP(DATE($G$3,$H$3,$I$3),'API1'!$B$2:$CR$46,ROW($A192),0)&amp;"","")</f>
        <v/>
      </c>
      <c r="B189" s="56" t="str">
        <f>HLOOKUP(DATE($G$3,$H$3,$I$3),DATA!$C:$CS,ROW($B192),0)&amp;""</f>
        <v/>
      </c>
      <c r="C189" s="66" t="str">
        <f t="array" ref="C189">IF($C$1="休息日","查询日休息！",INDEX(DATA!$A:$A,SMALL(COUNTIF($B$1:$B$200,DATA!$A$1:$A$200)/1%%+ROW($A$1:$A$200),ROW(A189)))&amp;"")</f>
        <v/>
      </c>
      <c r="D189" s="67"/>
      <c r="E189" s="67"/>
      <c r="F189" s="67"/>
      <c r="G189" s="67"/>
      <c r="H189" s="67"/>
      <c r="I189" s="67"/>
      <c r="J189" s="71"/>
    </row>
    <row r="190" s="54" customFormat="1" customHeight="1" spans="1:10">
      <c r="A190" s="56" t="str">
        <f ca="1">IFERROR(HLOOKUP(DATE($G$3,$H$3,$I$3),'API1'!$B$2:$CR$46,ROW($A193),0)&amp;"","")</f>
        <v/>
      </c>
      <c r="B190" s="56" t="str">
        <f>HLOOKUP(DATE($G$3,$H$3,$I$3),DATA!$C:$CS,ROW($B193),0)&amp;""</f>
        <v/>
      </c>
      <c r="C190" s="66" t="str">
        <f t="array" ref="C190">IF($C$1="休息日","查询日休息！",INDEX(DATA!$A:$A,SMALL(COUNTIF($B$1:$B$200,DATA!$A$1:$A$200)/1%%+ROW($A$1:$A$200),ROW(A190)))&amp;"")</f>
        <v/>
      </c>
      <c r="D190" s="67"/>
      <c r="E190" s="67"/>
      <c r="F190" s="67"/>
      <c r="G190" s="67"/>
      <c r="H190" s="67"/>
      <c r="I190" s="67"/>
      <c r="J190" s="71"/>
    </row>
    <row r="191" s="54" customFormat="1" customHeight="1" spans="1:10">
      <c r="A191" s="56" t="str">
        <f ca="1">IFERROR(HLOOKUP(DATE($G$3,$H$3,$I$3),'API1'!$B$2:$CR$46,ROW($A194),0)&amp;"","")</f>
        <v/>
      </c>
      <c r="B191" s="56" t="str">
        <f>HLOOKUP(DATE($G$3,$H$3,$I$3),DATA!$C:$CS,ROW($B194),0)&amp;""</f>
        <v/>
      </c>
      <c r="C191" s="66" t="str">
        <f t="array" ref="C191">IF($C$1="休息日","查询日休息！",INDEX(DATA!$A:$A,SMALL(COUNTIF($B$1:$B$200,DATA!$A$1:$A$200)/1%%+ROW($A$1:$A$200),ROW(A191)))&amp;"")</f>
        <v/>
      </c>
      <c r="D191" s="67"/>
      <c r="E191" s="67"/>
      <c r="F191" s="67"/>
      <c r="G191" s="67"/>
      <c r="H191" s="67"/>
      <c r="I191" s="67"/>
      <c r="J191" s="71"/>
    </row>
    <row r="192" s="54" customFormat="1" customHeight="1" spans="1:10">
      <c r="A192" s="56" t="str">
        <f ca="1">IFERROR(HLOOKUP(DATE($G$3,$H$3,$I$3),'API1'!$B$2:$CR$46,ROW($A195),0)&amp;"","")</f>
        <v/>
      </c>
      <c r="B192" s="56" t="str">
        <f>HLOOKUP(DATE($G$3,$H$3,$I$3),DATA!$C:$CS,ROW($B195),0)&amp;""</f>
        <v/>
      </c>
      <c r="C192" s="66" t="str">
        <f t="array" ref="C192">IF($C$1="休息日","查询日休息！",INDEX(DATA!$A:$A,SMALL(COUNTIF($B$1:$B$200,DATA!$A$1:$A$200)/1%%+ROW($A$1:$A$200),ROW(A192)))&amp;"")</f>
        <v/>
      </c>
      <c r="D192" s="67"/>
      <c r="E192" s="67"/>
      <c r="F192" s="67"/>
      <c r="G192" s="67"/>
      <c r="H192" s="67"/>
      <c r="I192" s="67"/>
      <c r="J192" s="71"/>
    </row>
    <row r="193" s="54" customFormat="1" customHeight="1" spans="1:10">
      <c r="A193" s="56" t="str">
        <f ca="1">IFERROR(HLOOKUP(DATE($G$3,$H$3,$I$3),'API1'!$B$2:$CR$46,ROW($A196),0)&amp;"","")</f>
        <v/>
      </c>
      <c r="B193" s="56" t="str">
        <f>HLOOKUP(DATE($G$3,$H$3,$I$3),DATA!$C:$CS,ROW($B196),0)&amp;""</f>
        <v/>
      </c>
      <c r="C193" s="66" t="str">
        <f t="array" ref="C193">IF($C$1="休息日","查询日休息！",INDEX(DATA!$A:$A,SMALL(COUNTIF($B$1:$B$200,DATA!$A$1:$A$200)/1%%+ROW($A$1:$A$200),ROW(A193)))&amp;"")</f>
        <v/>
      </c>
      <c r="D193" s="67"/>
      <c r="E193" s="67"/>
      <c r="F193" s="67"/>
      <c r="G193" s="67"/>
      <c r="H193" s="67"/>
      <c r="I193" s="67"/>
      <c r="J193" s="71"/>
    </row>
    <row r="194" s="54" customFormat="1" customHeight="1" spans="1:10">
      <c r="A194" s="56" t="str">
        <f ca="1">IFERROR(HLOOKUP(DATE($G$3,$H$3,$I$3),'API1'!$B$2:$CR$46,ROW($A197),0)&amp;"","")</f>
        <v/>
      </c>
      <c r="B194" s="56" t="str">
        <f>HLOOKUP(DATE($G$3,$H$3,$I$3),DATA!$C:$CS,ROW($B197),0)&amp;""</f>
        <v/>
      </c>
      <c r="C194" s="66" t="str">
        <f t="array" ref="C194">IF($C$1="休息日","查询日休息！",INDEX(DATA!$A:$A,SMALL(COUNTIF($B$1:$B$200,DATA!$A$1:$A$200)/1%%+ROW($A$1:$A$200),ROW(A194)))&amp;"")</f>
        <v/>
      </c>
      <c r="D194" s="67"/>
      <c r="E194" s="67"/>
      <c r="F194" s="67"/>
      <c r="G194" s="67"/>
      <c r="H194" s="67"/>
      <c r="I194" s="67"/>
      <c r="J194" s="71"/>
    </row>
    <row r="195" s="54" customFormat="1" customHeight="1" spans="1:10">
      <c r="A195" s="56" t="str">
        <f ca="1">IFERROR(HLOOKUP(DATE($G$3,$H$3,$I$3),'API1'!$B$2:$CR$46,ROW($A198),0)&amp;"","")</f>
        <v/>
      </c>
      <c r="B195" s="56" t="str">
        <f>HLOOKUP(DATE($G$3,$H$3,$I$3),DATA!$C:$CS,ROW($B198),0)&amp;""</f>
        <v/>
      </c>
      <c r="C195" s="66" t="str">
        <f t="array" ref="C195">IF($C$1="休息日","查询日休息！",INDEX(DATA!$A:$A,SMALL(COUNTIF($B$1:$B$200,DATA!$A$1:$A$200)/1%%+ROW($A$1:$A$200),ROW(A195)))&amp;"")</f>
        <v/>
      </c>
      <c r="D195" s="67"/>
      <c r="E195" s="67"/>
      <c r="F195" s="67"/>
      <c r="G195" s="67"/>
      <c r="H195" s="67"/>
      <c r="I195" s="67"/>
      <c r="J195" s="71"/>
    </row>
    <row r="196" s="54" customFormat="1" customHeight="1" spans="1:10">
      <c r="A196" s="56" t="str">
        <f ca="1">IFERROR(HLOOKUP(DATE($G$3,$H$3,$I$3),'API1'!$B$2:$CR$46,ROW($A199),0)&amp;"","")</f>
        <v/>
      </c>
      <c r="B196" s="56" t="str">
        <f>HLOOKUP(DATE($G$3,$H$3,$I$3),DATA!$C:$CS,ROW($B199),0)&amp;""</f>
        <v/>
      </c>
      <c r="C196" s="66" t="str">
        <f t="array" ref="C196">IF($C$1="休息日","查询日休息！",INDEX(DATA!$A:$A,SMALL(COUNTIF($B$1:$B$200,DATA!$A$1:$A$200)/1%%+ROW($A$1:$A$200),ROW(A196)))&amp;"")</f>
        <v/>
      </c>
      <c r="D196" s="67"/>
      <c r="E196" s="67"/>
      <c r="F196" s="67"/>
      <c r="G196" s="67"/>
      <c r="H196" s="67"/>
      <c r="I196" s="67"/>
      <c r="J196" s="71"/>
    </row>
    <row r="197" s="54" customFormat="1" customHeight="1" spans="1:10">
      <c r="A197" s="56" t="str">
        <f ca="1">IFERROR(HLOOKUP(DATE($G$3,$H$3,$I$3),'API1'!$B$2:$CR$46,ROW($A200),0)&amp;"","")</f>
        <v/>
      </c>
      <c r="B197" s="56" t="str">
        <f>HLOOKUP(DATE($G$3,$H$3,$I$3),DATA!$C:$CS,ROW($B200),0)&amp;""</f>
        <v/>
      </c>
      <c r="C197" s="66" t="str">
        <f t="array" ref="C197">IF($C$1="休息日","查询日休息！",INDEX(DATA!$A:$A,SMALL(COUNTIF($B$1:$B$200,DATA!$A$1:$A$200)/1%%+ROW($A$1:$A$200),ROW(A197)))&amp;"")</f>
        <v/>
      </c>
      <c r="D197" s="67"/>
      <c r="E197" s="67"/>
      <c r="F197" s="67"/>
      <c r="G197" s="67"/>
      <c r="H197" s="67"/>
      <c r="I197" s="67"/>
      <c r="J197" s="71"/>
    </row>
    <row r="198" s="54" customFormat="1" customHeight="1" spans="1:10">
      <c r="A198" s="56" t="str">
        <f ca="1">IFERROR(HLOOKUP(DATE($G$3,$H$3,$I$3),'API1'!$B$2:$CR$46,ROW($A201),0)&amp;"","")</f>
        <v/>
      </c>
      <c r="B198" s="56" t="str">
        <f>HLOOKUP(DATE($G$3,$H$3,$I$3),DATA!$C:$CS,ROW($B201),0)&amp;""</f>
        <v/>
      </c>
      <c r="C198" s="66" t="str">
        <f t="array" ref="C198">IF($C$1="休息日","查询日休息！",INDEX(DATA!$A:$A,SMALL(COUNTIF($B$1:$B$200,DATA!$A$1:$A$200)/1%%+ROW($A$1:$A$200),ROW(A198)))&amp;"")</f>
        <v/>
      </c>
      <c r="D198" s="67"/>
      <c r="E198" s="67"/>
      <c r="F198" s="67"/>
      <c r="G198" s="67"/>
      <c r="H198" s="67"/>
      <c r="I198" s="67"/>
      <c r="J198" s="71"/>
    </row>
    <row r="199" s="54" customFormat="1" customHeight="1" spans="1:10">
      <c r="A199" s="56" t="str">
        <f ca="1">IFERROR(HLOOKUP(DATE($G$3,$H$3,$I$3),'API1'!$B$2:$CR$46,ROW($A202),0)&amp;"","")</f>
        <v/>
      </c>
      <c r="B199" s="56" t="str">
        <f>HLOOKUP(DATE($G$3,$H$3,$I$3),DATA!$C:$CS,ROW($B202),0)&amp;""</f>
        <v/>
      </c>
      <c r="C199" s="66" t="str">
        <f t="array" ref="C199">IF($C$1="休息日","查询日休息！",INDEX(DATA!$A:$A,SMALL(COUNTIF($B$1:$B$200,DATA!$A$1:$A$200)/1%%+ROW($A$1:$A$200),ROW(A199)))&amp;"")</f>
        <v/>
      </c>
      <c r="D199" s="67"/>
      <c r="E199" s="67"/>
      <c r="F199" s="67"/>
      <c r="G199" s="67"/>
      <c r="H199" s="67"/>
      <c r="I199" s="67"/>
      <c r="J199" s="71"/>
    </row>
    <row r="200" s="54" customFormat="1" customHeight="1" spans="1:10">
      <c r="A200" s="56" t="str">
        <f ca="1">IFERROR(HLOOKUP(DATE($G$3,$H$3,$I$3),'API1'!$B$2:$CR$46,ROW($A203),0)&amp;"","")</f>
        <v/>
      </c>
      <c r="B200" s="56" t="str">
        <f>HLOOKUP(DATE($G$3,$H$3,$I$3),DATA!$C:$CS,ROW($B203),0)&amp;""</f>
        <v/>
      </c>
      <c r="C200" s="66" t="str">
        <f t="array" ref="C200">IF($C$1="休息日","查询日休息！",INDEX(DATA!$A:$A,SMALL(COUNTIF($B$1:$B$200,DATA!$A$1:$A$200)/1%%+ROW($A$1:$A$200),ROW(A200)))&amp;"")</f>
        <v/>
      </c>
      <c r="D200" s="72"/>
      <c r="E200" s="72"/>
      <c r="F200" s="72"/>
      <c r="G200" s="72"/>
      <c r="H200" s="72"/>
      <c r="I200" s="72"/>
      <c r="J200" s="62"/>
    </row>
  </sheetData>
  <sheetProtection password="C724" sheet="1" objects="1"/>
  <mergeCells count="4">
    <mergeCell ref="D1:F1"/>
    <mergeCell ref="G1:J1"/>
    <mergeCell ref="D4:J4"/>
    <mergeCell ref="C2:C3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31" r:id="rId3" name="GetTime">
          <controlPr defaultSize="0" r:id="rId4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16383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031" r:id="rId3" name="GetTi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4" tint="0.399731437116611"/>
  </sheetPr>
  <dimension ref="A1:H17"/>
  <sheetViews>
    <sheetView zoomScale="85" zoomScaleNormal="85" workbookViewId="0">
      <selection activeCell="H3" sqref="H3"/>
    </sheetView>
  </sheetViews>
  <sheetFormatPr defaultColWidth="0" defaultRowHeight="13.5" zeroHeight="1" outlineLevelCol="7"/>
  <cols>
    <col min="1" max="8" width="10.625" style="30" customWidth="1"/>
    <col min="9" max="9" width="10.625" style="30" hidden="1" customWidth="1"/>
    <col min="10" max="16384" width="10.625" style="30" hidden="1"/>
  </cols>
  <sheetData>
    <row r="1" s="39" customFormat="1" ht="22.5" spans="1:8">
      <c r="A1" s="40" t="s">
        <v>9</v>
      </c>
      <c r="B1" s="41"/>
      <c r="C1" s="41"/>
      <c r="D1" s="41"/>
      <c r="E1" s="41"/>
      <c r="F1" s="42"/>
      <c r="G1" s="40"/>
      <c r="H1" s="42"/>
    </row>
    <row r="2" s="39" customFormat="1" ht="22.5" spans="1:8">
      <c r="A2" s="43" t="s">
        <v>10</v>
      </c>
      <c r="B2" s="43"/>
      <c r="C2" s="43" t="s">
        <v>11</v>
      </c>
      <c r="D2" s="43"/>
      <c r="E2" s="43" t="s">
        <v>12</v>
      </c>
      <c r="F2" s="43"/>
      <c r="G2" s="44" t="s">
        <v>13</v>
      </c>
      <c r="H2" s="44" t="s">
        <v>14</v>
      </c>
    </row>
    <row r="3" s="39" customFormat="1" ht="22.5" spans="1:8">
      <c r="A3" s="43">
        <f>'API2'!$B$4</f>
        <v>9</v>
      </c>
      <c r="B3" s="43"/>
      <c r="C3" s="43">
        <f>'API2'!$C$4</f>
        <v>360</v>
      </c>
      <c r="D3" s="43"/>
      <c r="E3" s="45">
        <f>'API2'!$D$4</f>
        <v>0.975609756097561</v>
      </c>
      <c r="F3" s="45"/>
      <c r="G3" s="46">
        <v>2021</v>
      </c>
      <c r="H3" s="46">
        <v>2</v>
      </c>
    </row>
    <row r="4" s="39" customFormat="1" ht="21.75" spans="1:8">
      <c r="A4" s="47"/>
      <c r="B4" s="48"/>
      <c r="C4" s="48"/>
      <c r="D4" s="48"/>
      <c r="E4" s="48"/>
      <c r="F4" s="48"/>
      <c r="G4" s="49"/>
      <c r="H4" s="50"/>
    </row>
    <row r="5" s="39" customFormat="1" ht="21" spans="1:8">
      <c r="A5" s="47"/>
      <c r="B5" s="48"/>
      <c r="C5" s="48"/>
      <c r="D5" s="48"/>
      <c r="E5" s="48"/>
      <c r="F5" s="48"/>
      <c r="G5" s="49"/>
      <c r="H5" s="50"/>
    </row>
    <row r="6" s="39" customFormat="1" ht="21" spans="1:8">
      <c r="A6" s="47"/>
      <c r="B6" s="48"/>
      <c r="C6" s="48"/>
      <c r="D6" s="48"/>
      <c r="E6" s="48"/>
      <c r="F6" s="48"/>
      <c r="G6" s="49"/>
      <c r="H6" s="50"/>
    </row>
    <row r="7" s="39" customFormat="1" ht="21" spans="1:8">
      <c r="A7" s="47"/>
      <c r="B7" s="48"/>
      <c r="C7" s="48"/>
      <c r="D7" s="48"/>
      <c r="E7" s="48"/>
      <c r="F7" s="48"/>
      <c r="G7" s="49"/>
      <c r="H7" s="50"/>
    </row>
    <row r="8" s="39" customFormat="1" ht="21" spans="1:8">
      <c r="A8" s="47"/>
      <c r="B8" s="48"/>
      <c r="C8" s="48"/>
      <c r="D8" s="48"/>
      <c r="E8" s="48"/>
      <c r="F8" s="48"/>
      <c r="G8" s="49"/>
      <c r="H8" s="50"/>
    </row>
    <row r="9" s="39" customFormat="1" ht="21" spans="1:8">
      <c r="A9" s="47"/>
      <c r="B9" s="48"/>
      <c r="C9" s="48"/>
      <c r="D9" s="48"/>
      <c r="E9" s="48"/>
      <c r="F9" s="48"/>
      <c r="G9" s="49"/>
      <c r="H9" s="50"/>
    </row>
    <row r="10" s="39" customFormat="1" ht="21" spans="1:8">
      <c r="A10" s="47"/>
      <c r="B10" s="48"/>
      <c r="C10" s="48"/>
      <c r="D10" s="48"/>
      <c r="E10" s="48"/>
      <c r="F10" s="48"/>
      <c r="G10" s="49"/>
      <c r="H10" s="50"/>
    </row>
    <row r="11" s="39" customFormat="1" ht="21" spans="1:8">
      <c r="A11" s="47"/>
      <c r="B11" s="48"/>
      <c r="C11" s="48"/>
      <c r="D11" s="48"/>
      <c r="E11" s="48"/>
      <c r="F11" s="48"/>
      <c r="G11" s="49"/>
      <c r="H11" s="50"/>
    </row>
    <row r="12" s="39" customFormat="1" ht="21" spans="1:8">
      <c r="A12" s="47"/>
      <c r="B12" s="48"/>
      <c r="C12" s="48"/>
      <c r="D12" s="48"/>
      <c r="E12" s="48"/>
      <c r="F12" s="48"/>
      <c r="G12" s="49"/>
      <c r="H12" s="50"/>
    </row>
    <row r="13" s="39" customFormat="1" ht="21" spans="1:8">
      <c r="A13" s="47"/>
      <c r="B13" s="48"/>
      <c r="C13" s="48"/>
      <c r="D13" s="48"/>
      <c r="E13" s="48"/>
      <c r="F13" s="48"/>
      <c r="G13" s="49"/>
      <c r="H13" s="50"/>
    </row>
    <row r="14" s="39" customFormat="1" ht="21" spans="1:8">
      <c r="A14" s="47"/>
      <c r="B14" s="48"/>
      <c r="C14" s="48"/>
      <c r="D14" s="48"/>
      <c r="E14" s="48"/>
      <c r="F14" s="48"/>
      <c r="G14" s="49"/>
      <c r="H14" s="50"/>
    </row>
    <row r="15" s="39" customFormat="1" ht="21" spans="1:8">
      <c r="A15" s="47"/>
      <c r="B15" s="48"/>
      <c r="C15" s="48"/>
      <c r="D15" s="48"/>
      <c r="E15" s="48"/>
      <c r="F15" s="48"/>
      <c r="G15" s="49"/>
      <c r="H15" s="50"/>
    </row>
    <row r="16" s="39" customFormat="1" ht="21" spans="1:8">
      <c r="A16" s="47"/>
      <c r="B16" s="48"/>
      <c r="C16" s="48"/>
      <c r="D16" s="48"/>
      <c r="E16" s="48"/>
      <c r="F16" s="48"/>
      <c r="G16" s="49"/>
      <c r="H16" s="50"/>
    </row>
    <row r="17" s="39" customFormat="1" ht="21.75" spans="1:8">
      <c r="A17" s="51"/>
      <c r="B17" s="52"/>
      <c r="C17" s="52"/>
      <c r="D17" s="52"/>
      <c r="E17" s="52"/>
      <c r="F17" s="52"/>
      <c r="G17" s="52"/>
      <c r="H17" s="53"/>
    </row>
  </sheetData>
  <sheetProtection password="C724" sheet="1" objects="1"/>
  <mergeCells count="8">
    <mergeCell ref="A1:F1"/>
    <mergeCell ref="G1:H1"/>
    <mergeCell ref="A2:B2"/>
    <mergeCell ref="C2:D2"/>
    <mergeCell ref="E2:F2"/>
    <mergeCell ref="A3:B3"/>
    <mergeCell ref="C3:D3"/>
    <mergeCell ref="E3:F3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0" r:id="rId3" name="GetTime">
          <controlPr defaultSize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0" r:id="rId3" name="GetTi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C00000"/>
  </sheetPr>
  <dimension ref="A1:H45"/>
  <sheetViews>
    <sheetView workbookViewId="0">
      <selection activeCell="H2" sqref="$A1:$XFD1048576"/>
    </sheetView>
  </sheetViews>
  <sheetFormatPr defaultColWidth="0" defaultRowHeight="13.5" outlineLevelCol="7"/>
  <cols>
    <col min="1" max="1" width="13.75" style="38" customWidth="1"/>
    <col min="2" max="2" width="6.375" style="38" customWidth="1"/>
    <col min="3" max="3" width="5.375" style="38" customWidth="1"/>
    <col min="4" max="4" width="9.375" style="38" hidden="1" customWidth="1"/>
    <col min="5" max="5" width="5.375" style="38" customWidth="1"/>
    <col min="6" max="6" width="11.5" style="38" customWidth="1"/>
    <col min="7" max="7" width="3.375" style="38" customWidth="1"/>
    <col min="8" max="8" width="5.375" style="38" customWidth="1"/>
    <col min="9" max="9" width="10.625" style="38" hidden="1" customWidth="1"/>
    <col min="10" max="16382" width="10.625" style="38" hidden="1"/>
    <col min="16383" max="16384" width="0" style="38" hidden="1"/>
  </cols>
  <sheetData>
    <row r="1" spans="1:1">
      <c r="A1" s="38">
        <f ca="1">TODAY()</f>
        <v>44237</v>
      </c>
    </row>
    <row r="2" spans="1:6">
      <c r="A2" s="38" t="s">
        <v>15</v>
      </c>
      <c r="B2" s="38" t="s">
        <v>16</v>
      </c>
      <c r="C2" s="38" t="s">
        <v>17</v>
      </c>
      <c r="D2" s="38" t="s">
        <v>18</v>
      </c>
      <c r="E2" s="38" t="s">
        <v>19</v>
      </c>
      <c r="F2" s="38" t="s">
        <v>20</v>
      </c>
    </row>
    <row r="4" spans="1:6">
      <c r="A4" s="38" t="s">
        <v>21</v>
      </c>
      <c r="B4" s="38">
        <f>SUM(B5:B200)</f>
        <v>9</v>
      </c>
      <c r="C4" s="38">
        <f>SUM(C$5:C$200)</f>
        <v>360</v>
      </c>
      <c r="D4" s="38">
        <f>IF($A4="","",C4/(C4+B4))</f>
        <v>0.975609756097561</v>
      </c>
      <c r="F4" s="38" t="str">
        <f>IF($A4="","",TEXT(C4/(C4+B4),"0.000%"))</f>
        <v>97.561%</v>
      </c>
    </row>
    <row r="5" spans="1:6">
      <c r="A5" s="38" t="s">
        <v>22</v>
      </c>
      <c r="B5" s="38">
        <v>0</v>
      </c>
      <c r="C5" s="38">
        <v>9</v>
      </c>
      <c r="D5" s="38">
        <f>IF($A5="","",C5/(C5+B5))</f>
        <v>1</v>
      </c>
      <c r="E5" s="38">
        <f>IF($A5="","",RANK($D5,$D$5:$D$45,0))</f>
        <v>1</v>
      </c>
      <c r="F5" s="38" t="s">
        <v>23</v>
      </c>
    </row>
    <row r="6" spans="1:5">
      <c r="A6" s="38" t="s">
        <v>24</v>
      </c>
      <c r="B6" s="38">
        <v>0</v>
      </c>
      <c r="C6" s="38">
        <v>9</v>
      </c>
      <c r="D6" s="38">
        <f>IF($A6="","",C6/(C6+B6))</f>
        <v>1</v>
      </c>
      <c r="E6" s="38">
        <f t="shared" ref="E6:E45" si="0">IF($A6="","",RANK($D6,$D$5:$D$45,0))</f>
        <v>1</v>
      </c>
    </row>
    <row r="7" spans="1:7">
      <c r="A7" s="38" t="s">
        <v>25</v>
      </c>
      <c r="B7" s="38">
        <v>0</v>
      </c>
      <c r="C7" s="38">
        <v>9</v>
      </c>
      <c r="D7" s="38">
        <f t="shared" ref="D7:D45" si="1">IF($A7="","",C7/(C7+B7))</f>
        <v>1</v>
      </c>
      <c r="E7" s="38">
        <f t="shared" si="0"/>
        <v>1</v>
      </c>
      <c r="F7" s="38" t="s">
        <v>26</v>
      </c>
      <c r="G7" s="38">
        <f>SUM(G8:G12)</f>
        <v>41</v>
      </c>
    </row>
    <row r="8" spans="1:8">
      <c r="A8" s="38" t="s">
        <v>27</v>
      </c>
      <c r="B8" s="38">
        <v>0</v>
      </c>
      <c r="C8" s="38">
        <v>9</v>
      </c>
      <c r="D8" s="38">
        <f t="shared" si="1"/>
        <v>1</v>
      </c>
      <c r="E8" s="38">
        <f t="shared" si="0"/>
        <v>1</v>
      </c>
      <c r="F8" s="38" t="s">
        <v>28</v>
      </c>
      <c r="G8" s="38">
        <f>COUNTIFS($D$5:$D$200,"&gt;=0",$D$5:$D$200,"&lt;0.2")</f>
        <v>1</v>
      </c>
      <c r="H8" s="38" t="str">
        <f>$G8&amp;"人"</f>
        <v>1人</v>
      </c>
    </row>
    <row r="9" spans="1:8">
      <c r="A9" s="38" t="s">
        <v>29</v>
      </c>
      <c r="B9" s="38">
        <v>0</v>
      </c>
      <c r="C9" s="38">
        <v>9</v>
      </c>
      <c r="D9" s="38">
        <f t="shared" si="1"/>
        <v>1</v>
      </c>
      <c r="E9" s="38">
        <f t="shared" si="0"/>
        <v>1</v>
      </c>
      <c r="F9" s="38" t="s">
        <v>30</v>
      </c>
      <c r="G9" s="38">
        <f>COUNTIFS($D$5:$D$200,"&gt;=0.2",$D$5:$D$200,"&lt;0.4")</f>
        <v>0</v>
      </c>
      <c r="H9" s="38" t="str">
        <f>$G9&amp;"人"</f>
        <v>0人</v>
      </c>
    </row>
    <row r="10" spans="1:8">
      <c r="A10" s="38" t="s">
        <v>31</v>
      </c>
      <c r="B10" s="38">
        <v>0</v>
      </c>
      <c r="C10" s="38">
        <v>9</v>
      </c>
      <c r="D10" s="38">
        <f t="shared" si="1"/>
        <v>1</v>
      </c>
      <c r="E10" s="38">
        <f t="shared" si="0"/>
        <v>1</v>
      </c>
      <c r="F10" s="38" t="s">
        <v>32</v>
      </c>
      <c r="G10" s="38">
        <f>COUNTIFS($D$5:$D$200,"&gt;=0.4",$D$5:$D$200,"&lt;0.6")</f>
        <v>0</v>
      </c>
      <c r="H10" s="38" t="str">
        <f>$G10&amp;"人"</f>
        <v>0人</v>
      </c>
    </row>
    <row r="11" spans="1:8">
      <c r="A11" s="38" t="s">
        <v>33</v>
      </c>
      <c r="B11" s="38">
        <v>0</v>
      </c>
      <c r="C11" s="38">
        <v>9</v>
      </c>
      <c r="D11" s="38">
        <f t="shared" si="1"/>
        <v>1</v>
      </c>
      <c r="E11" s="38">
        <f t="shared" si="0"/>
        <v>1</v>
      </c>
      <c r="F11" s="38" t="s">
        <v>34</v>
      </c>
      <c r="G11" s="38">
        <f>COUNTIFS($D$5:$D$200,"&gt;=0.6",$D$5:$D$200,"&lt;0.8")</f>
        <v>0</v>
      </c>
      <c r="H11" s="38" t="str">
        <f>$G11&amp;"人"</f>
        <v>0人</v>
      </c>
    </row>
    <row r="12" spans="1:8">
      <c r="A12" s="38" t="s">
        <v>35</v>
      </c>
      <c r="B12" s="38">
        <v>0</v>
      </c>
      <c r="C12" s="38">
        <v>9</v>
      </c>
      <c r="D12" s="38">
        <f t="shared" si="1"/>
        <v>1</v>
      </c>
      <c r="E12" s="38">
        <f t="shared" si="0"/>
        <v>1</v>
      </c>
      <c r="F12" s="38" t="s">
        <v>36</v>
      </c>
      <c r="G12" s="38">
        <f>COUNTIFS($D$5:$D$200,"&gt;=0.8",$D$5:$D$200,"&lt;=1")</f>
        <v>40</v>
      </c>
      <c r="H12" s="38" t="str">
        <f>$G12&amp;"人"</f>
        <v>40人</v>
      </c>
    </row>
    <row r="13" spans="1:5">
      <c r="A13" s="38" t="s">
        <v>37</v>
      </c>
      <c r="B13" s="38">
        <v>0</v>
      </c>
      <c r="C13" s="38">
        <v>9</v>
      </c>
      <c r="D13" s="38">
        <f t="shared" si="1"/>
        <v>1</v>
      </c>
      <c r="E13" s="38">
        <f t="shared" si="0"/>
        <v>1</v>
      </c>
    </row>
    <row r="14" spans="1:5">
      <c r="A14" s="38" t="s">
        <v>38</v>
      </c>
      <c r="B14" s="38">
        <v>0</v>
      </c>
      <c r="C14" s="38">
        <v>9</v>
      </c>
      <c r="D14" s="38">
        <f t="shared" si="1"/>
        <v>1</v>
      </c>
      <c r="E14" s="38">
        <f t="shared" si="0"/>
        <v>1</v>
      </c>
    </row>
    <row r="15" spans="1:5">
      <c r="A15" s="38" t="s">
        <v>39</v>
      </c>
      <c r="B15" s="38">
        <v>0</v>
      </c>
      <c r="C15" s="38">
        <v>9</v>
      </c>
      <c r="D15" s="38">
        <f t="shared" si="1"/>
        <v>1</v>
      </c>
      <c r="E15" s="38">
        <f t="shared" si="0"/>
        <v>1</v>
      </c>
    </row>
    <row r="16" spans="1:5">
      <c r="A16" s="38" t="s">
        <v>40</v>
      </c>
      <c r="B16" s="38">
        <v>0</v>
      </c>
      <c r="C16" s="38">
        <v>9</v>
      </c>
      <c r="D16" s="38">
        <f t="shared" si="1"/>
        <v>1</v>
      </c>
      <c r="E16" s="38">
        <f t="shared" si="0"/>
        <v>1</v>
      </c>
    </row>
    <row r="17" spans="1:5">
      <c r="A17" s="38" t="s">
        <v>41</v>
      </c>
      <c r="B17" s="38">
        <v>0</v>
      </c>
      <c r="C17" s="38">
        <v>9</v>
      </c>
      <c r="D17" s="38">
        <f t="shared" si="1"/>
        <v>1</v>
      </c>
      <c r="E17" s="38">
        <f t="shared" si="0"/>
        <v>1</v>
      </c>
    </row>
    <row r="18" spans="1:5">
      <c r="A18" s="38" t="s">
        <v>42</v>
      </c>
      <c r="B18" s="38">
        <v>0</v>
      </c>
      <c r="C18" s="38">
        <v>9</v>
      </c>
      <c r="D18" s="38">
        <f t="shared" si="1"/>
        <v>1</v>
      </c>
      <c r="E18" s="38">
        <f t="shared" si="0"/>
        <v>1</v>
      </c>
    </row>
    <row r="19" spans="1:5">
      <c r="A19" s="38" t="s">
        <v>43</v>
      </c>
      <c r="B19" s="38">
        <v>0</v>
      </c>
      <c r="C19" s="38">
        <v>9</v>
      </c>
      <c r="D19" s="38">
        <f t="shared" si="1"/>
        <v>1</v>
      </c>
      <c r="E19" s="38">
        <f t="shared" si="0"/>
        <v>1</v>
      </c>
    </row>
    <row r="20" spans="1:5">
      <c r="A20" s="38" t="s">
        <v>44</v>
      </c>
      <c r="B20" s="38">
        <v>0</v>
      </c>
      <c r="C20" s="38">
        <v>9</v>
      </c>
      <c r="D20" s="38">
        <f t="shared" si="1"/>
        <v>1</v>
      </c>
      <c r="E20" s="38">
        <f t="shared" si="0"/>
        <v>1</v>
      </c>
    </row>
    <row r="21" spans="1:5">
      <c r="A21" s="38" t="s">
        <v>45</v>
      </c>
      <c r="B21" s="38">
        <v>0</v>
      </c>
      <c r="C21" s="38">
        <v>9</v>
      </c>
      <c r="D21" s="38">
        <f t="shared" si="1"/>
        <v>1</v>
      </c>
      <c r="E21" s="38">
        <f t="shared" si="0"/>
        <v>1</v>
      </c>
    </row>
    <row r="22" spans="1:5">
      <c r="A22" s="38" t="s">
        <v>46</v>
      </c>
      <c r="B22" s="38">
        <v>0</v>
      </c>
      <c r="C22" s="38">
        <v>9</v>
      </c>
      <c r="D22" s="38">
        <f t="shared" si="1"/>
        <v>1</v>
      </c>
      <c r="E22" s="38">
        <f t="shared" si="0"/>
        <v>1</v>
      </c>
    </row>
    <row r="23" spans="1:5">
      <c r="A23" s="38" t="s">
        <v>47</v>
      </c>
      <c r="B23" s="38">
        <v>0</v>
      </c>
      <c r="C23" s="38">
        <v>9</v>
      </c>
      <c r="D23" s="38">
        <f t="shared" si="1"/>
        <v>1</v>
      </c>
      <c r="E23" s="38">
        <f t="shared" si="0"/>
        <v>1</v>
      </c>
    </row>
    <row r="24" spans="1:5">
      <c r="A24" s="38" t="s">
        <v>48</v>
      </c>
      <c r="B24" s="38">
        <v>0</v>
      </c>
      <c r="C24" s="38">
        <v>9</v>
      </c>
      <c r="D24" s="38">
        <f t="shared" si="1"/>
        <v>1</v>
      </c>
      <c r="E24" s="38">
        <f t="shared" si="0"/>
        <v>1</v>
      </c>
    </row>
    <row r="25" spans="1:5">
      <c r="A25" s="38" t="s">
        <v>49</v>
      </c>
      <c r="B25" s="38">
        <v>0</v>
      </c>
      <c r="C25" s="38">
        <v>9</v>
      </c>
      <c r="D25" s="38">
        <f t="shared" si="1"/>
        <v>1</v>
      </c>
      <c r="E25" s="38">
        <f t="shared" si="0"/>
        <v>1</v>
      </c>
    </row>
    <row r="26" spans="1:5">
      <c r="A26" s="38" t="s">
        <v>50</v>
      </c>
      <c r="B26" s="38">
        <v>0</v>
      </c>
      <c r="C26" s="38">
        <v>9</v>
      </c>
      <c r="D26" s="38">
        <f t="shared" si="1"/>
        <v>1</v>
      </c>
      <c r="E26" s="38">
        <f t="shared" si="0"/>
        <v>1</v>
      </c>
    </row>
    <row r="27" spans="1:5">
      <c r="A27" s="38" t="s">
        <v>51</v>
      </c>
      <c r="B27" s="38">
        <v>0</v>
      </c>
      <c r="C27" s="38">
        <v>9</v>
      </c>
      <c r="D27" s="38">
        <f t="shared" si="1"/>
        <v>1</v>
      </c>
      <c r="E27" s="38">
        <f t="shared" si="0"/>
        <v>1</v>
      </c>
    </row>
    <row r="28" spans="1:5">
      <c r="A28" s="38" t="s">
        <v>52</v>
      </c>
      <c r="B28" s="38">
        <v>0</v>
      </c>
      <c r="C28" s="38">
        <v>9</v>
      </c>
      <c r="D28" s="38">
        <f t="shared" si="1"/>
        <v>1</v>
      </c>
      <c r="E28" s="38">
        <f t="shared" si="0"/>
        <v>1</v>
      </c>
    </row>
    <row r="29" spans="1:5">
      <c r="A29" s="38" t="s">
        <v>53</v>
      </c>
      <c r="B29" s="38">
        <v>0</v>
      </c>
      <c r="C29" s="38">
        <v>9</v>
      </c>
      <c r="D29" s="38">
        <f t="shared" si="1"/>
        <v>1</v>
      </c>
      <c r="E29" s="38">
        <f t="shared" si="0"/>
        <v>1</v>
      </c>
    </row>
    <row r="30" spans="1:5">
      <c r="A30" s="38" t="s">
        <v>54</v>
      </c>
      <c r="B30" s="38">
        <v>0</v>
      </c>
      <c r="C30" s="38">
        <v>9</v>
      </c>
      <c r="D30" s="38">
        <f t="shared" si="1"/>
        <v>1</v>
      </c>
      <c r="E30" s="38">
        <f t="shared" si="0"/>
        <v>1</v>
      </c>
    </row>
    <row r="31" spans="1:5">
      <c r="A31" s="38" t="s">
        <v>55</v>
      </c>
      <c r="B31" s="38">
        <v>0</v>
      </c>
      <c r="C31" s="38">
        <v>9</v>
      </c>
      <c r="D31" s="38">
        <f t="shared" si="1"/>
        <v>1</v>
      </c>
      <c r="E31" s="38">
        <f t="shared" si="0"/>
        <v>1</v>
      </c>
    </row>
    <row r="32" spans="1:5">
      <c r="A32" s="38" t="s">
        <v>56</v>
      </c>
      <c r="B32" s="38">
        <v>0</v>
      </c>
      <c r="C32" s="38">
        <v>9</v>
      </c>
      <c r="D32" s="38">
        <f t="shared" si="1"/>
        <v>1</v>
      </c>
      <c r="E32" s="38">
        <f t="shared" si="0"/>
        <v>1</v>
      </c>
    </row>
    <row r="33" spans="1:5">
      <c r="A33" s="38" t="s">
        <v>57</v>
      </c>
      <c r="B33" s="38">
        <v>0</v>
      </c>
      <c r="C33" s="38">
        <v>9</v>
      </c>
      <c r="D33" s="38">
        <f t="shared" si="1"/>
        <v>1</v>
      </c>
      <c r="E33" s="38">
        <f t="shared" si="0"/>
        <v>1</v>
      </c>
    </row>
    <row r="34" spans="1:5">
      <c r="A34" s="38" t="s">
        <v>58</v>
      </c>
      <c r="B34" s="38">
        <v>0</v>
      </c>
      <c r="C34" s="38">
        <v>9</v>
      </c>
      <c r="D34" s="38">
        <f t="shared" si="1"/>
        <v>1</v>
      </c>
      <c r="E34" s="38">
        <f t="shared" si="0"/>
        <v>1</v>
      </c>
    </row>
    <row r="35" spans="1:5">
      <c r="A35" s="38" t="s">
        <v>59</v>
      </c>
      <c r="B35" s="38">
        <v>0</v>
      </c>
      <c r="C35" s="38">
        <v>9</v>
      </c>
      <c r="D35" s="38">
        <f t="shared" si="1"/>
        <v>1</v>
      </c>
      <c r="E35" s="38">
        <f t="shared" si="0"/>
        <v>1</v>
      </c>
    </row>
    <row r="36" spans="1:5">
      <c r="A36" s="38" t="s">
        <v>60</v>
      </c>
      <c r="B36" s="38">
        <v>0</v>
      </c>
      <c r="C36" s="38">
        <v>9</v>
      </c>
      <c r="D36" s="38">
        <f t="shared" si="1"/>
        <v>1</v>
      </c>
      <c r="E36" s="38">
        <f t="shared" si="0"/>
        <v>1</v>
      </c>
    </row>
    <row r="37" spans="1:5">
      <c r="A37" s="38" t="s">
        <v>61</v>
      </c>
      <c r="B37" s="38">
        <v>0</v>
      </c>
      <c r="C37" s="38">
        <v>9</v>
      </c>
      <c r="D37" s="38">
        <f t="shared" si="1"/>
        <v>1</v>
      </c>
      <c r="E37" s="38">
        <f t="shared" si="0"/>
        <v>1</v>
      </c>
    </row>
    <row r="38" spans="1:5">
      <c r="A38" s="38" t="s">
        <v>62</v>
      </c>
      <c r="B38" s="38">
        <v>0</v>
      </c>
      <c r="C38" s="38">
        <v>9</v>
      </c>
      <c r="D38" s="38">
        <f t="shared" si="1"/>
        <v>1</v>
      </c>
      <c r="E38" s="38">
        <f t="shared" si="0"/>
        <v>1</v>
      </c>
    </row>
    <row r="39" spans="1:5">
      <c r="A39" s="38" t="s">
        <v>63</v>
      </c>
      <c r="B39" s="38">
        <v>0</v>
      </c>
      <c r="C39" s="38">
        <v>9</v>
      </c>
      <c r="D39" s="38">
        <f t="shared" si="1"/>
        <v>1</v>
      </c>
      <c r="E39" s="38">
        <f t="shared" si="0"/>
        <v>1</v>
      </c>
    </row>
    <row r="40" spans="1:5">
      <c r="A40" s="38" t="s">
        <v>64</v>
      </c>
      <c r="B40" s="38">
        <v>0</v>
      </c>
      <c r="C40" s="38">
        <v>9</v>
      </c>
      <c r="D40" s="38">
        <f t="shared" si="1"/>
        <v>1</v>
      </c>
      <c r="E40" s="38">
        <f t="shared" si="0"/>
        <v>1</v>
      </c>
    </row>
    <row r="41" spans="1:5">
      <c r="A41" s="38" t="s">
        <v>65</v>
      </c>
      <c r="B41" s="38">
        <v>0</v>
      </c>
      <c r="C41" s="38">
        <v>9</v>
      </c>
      <c r="D41" s="38">
        <f t="shared" si="1"/>
        <v>1</v>
      </c>
      <c r="E41" s="38">
        <f t="shared" si="0"/>
        <v>1</v>
      </c>
    </row>
    <row r="42" spans="1:5">
      <c r="A42" s="38" t="s">
        <v>66</v>
      </c>
      <c r="B42" s="38">
        <v>0</v>
      </c>
      <c r="C42" s="38">
        <v>9</v>
      </c>
      <c r="D42" s="38">
        <f t="shared" si="1"/>
        <v>1</v>
      </c>
      <c r="E42" s="38">
        <f t="shared" si="0"/>
        <v>1</v>
      </c>
    </row>
    <row r="43" spans="1:5">
      <c r="A43" s="38" t="s">
        <v>67</v>
      </c>
      <c r="B43" s="38">
        <v>0</v>
      </c>
      <c r="C43" s="38">
        <v>9</v>
      </c>
      <c r="D43" s="38">
        <f t="shared" si="1"/>
        <v>1</v>
      </c>
      <c r="E43" s="38">
        <f t="shared" si="0"/>
        <v>1</v>
      </c>
    </row>
    <row r="44" spans="1:5">
      <c r="A44" s="38" t="s">
        <v>68</v>
      </c>
      <c r="B44" s="38">
        <v>0</v>
      </c>
      <c r="C44" s="38">
        <v>9</v>
      </c>
      <c r="D44" s="38">
        <f t="shared" si="1"/>
        <v>1</v>
      </c>
      <c r="E44" s="38">
        <f t="shared" si="0"/>
        <v>1</v>
      </c>
    </row>
    <row r="45" spans="1:5">
      <c r="A45" s="38" t="s">
        <v>69</v>
      </c>
      <c r="B45" s="38">
        <v>9</v>
      </c>
      <c r="C45" s="38">
        <v>0</v>
      </c>
      <c r="D45" s="38">
        <f t="shared" si="1"/>
        <v>0</v>
      </c>
      <c r="E45" s="38">
        <f t="shared" si="0"/>
        <v>41</v>
      </c>
    </row>
  </sheetData>
  <sheetProtection password="C724" sheet="1"/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8" tint="-0.499984740745262"/>
  </sheetPr>
  <dimension ref="A1:CR45"/>
  <sheetViews>
    <sheetView zoomScale="70" zoomScaleNormal="70" workbookViewId="0">
      <selection activeCell="K9" sqref="K9"/>
    </sheetView>
  </sheetViews>
  <sheetFormatPr defaultColWidth="0" defaultRowHeight="13.5" zeroHeight="1"/>
  <cols>
    <col min="1" max="1" width="20.75" style="30" customWidth="1"/>
    <col min="2" max="5" width="10.875" style="30" customWidth="1"/>
    <col min="6" max="14" width="9.375" style="30" customWidth="1"/>
    <col min="15" max="34" width="10.875" style="30" customWidth="1"/>
    <col min="35" max="43" width="9.375" style="30" customWidth="1"/>
    <col min="44" max="65" width="10.875" style="30" customWidth="1"/>
    <col min="66" max="74" width="9.375" style="30" customWidth="1"/>
    <col min="75" max="95" width="10.875" style="30" customWidth="1"/>
    <col min="96" max="96" width="9.375" style="30" customWidth="1"/>
    <col min="97" max="97" width="9" style="30" hidden="1" customWidth="1"/>
    <col min="98" max="16384" width="9" style="30" hidden="1"/>
  </cols>
  <sheetData>
    <row r="1" s="28" customFormat="1" ht="27" customHeight="1" spans="1:96">
      <c r="A1" s="31">
        <f ca="1">NOW()</f>
        <v>44237.7840972222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</row>
    <row r="2" s="28" customFormat="1" ht="20.25" customHeight="1" spans="1:96">
      <c r="A2" s="32" t="s">
        <v>70</v>
      </c>
      <c r="B2" s="33">
        <f>DATA!C1</f>
        <v>44224</v>
      </c>
      <c r="C2" s="33">
        <f>DATA!D1</f>
        <v>44225</v>
      </c>
      <c r="D2" s="33">
        <f>DATA!E1</f>
        <v>44226</v>
      </c>
      <c r="E2" s="33">
        <f>DATA!F1</f>
        <v>44227</v>
      </c>
      <c r="F2" s="33">
        <f>DATA!G1</f>
        <v>44228</v>
      </c>
      <c r="G2" s="33">
        <f>DATA!H1</f>
        <v>44229</v>
      </c>
      <c r="H2" s="33">
        <f>DATA!I1</f>
        <v>44230</v>
      </c>
      <c r="I2" s="33">
        <f>DATA!J1</f>
        <v>44231</v>
      </c>
      <c r="J2" s="33">
        <f>DATA!K1</f>
        <v>44232</v>
      </c>
      <c r="K2" s="33">
        <f>DATA!L1</f>
        <v>44233</v>
      </c>
      <c r="L2" s="33">
        <f>DATA!M1</f>
        <v>44234</v>
      </c>
      <c r="M2" s="33">
        <f>DATA!N1</f>
        <v>44235</v>
      </c>
      <c r="N2" s="33">
        <f>DATA!O1</f>
        <v>44236</v>
      </c>
      <c r="O2" s="33">
        <f>DATA!P1</f>
        <v>44237</v>
      </c>
      <c r="P2" s="33">
        <f>DATA!Q1</f>
        <v>44238</v>
      </c>
      <c r="Q2" s="33">
        <f>DATA!R1</f>
        <v>44239</v>
      </c>
      <c r="R2" s="33">
        <f>DATA!S1</f>
        <v>44240</v>
      </c>
      <c r="S2" s="33">
        <f>DATA!T1</f>
        <v>44241</v>
      </c>
      <c r="T2" s="33">
        <f>DATA!U1</f>
        <v>44242</v>
      </c>
      <c r="U2" s="33">
        <f>DATA!V1</f>
        <v>44243</v>
      </c>
      <c r="V2" s="33">
        <f>DATA!W1</f>
        <v>44244</v>
      </c>
      <c r="W2" s="33">
        <f>DATA!X1</f>
        <v>44245</v>
      </c>
      <c r="X2" s="33">
        <f>DATA!Y1</f>
        <v>44246</v>
      </c>
      <c r="Y2" s="33">
        <f>DATA!Z1</f>
        <v>44247</v>
      </c>
      <c r="Z2" s="33">
        <f>DATA!AA1</f>
        <v>44248</v>
      </c>
      <c r="AA2" s="33">
        <f>DATA!AB1</f>
        <v>44249</v>
      </c>
      <c r="AB2" s="33">
        <f>DATA!AC1</f>
        <v>44250</v>
      </c>
      <c r="AC2" s="33">
        <f>DATA!AD1</f>
        <v>44251</v>
      </c>
      <c r="AD2" s="33">
        <f>DATA!AE1</f>
        <v>44252</v>
      </c>
      <c r="AE2" s="33">
        <f>DATA!AF1</f>
        <v>44253</v>
      </c>
      <c r="AF2" s="33">
        <f>DATA!AG1</f>
        <v>44254</v>
      </c>
      <c r="AG2" s="33">
        <f>DATA!AH1</f>
        <v>44255</v>
      </c>
      <c r="AH2" s="33">
        <f>DATA!AI1</f>
        <v>44256</v>
      </c>
      <c r="AI2" s="33">
        <f>DATA!AJ1</f>
        <v>44257</v>
      </c>
      <c r="AJ2" s="33">
        <f>DATA!AK1</f>
        <v>44258</v>
      </c>
      <c r="AK2" s="33">
        <f>DATA!AL1</f>
        <v>44259</v>
      </c>
      <c r="AL2" s="33">
        <f>DATA!AM1</f>
        <v>44260</v>
      </c>
      <c r="AM2" s="33">
        <f>DATA!AN1</f>
        <v>44261</v>
      </c>
      <c r="AN2" s="33">
        <f>DATA!AO1</f>
        <v>44262</v>
      </c>
      <c r="AO2" s="33">
        <f>DATA!AP1</f>
        <v>44263</v>
      </c>
      <c r="AP2" s="33">
        <f>DATA!AQ1</f>
        <v>44264</v>
      </c>
      <c r="AQ2" s="33">
        <f>DATA!AR1</f>
        <v>44265</v>
      </c>
      <c r="AR2" s="33">
        <f>DATA!AS1</f>
        <v>44266</v>
      </c>
      <c r="AS2" s="33">
        <f>DATA!AT1</f>
        <v>44267</v>
      </c>
      <c r="AT2" s="33">
        <f>DATA!AU1</f>
        <v>44268</v>
      </c>
      <c r="AU2" s="33">
        <f>DATA!AV1</f>
        <v>44269</v>
      </c>
      <c r="AV2" s="33">
        <f>DATA!AW1</f>
        <v>44270</v>
      </c>
      <c r="AW2" s="33">
        <f>DATA!AX1</f>
        <v>44271</v>
      </c>
      <c r="AX2" s="33">
        <f>DATA!AY1</f>
        <v>44272</v>
      </c>
      <c r="AY2" s="33">
        <f>DATA!AZ1</f>
        <v>44273</v>
      </c>
      <c r="AZ2" s="33">
        <f>DATA!BA1</f>
        <v>44274</v>
      </c>
      <c r="BA2" s="33">
        <f>DATA!BB1</f>
        <v>44275</v>
      </c>
      <c r="BB2" s="33">
        <f>DATA!BC1</f>
        <v>44276</v>
      </c>
      <c r="BC2" s="33">
        <f>DATA!BD1</f>
        <v>44277</v>
      </c>
      <c r="BD2" s="33">
        <f>DATA!BE1</f>
        <v>44278</v>
      </c>
      <c r="BE2" s="33">
        <f>DATA!BF1</f>
        <v>44279</v>
      </c>
      <c r="BF2" s="33">
        <f>DATA!BG1</f>
        <v>44280</v>
      </c>
      <c r="BG2" s="33">
        <f>DATA!BH1</f>
        <v>44281</v>
      </c>
      <c r="BH2" s="33">
        <f>DATA!BI1</f>
        <v>44282</v>
      </c>
      <c r="BI2" s="33">
        <f>DATA!BJ1</f>
        <v>44283</v>
      </c>
      <c r="BJ2" s="33">
        <f>DATA!BK1</f>
        <v>44284</v>
      </c>
      <c r="BK2" s="33">
        <f>DATA!BL1</f>
        <v>44285</v>
      </c>
      <c r="BL2" s="33">
        <f>DATA!BM1</f>
        <v>44286</v>
      </c>
      <c r="BM2" s="33">
        <f>DATA!BN1</f>
        <v>44287</v>
      </c>
      <c r="BN2" s="33">
        <f>DATA!BO1</f>
        <v>44288</v>
      </c>
      <c r="BO2" s="33">
        <f>DATA!BP1</f>
        <v>44289</v>
      </c>
      <c r="BP2" s="33">
        <f>DATA!BQ1</f>
        <v>44290</v>
      </c>
      <c r="BQ2" s="33">
        <f>DATA!BR1</f>
        <v>44291</v>
      </c>
      <c r="BR2" s="33">
        <f>DATA!BS1</f>
        <v>44292</v>
      </c>
      <c r="BS2" s="33">
        <f>DATA!BT1</f>
        <v>44293</v>
      </c>
      <c r="BT2" s="33">
        <f>DATA!BU1</f>
        <v>44294</v>
      </c>
      <c r="BU2" s="33">
        <f>DATA!BV1</f>
        <v>44295</v>
      </c>
      <c r="BV2" s="33">
        <f>DATA!BW1</f>
        <v>44296</v>
      </c>
      <c r="BW2" s="33">
        <f>DATA!BX1</f>
        <v>44297</v>
      </c>
      <c r="BX2" s="33">
        <f>DATA!BY1</f>
        <v>44298</v>
      </c>
      <c r="BY2" s="33">
        <f>DATA!BZ1</f>
        <v>44299</v>
      </c>
      <c r="BZ2" s="33">
        <f>DATA!CA1</f>
        <v>44300</v>
      </c>
      <c r="CA2" s="33">
        <f>DATA!CB1</f>
        <v>44301</v>
      </c>
      <c r="CB2" s="33">
        <f>DATA!CC1</f>
        <v>44302</v>
      </c>
      <c r="CC2" s="33">
        <f>DATA!CD1</f>
        <v>44303</v>
      </c>
      <c r="CD2" s="33">
        <f>DATA!CE1</f>
        <v>44304</v>
      </c>
      <c r="CE2" s="33">
        <f>DATA!CF1</f>
        <v>44305</v>
      </c>
      <c r="CF2" s="33">
        <f>DATA!CG1</f>
        <v>44306</v>
      </c>
      <c r="CG2" s="33">
        <f>DATA!CH1</f>
        <v>44307</v>
      </c>
      <c r="CH2" s="33">
        <f>DATA!CI1</f>
        <v>44308</v>
      </c>
      <c r="CI2" s="33">
        <f>DATA!CJ1</f>
        <v>44309</v>
      </c>
      <c r="CJ2" s="33">
        <f>DATA!CK1</f>
        <v>44310</v>
      </c>
      <c r="CK2" s="33">
        <f>DATA!CL1</f>
        <v>44311</v>
      </c>
      <c r="CL2" s="33">
        <f>DATA!CM1</f>
        <v>44312</v>
      </c>
      <c r="CM2" s="33">
        <f>DATA!CN1</f>
        <v>44313</v>
      </c>
      <c r="CN2" s="33">
        <f>DATA!CO1</f>
        <v>44314</v>
      </c>
      <c r="CO2" s="33">
        <f>DATA!CP1</f>
        <v>44315</v>
      </c>
      <c r="CP2" s="33">
        <f>DATA!CQ1</f>
        <v>44316</v>
      </c>
      <c r="CQ2" s="33">
        <f>DATA!CR1</f>
        <v>44317</v>
      </c>
      <c r="CR2" s="33">
        <f>DATA!CS1</f>
        <v>44318</v>
      </c>
    </row>
    <row r="3" s="28" customFormat="1" ht="18.75" customHeight="1" spans="1:96">
      <c r="A3" s="32"/>
      <c r="B3" s="34" t="str">
        <f>DATA!C2</f>
        <v>星期四</v>
      </c>
      <c r="C3" s="34" t="str">
        <f>DATA!D2</f>
        <v>星期五</v>
      </c>
      <c r="D3" s="34" t="str">
        <f>DATA!E2</f>
        <v>星期六</v>
      </c>
      <c r="E3" s="34" t="str">
        <f>DATA!F2</f>
        <v>星期日</v>
      </c>
      <c r="F3" s="34" t="str">
        <f>DATA!G2</f>
        <v>星期一</v>
      </c>
      <c r="G3" s="34" t="str">
        <f>DATA!H2</f>
        <v>星期二</v>
      </c>
      <c r="H3" s="34" t="str">
        <f>DATA!I2</f>
        <v>星期三</v>
      </c>
      <c r="I3" s="34" t="str">
        <f>DATA!J2</f>
        <v>星期四</v>
      </c>
      <c r="J3" s="34" t="str">
        <f>DATA!K2</f>
        <v>星期五</v>
      </c>
      <c r="K3" s="34" t="str">
        <f>DATA!L2</f>
        <v>星期六</v>
      </c>
      <c r="L3" s="34" t="str">
        <f>DATA!M2</f>
        <v>星期日</v>
      </c>
      <c r="M3" s="34" t="str">
        <f>DATA!N2</f>
        <v>星期一</v>
      </c>
      <c r="N3" s="34" t="str">
        <f>DATA!O2</f>
        <v>星期二</v>
      </c>
      <c r="O3" s="34" t="str">
        <f>DATA!P2</f>
        <v>星期三</v>
      </c>
      <c r="P3" s="34" t="str">
        <f>DATA!Q2</f>
        <v>星期四</v>
      </c>
      <c r="Q3" s="34" t="str">
        <f>DATA!R2</f>
        <v>星期五</v>
      </c>
      <c r="R3" s="34" t="str">
        <f>DATA!S2</f>
        <v>星期六</v>
      </c>
      <c r="S3" s="34" t="str">
        <f>DATA!T2</f>
        <v>星期日</v>
      </c>
      <c r="T3" s="34" t="str">
        <f>DATA!U2</f>
        <v>星期一</v>
      </c>
      <c r="U3" s="34" t="str">
        <f>DATA!V2</f>
        <v>星期二</v>
      </c>
      <c r="V3" s="34" t="str">
        <f>DATA!W2</f>
        <v>星期三</v>
      </c>
      <c r="W3" s="34" t="str">
        <f>DATA!X2</f>
        <v>星期四</v>
      </c>
      <c r="X3" s="34" t="str">
        <f>DATA!Y2</f>
        <v>星期五</v>
      </c>
      <c r="Y3" s="34" t="str">
        <f>DATA!Z2</f>
        <v>星期六</v>
      </c>
      <c r="Z3" s="34" t="str">
        <f>DATA!AA2</f>
        <v>星期日</v>
      </c>
      <c r="AA3" s="34" t="str">
        <f>DATA!AB2</f>
        <v>星期一</v>
      </c>
      <c r="AB3" s="34" t="str">
        <f>DATA!AC2</f>
        <v>星期二</v>
      </c>
      <c r="AC3" s="34" t="str">
        <f>DATA!AD2</f>
        <v>星期三</v>
      </c>
      <c r="AD3" s="34" t="str">
        <f>DATA!AE2</f>
        <v>星期四</v>
      </c>
      <c r="AE3" s="34" t="str">
        <f>DATA!AF2</f>
        <v>星期五</v>
      </c>
      <c r="AF3" s="34" t="str">
        <f>DATA!AG2</f>
        <v>星期六</v>
      </c>
      <c r="AG3" s="34" t="str">
        <f>DATA!AH2</f>
        <v>星期日</v>
      </c>
      <c r="AH3" s="34" t="str">
        <f>DATA!AI2</f>
        <v>星期一</v>
      </c>
      <c r="AI3" s="34" t="str">
        <f>DATA!AJ2</f>
        <v>星期二</v>
      </c>
      <c r="AJ3" s="34" t="str">
        <f>DATA!AK2</f>
        <v>星期三</v>
      </c>
      <c r="AK3" s="34" t="str">
        <f>DATA!AL2</f>
        <v>星期四</v>
      </c>
      <c r="AL3" s="34" t="str">
        <f>DATA!AM2</f>
        <v>星期五</v>
      </c>
      <c r="AM3" s="34" t="str">
        <f>DATA!AN2</f>
        <v>星期六</v>
      </c>
      <c r="AN3" s="34" t="str">
        <f>DATA!AO2</f>
        <v>星期日</v>
      </c>
      <c r="AO3" s="34" t="str">
        <f>DATA!AP2</f>
        <v>星期一</v>
      </c>
      <c r="AP3" s="34" t="str">
        <f>DATA!AQ2</f>
        <v>星期二</v>
      </c>
      <c r="AQ3" s="34" t="str">
        <f>DATA!AR2</f>
        <v>星期三</v>
      </c>
      <c r="AR3" s="34" t="str">
        <f>DATA!AS2</f>
        <v>星期四</v>
      </c>
      <c r="AS3" s="34" t="str">
        <f>DATA!AT2</f>
        <v>星期五</v>
      </c>
      <c r="AT3" s="34" t="str">
        <f>DATA!AU2</f>
        <v>星期六</v>
      </c>
      <c r="AU3" s="34" t="str">
        <f>DATA!AV2</f>
        <v>星期日</v>
      </c>
      <c r="AV3" s="34" t="str">
        <f>DATA!AW2</f>
        <v>星期一</v>
      </c>
      <c r="AW3" s="34" t="str">
        <f>DATA!AX2</f>
        <v>星期二</v>
      </c>
      <c r="AX3" s="34" t="str">
        <f>DATA!AY2</f>
        <v>星期三</v>
      </c>
      <c r="AY3" s="34" t="str">
        <f>DATA!AZ2</f>
        <v>星期四</v>
      </c>
      <c r="AZ3" s="34" t="str">
        <f>DATA!BA2</f>
        <v>星期五</v>
      </c>
      <c r="BA3" s="34" t="str">
        <f>DATA!BB2</f>
        <v>星期六</v>
      </c>
      <c r="BB3" s="34" t="str">
        <f>DATA!BC2</f>
        <v>星期日</v>
      </c>
      <c r="BC3" s="34" t="str">
        <f>DATA!BD2</f>
        <v>星期一</v>
      </c>
      <c r="BD3" s="34" t="str">
        <f>DATA!BE2</f>
        <v>星期二</v>
      </c>
      <c r="BE3" s="34" t="str">
        <f>DATA!BF2</f>
        <v>星期三</v>
      </c>
      <c r="BF3" s="34" t="str">
        <f>DATA!BG2</f>
        <v>星期四</v>
      </c>
      <c r="BG3" s="34" t="str">
        <f>DATA!BH2</f>
        <v>星期五</v>
      </c>
      <c r="BH3" s="34" t="str">
        <f>DATA!BI2</f>
        <v>星期六</v>
      </c>
      <c r="BI3" s="34" t="str">
        <f>DATA!BJ2</f>
        <v>星期日</v>
      </c>
      <c r="BJ3" s="34" t="str">
        <f>DATA!BK2</f>
        <v>星期一</v>
      </c>
      <c r="BK3" s="34" t="str">
        <f>DATA!BL2</f>
        <v>星期二</v>
      </c>
      <c r="BL3" s="34" t="str">
        <f>DATA!BM2</f>
        <v>星期三</v>
      </c>
      <c r="BM3" s="34" t="str">
        <f>DATA!BN2</f>
        <v>星期四</v>
      </c>
      <c r="BN3" s="34" t="str">
        <f>DATA!BO2</f>
        <v>星期五</v>
      </c>
      <c r="BO3" s="34" t="str">
        <f>DATA!BP2</f>
        <v>星期六</v>
      </c>
      <c r="BP3" s="34" t="str">
        <f>DATA!BQ2</f>
        <v>星期日</v>
      </c>
      <c r="BQ3" s="34" t="str">
        <f>DATA!BR2</f>
        <v>星期一</v>
      </c>
      <c r="BR3" s="34" t="str">
        <f>DATA!BS2</f>
        <v>星期二</v>
      </c>
      <c r="BS3" s="34" t="str">
        <f>DATA!BT2</f>
        <v>星期三</v>
      </c>
      <c r="BT3" s="34" t="str">
        <f>DATA!BU2</f>
        <v>星期四</v>
      </c>
      <c r="BU3" s="34" t="str">
        <f>DATA!BV2</f>
        <v>星期五</v>
      </c>
      <c r="BV3" s="34" t="str">
        <f>DATA!BW2</f>
        <v>星期六</v>
      </c>
      <c r="BW3" s="34" t="str">
        <f>DATA!BX2</f>
        <v>星期日</v>
      </c>
      <c r="BX3" s="34" t="str">
        <f>DATA!BY2</f>
        <v>星期一</v>
      </c>
      <c r="BY3" s="34" t="str">
        <f>DATA!BZ2</f>
        <v>星期二</v>
      </c>
      <c r="BZ3" s="34" t="str">
        <f>DATA!CA2</f>
        <v>星期三</v>
      </c>
      <c r="CA3" s="34" t="str">
        <f>DATA!CB2</f>
        <v>星期四</v>
      </c>
      <c r="CB3" s="34" t="str">
        <f>DATA!CC2</f>
        <v>星期五</v>
      </c>
      <c r="CC3" s="34" t="str">
        <f>DATA!CD2</f>
        <v>星期六</v>
      </c>
      <c r="CD3" s="34" t="str">
        <f>DATA!CE2</f>
        <v>星期日</v>
      </c>
      <c r="CE3" s="34" t="str">
        <f>DATA!CF2</f>
        <v>星期一</v>
      </c>
      <c r="CF3" s="34" t="str">
        <f>DATA!CG2</f>
        <v>星期二</v>
      </c>
      <c r="CG3" s="34" t="str">
        <f>DATA!CH2</f>
        <v>星期三</v>
      </c>
      <c r="CH3" s="34" t="str">
        <f>DATA!CI2</f>
        <v>星期四</v>
      </c>
      <c r="CI3" s="34" t="str">
        <f>DATA!CJ2</f>
        <v>星期五</v>
      </c>
      <c r="CJ3" s="34" t="str">
        <f>DATA!CK2</f>
        <v>星期六</v>
      </c>
      <c r="CK3" s="34" t="str">
        <f>DATA!CL2</f>
        <v>星期日</v>
      </c>
      <c r="CL3" s="34" t="str">
        <f>DATA!CM2</f>
        <v>星期一</v>
      </c>
      <c r="CM3" s="34" t="str">
        <f>DATA!CN2</f>
        <v>星期二</v>
      </c>
      <c r="CN3" s="34" t="str">
        <f>DATA!CO2</f>
        <v>星期三</v>
      </c>
      <c r="CO3" s="34" t="str">
        <f>DATA!CP2</f>
        <v>星期四</v>
      </c>
      <c r="CP3" s="34" t="str">
        <f>DATA!CQ2</f>
        <v>星期五</v>
      </c>
      <c r="CQ3" s="34" t="str">
        <f>DATA!CR2</f>
        <v>星期六</v>
      </c>
      <c r="CR3" s="34" t="str">
        <f>DATA!CS2</f>
        <v>星期日</v>
      </c>
    </row>
    <row r="4" s="29" customFormat="1" ht="18.75" customHeight="1" spans="1:96">
      <c r="A4" s="35" t="s">
        <v>71</v>
      </c>
      <c r="B4" s="36" t="s">
        <v>72</v>
      </c>
      <c r="C4" s="36" t="s">
        <v>72</v>
      </c>
      <c r="D4" s="36" t="s">
        <v>72</v>
      </c>
      <c r="E4" s="36" t="s">
        <v>72</v>
      </c>
      <c r="F4" s="36" t="s">
        <v>72</v>
      </c>
      <c r="G4" s="36" t="s">
        <v>72</v>
      </c>
      <c r="H4" s="36" t="s">
        <v>72</v>
      </c>
      <c r="I4" s="36" t="s">
        <v>72</v>
      </c>
      <c r="J4" s="36" t="s">
        <v>72</v>
      </c>
      <c r="K4" s="36" t="s">
        <v>72</v>
      </c>
      <c r="L4" s="36" t="s">
        <v>72</v>
      </c>
      <c r="M4" s="36" t="s">
        <v>72</v>
      </c>
      <c r="N4" s="36" t="s">
        <v>72</v>
      </c>
      <c r="O4" s="36" t="s">
        <v>72</v>
      </c>
      <c r="P4" s="36" t="s">
        <v>72</v>
      </c>
      <c r="Q4" s="36" t="s">
        <v>72</v>
      </c>
      <c r="R4" s="36" t="s">
        <v>72</v>
      </c>
      <c r="S4" s="36" t="s">
        <v>72</v>
      </c>
      <c r="T4" s="36" t="s">
        <v>72</v>
      </c>
      <c r="U4" s="36" t="s">
        <v>72</v>
      </c>
      <c r="V4" s="36" t="s">
        <v>72</v>
      </c>
      <c r="W4" s="36" t="s">
        <v>72</v>
      </c>
      <c r="X4" s="36" t="s">
        <v>72</v>
      </c>
      <c r="Y4" s="36" t="s">
        <v>72</v>
      </c>
      <c r="Z4" s="36" t="s">
        <v>72</v>
      </c>
      <c r="AA4" s="36" t="s">
        <v>72</v>
      </c>
      <c r="AB4" s="36" t="s">
        <v>72</v>
      </c>
      <c r="AC4" s="36" t="s">
        <v>72</v>
      </c>
      <c r="AD4" s="36" t="s">
        <v>72</v>
      </c>
      <c r="AE4" s="36" t="s">
        <v>72</v>
      </c>
      <c r="AF4" s="36" t="s">
        <v>72</v>
      </c>
      <c r="AG4" s="36" t="s">
        <v>72</v>
      </c>
      <c r="AH4" s="36" t="s">
        <v>72</v>
      </c>
      <c r="AI4" s="36" t="s">
        <v>72</v>
      </c>
      <c r="AJ4" s="36" t="s">
        <v>72</v>
      </c>
      <c r="AK4" s="36" t="s">
        <v>72</v>
      </c>
      <c r="AL4" s="36" t="s">
        <v>72</v>
      </c>
      <c r="AM4" s="36" t="s">
        <v>72</v>
      </c>
      <c r="AN4" s="36" t="s">
        <v>72</v>
      </c>
      <c r="AO4" s="36" t="s">
        <v>72</v>
      </c>
      <c r="AP4" s="36" t="s">
        <v>72</v>
      </c>
      <c r="AQ4" s="36" t="s">
        <v>72</v>
      </c>
      <c r="AR4" s="36" t="s">
        <v>72</v>
      </c>
      <c r="AS4" s="36" t="s">
        <v>72</v>
      </c>
      <c r="AT4" s="36" t="s">
        <v>72</v>
      </c>
      <c r="AU4" s="36" t="s">
        <v>72</v>
      </c>
      <c r="AV4" s="36" t="s">
        <v>72</v>
      </c>
      <c r="AW4" s="36" t="s">
        <v>72</v>
      </c>
      <c r="AX4" s="36" t="s">
        <v>72</v>
      </c>
      <c r="AY4" s="36" t="s">
        <v>72</v>
      </c>
      <c r="AZ4" s="36" t="s">
        <v>72</v>
      </c>
      <c r="BA4" s="36" t="s">
        <v>72</v>
      </c>
      <c r="BB4" s="36" t="s">
        <v>72</v>
      </c>
      <c r="BC4" s="36" t="s">
        <v>72</v>
      </c>
      <c r="BD4" s="36" t="s">
        <v>72</v>
      </c>
      <c r="BE4" s="36" t="s">
        <v>72</v>
      </c>
      <c r="BF4" s="36" t="s">
        <v>72</v>
      </c>
      <c r="BG4" s="36" t="s">
        <v>72</v>
      </c>
      <c r="BH4" s="36" t="s">
        <v>72</v>
      </c>
      <c r="BI4" s="36" t="s">
        <v>72</v>
      </c>
      <c r="BJ4" s="36" t="s">
        <v>72</v>
      </c>
      <c r="BK4" s="36" t="s">
        <v>72</v>
      </c>
      <c r="BL4" s="36" t="s">
        <v>72</v>
      </c>
      <c r="BM4" s="36" t="s">
        <v>72</v>
      </c>
      <c r="BN4" s="36" t="s">
        <v>72</v>
      </c>
      <c r="BO4" s="36" t="s">
        <v>72</v>
      </c>
      <c r="BP4" s="36" t="s">
        <v>72</v>
      </c>
      <c r="BQ4" s="36" t="s">
        <v>72</v>
      </c>
      <c r="BR4" s="36" t="s">
        <v>72</v>
      </c>
      <c r="BS4" s="36" t="s">
        <v>72</v>
      </c>
      <c r="BT4" s="36" t="s">
        <v>72</v>
      </c>
      <c r="BU4" s="36" t="s">
        <v>72</v>
      </c>
      <c r="BV4" s="36" t="s">
        <v>72</v>
      </c>
      <c r="BW4" s="36" t="s">
        <v>72</v>
      </c>
      <c r="BX4" s="36" t="s">
        <v>72</v>
      </c>
      <c r="BY4" s="36" t="s">
        <v>72</v>
      </c>
      <c r="BZ4" s="36" t="s">
        <v>72</v>
      </c>
      <c r="CA4" s="36" t="s">
        <v>72</v>
      </c>
      <c r="CB4" s="36" t="s">
        <v>72</v>
      </c>
      <c r="CC4" s="36" t="s">
        <v>72</v>
      </c>
      <c r="CD4" s="36" t="s">
        <v>72</v>
      </c>
      <c r="CE4" s="36" t="s">
        <v>72</v>
      </c>
      <c r="CF4" s="36" t="s">
        <v>72</v>
      </c>
      <c r="CG4" s="36" t="s">
        <v>72</v>
      </c>
      <c r="CH4" s="36" t="s">
        <v>72</v>
      </c>
      <c r="CI4" s="36" t="s">
        <v>72</v>
      </c>
      <c r="CJ4" s="36" t="s">
        <v>72</v>
      </c>
      <c r="CK4" s="36" t="s">
        <v>72</v>
      </c>
      <c r="CL4" s="36" t="s">
        <v>72</v>
      </c>
      <c r="CM4" s="36" t="s">
        <v>72</v>
      </c>
      <c r="CN4" s="36" t="s">
        <v>72</v>
      </c>
      <c r="CO4" s="36" t="s">
        <v>72</v>
      </c>
      <c r="CP4" s="36" t="s">
        <v>72</v>
      </c>
      <c r="CQ4" s="36" t="s">
        <v>72</v>
      </c>
      <c r="CR4" s="36" t="s">
        <v>72</v>
      </c>
    </row>
    <row r="5" s="28" customFormat="1" ht="18.75" spans="1:96">
      <c r="A5" s="34" t="str">
        <f>DATA!$A4&amp;""</f>
        <v>蔡振龙</v>
      </c>
      <c r="B5" s="34" t="str">
        <f ca="1">IF($A5="","",IF(IF(B$2&lt;=$A$1,1,0),IF(B$4="休","",IF(COUNTIF(DATA!C:C,$A:$A)=0,"×","√")),""))</f>
        <v>×</v>
      </c>
      <c r="C5" s="34" t="str">
        <f ca="1">IF($A5="","",IF(IF(C$2&lt;=$A$1,1,0),IF(C$4="休","",IF(COUNTIF(DATA!D:D,$A:$A)=0,"×","√")),""))</f>
        <v>√</v>
      </c>
      <c r="D5" s="34" t="str">
        <f ca="1">IF($A5="","",IF(IF(D$2&lt;=$A$1,1,0),IF(D$4="休","",IF(COUNTIF(DATA!E:E,$A:$A)=0,"×","√")),""))</f>
        <v>√</v>
      </c>
      <c r="E5" s="34" t="str">
        <f ca="1">IF($A5="","",IF(IF(E$2&lt;=$A$1,1,0),IF(E$4="休","",IF(COUNTIF(DATA!F:F,$A:$A)=0,"×","√")),""))</f>
        <v>√</v>
      </c>
      <c r="F5" s="34" t="str">
        <f ca="1">IF($A5="","",IF(IF(F$2&lt;=$A$1,1,0),IF(F$4="休","",IF(COUNTIF(DATA!G:G,$A:$A)=0,"×","√")),""))</f>
        <v>√</v>
      </c>
      <c r="G5" s="34" t="str">
        <f ca="1">IF($A5="","",IF(IF(G$2&lt;=$A$1,1,0),IF(G$4="休","",IF(COUNTIF(DATA!H:H,$A:$A)=0,"×","√")),""))</f>
        <v>√</v>
      </c>
      <c r="H5" s="34" t="str">
        <f ca="1">IF($A5="","",IF(IF(H$2&lt;=$A$1,1,0),IF(H$4="休","",IF(COUNTIF(DATA!I:I,$A:$A)=0,"×","√")),""))</f>
        <v>√</v>
      </c>
      <c r="I5" s="34" t="str">
        <f ca="1">IF($A5="","",IF(IF(I$2&lt;=$A$1,1,0),IF(I$4="休","",IF(COUNTIF(DATA!J:J,$A:$A)=0,"×","√")),""))</f>
        <v>√</v>
      </c>
      <c r="J5" s="34" t="str">
        <f ca="1">IF($A5="","",IF(IF(J$2&lt;=$A$1,1,0),IF(J$4="休","",IF(COUNTIF(DATA!K:K,$A:$A)=0,"×","√")),""))</f>
        <v>√</v>
      </c>
      <c r="K5" s="34" t="str">
        <f ca="1">IF($A5="","",IF(IF(K$2&lt;=$A$1,1,0),IF(K$4="休","",IF(COUNTIF(DATA!L:L,$A:$A)=0,"×","√")),""))</f>
        <v>√</v>
      </c>
      <c r="L5" s="34" t="str">
        <f ca="1">IF($A5="","",IF(IF(L$2&lt;=$A$1,1,0),IF(L$4="休","",IF(COUNTIF(DATA!M:M,$A:$A)=0,"×","√")),""))</f>
        <v>√</v>
      </c>
      <c r="M5" s="34" t="str">
        <f ca="1">IF($A5="","",IF(IF(M$2&lt;=$A$1,1,0),IF(M$4="休","",IF(COUNTIF(DATA!N:N,$A:$A)=0,"×","√")),""))</f>
        <v>√</v>
      </c>
      <c r="N5" s="34" t="str">
        <f ca="1">IF($A5="","",IF(IF(N$2&lt;=$A$1,1,0),IF(N$4="休","",IF(COUNTIF(DATA!O:O,$A:$A)=0,"×","√")),""))</f>
        <v>√</v>
      </c>
      <c r="O5" s="34" t="str">
        <f ca="1">IF($A5="","",IF(IF(O$2&lt;=$A$1,1,0),IF(O$4="休","",IF(COUNTIF(DATA!P:P,$A:$A)=0,"×","√")),""))</f>
        <v>×</v>
      </c>
      <c r="P5" s="34" t="str">
        <f ca="1">IF($A5="","",IF(IF(P$2&lt;=$A$1,1,0),IF(P$4="休","",IF(COUNTIF(DATA!Q:Q,$A:$A)=0,"×","√")),""))</f>
        <v/>
      </c>
      <c r="Q5" s="34" t="str">
        <f ca="1">IF($A5="","",IF(IF(Q$2&lt;=$A$1,1,0),IF(Q$4="休","",IF(COUNTIF(DATA!R:R,$A:$A)=0,"×","√")),""))</f>
        <v/>
      </c>
      <c r="R5" s="34" t="str">
        <f ca="1">IF($A5="","",IF(IF(R$2&lt;=$A$1,1,0),IF(R$4="休","",IF(COUNTIF(DATA!S:S,$A:$A)=0,"×","√")),""))</f>
        <v/>
      </c>
      <c r="S5" s="34" t="str">
        <f ca="1">IF($A5="","",IF(IF(S$2&lt;=$A$1,1,0),IF(S$4="休","",IF(COUNTIF(DATA!T:T,$A:$A)=0,"×","√")),""))</f>
        <v/>
      </c>
      <c r="T5" s="34" t="str">
        <f ca="1">IF($A5="","",IF(IF(T$2&lt;=$A$1,1,0),IF(T$4="休","",IF(COUNTIF(DATA!U:U,$A:$A)=0,"×","√")),""))</f>
        <v/>
      </c>
      <c r="U5" s="34" t="str">
        <f ca="1">IF($A5="","",IF(IF(U$2&lt;=$A$1,1,0),IF(U$4="休","",IF(COUNTIF(DATA!V:V,$A:$A)=0,"×","√")),""))</f>
        <v/>
      </c>
      <c r="V5" s="34" t="str">
        <f ca="1">IF($A5="","",IF(IF(V$2&lt;=$A$1,1,0),IF(V$4="休","",IF(COUNTIF(DATA!W:W,$A:$A)=0,"×","√")),""))</f>
        <v/>
      </c>
      <c r="W5" s="34" t="str">
        <f ca="1">IF($A5="","",IF(IF(W$2&lt;=$A$1,1,0),IF(W$4="休","",IF(COUNTIF(DATA!X:X,$A:$A)=0,"×","√")),""))</f>
        <v/>
      </c>
      <c r="X5" s="34" t="str">
        <f ca="1">IF($A5="","",IF(IF(X$2&lt;=$A$1,1,0),IF(X$4="休","",IF(COUNTIF(DATA!Y:Y,$A:$A)=0,"×","√")),""))</f>
        <v/>
      </c>
      <c r="Y5" s="34" t="str">
        <f ca="1">IF($A5="","",IF(IF(Y$2&lt;=$A$1,1,0),IF(Y$4="休","",IF(COUNTIF(DATA!Z:Z,$A:$A)=0,"×","√")),""))</f>
        <v/>
      </c>
      <c r="Z5" s="34" t="str">
        <f ca="1">IF($A5="","",IF(IF(Z$2&lt;=$A$1,1,0),IF(Z$4="休","",IF(COUNTIF(DATA!AA:AA,$A:$A)=0,"×","√")),""))</f>
        <v/>
      </c>
      <c r="AA5" s="34" t="str">
        <f ca="1">IF($A5="","",IF(IF(AA$2&lt;=$A$1,1,0),IF(AA$4="休","",IF(COUNTIF(DATA!AB:AB,$A:$A)=0,"×","√")),""))</f>
        <v/>
      </c>
      <c r="AB5" s="34" t="str">
        <f ca="1">IF($A5="","",IF(IF(AB$2&lt;=$A$1,1,0),IF(AB$4="休","",IF(COUNTIF(DATA!AC:AC,$A:$A)=0,"×","√")),""))</f>
        <v/>
      </c>
      <c r="AC5" s="34" t="str">
        <f ca="1">IF($A5="","",IF(IF(AC$2&lt;=$A$1,1,0),IF(AC$4="休","",IF(COUNTIF(DATA!AD:AD,$A:$A)=0,"×","√")),""))</f>
        <v/>
      </c>
      <c r="AD5" s="34" t="str">
        <f ca="1">IF($A5="","",IF(IF(AD$2&lt;=$A$1,1,0),IF(AD$4="休","",IF(COUNTIF(DATA!AE:AE,$A:$A)=0,"×","√")),""))</f>
        <v/>
      </c>
      <c r="AE5" s="34" t="str">
        <f ca="1">IF($A5="","",IF(IF(AE$2&lt;=$A$1,1,0),IF(AE$4="休","",IF(COUNTIF(DATA!AF:AF,$A:$A)=0,"×","√")),""))</f>
        <v/>
      </c>
      <c r="AF5" s="34" t="str">
        <f ca="1">IF($A5="","",IF(IF(AF$2&lt;=$A$1,1,0),IF(AF$4="休","",IF(COUNTIF(DATA!AG:AG,$A:$A)=0,"×","√")),""))</f>
        <v/>
      </c>
      <c r="AG5" s="34" t="str">
        <f ca="1">IF($A5="","",IF(IF(AG$2&lt;=$A$1,1,0),IF(AG$4="休","",IF(COUNTIF(DATA!AH:AH,$A:$A)=0,"×","√")),""))</f>
        <v/>
      </c>
      <c r="AH5" s="34" t="str">
        <f ca="1">IF($A5="","",IF(IF(AH$2&lt;=$A$1,1,0),IF(AH$4="休","",IF(COUNTIF(DATA!AI:AI,$A:$A)=0,"×","√")),""))</f>
        <v/>
      </c>
      <c r="AI5" s="34" t="str">
        <f ca="1">IF($A5="","",IF(IF(AI$2&lt;=$A$1,1,0),IF(AI$4="休","",IF(COUNTIF(DATA!AJ:AJ,$A:$A)=0,"×","√")),""))</f>
        <v/>
      </c>
      <c r="AJ5" s="34" t="str">
        <f ca="1">IF($A5="","",IF(IF(AJ$2&lt;=$A$1,1,0),IF(AJ$4="休","",IF(COUNTIF(DATA!AK:AK,$A:$A)=0,"×","√")),""))</f>
        <v/>
      </c>
      <c r="AK5" s="34" t="str">
        <f ca="1">IF($A5="","",IF(IF(AK$2&lt;=$A$1,1,0),IF(AK$4="休","",IF(COUNTIF(DATA!AL:AL,$A:$A)=0,"×","√")),""))</f>
        <v/>
      </c>
      <c r="AL5" s="34" t="str">
        <f ca="1">IF($A5="","",IF(IF(AL$2&lt;=$A$1,1,0),IF(AL$4="休","",IF(COUNTIF(DATA!AM:AM,$A:$A)=0,"×","√")),""))</f>
        <v/>
      </c>
      <c r="AM5" s="34" t="str">
        <f ca="1">IF($A5="","",IF(IF(AM$2&lt;=$A$1,1,0),IF(AM$4="休","",IF(COUNTIF(DATA!AN:AN,$A:$A)=0,"×","√")),""))</f>
        <v/>
      </c>
      <c r="AN5" s="34" t="str">
        <f ca="1">IF($A5="","",IF(IF(AN$2&lt;=$A$1,1,0),IF(AN$4="休","",IF(COUNTIF(DATA!AO:AO,$A:$A)=0,"×","√")),""))</f>
        <v/>
      </c>
      <c r="AO5" s="34" t="str">
        <f ca="1">IF($A5="","",IF(IF(AO$2&lt;=$A$1,1,0),IF(AO$4="休","",IF(COUNTIF(DATA!AP:AP,$A:$A)=0,"×","√")),""))</f>
        <v/>
      </c>
      <c r="AP5" s="34" t="str">
        <f ca="1">IF($A5="","",IF(IF(AP$2&lt;=$A$1,1,0),IF(AP$4="休","",IF(COUNTIF(DATA!AQ:AQ,$A:$A)=0,"×","√")),""))</f>
        <v/>
      </c>
      <c r="AQ5" s="34" t="str">
        <f ca="1">IF($A5="","",IF(IF(AQ$2&lt;=$A$1,1,0),IF(AQ$4="休","",IF(COUNTIF(DATA!AR:AR,$A:$A)=0,"×","√")),""))</f>
        <v/>
      </c>
      <c r="AR5" s="34" t="str">
        <f ca="1">IF($A5="","",IF(IF(AR$2&lt;=$A$1,1,0),IF(AR$4="休","",IF(COUNTIF(DATA!AS:AS,$A:$A)=0,"×","√")),""))</f>
        <v/>
      </c>
      <c r="AS5" s="34" t="str">
        <f ca="1">IF($A5="","",IF(IF(AS$2&lt;=$A$1,1,0),IF(AS$4="休","",IF(COUNTIF(DATA!AT:AT,$A:$A)=0,"×","√")),""))</f>
        <v/>
      </c>
      <c r="AT5" s="34" t="str">
        <f ca="1">IF($A5="","",IF(IF(AT$2&lt;=$A$1,1,0),IF(AT$4="休","",IF(COUNTIF(DATA!AU:AU,$A:$A)=0,"×","√")),""))</f>
        <v/>
      </c>
      <c r="AU5" s="34" t="str">
        <f ca="1">IF($A5="","",IF(IF(AU$2&lt;=$A$1,1,0),IF(AU$4="休","",IF(COUNTIF(DATA!AV:AV,$A:$A)=0,"×","√")),""))</f>
        <v/>
      </c>
      <c r="AV5" s="34" t="str">
        <f ca="1">IF($A5="","",IF(IF(AV$2&lt;=$A$1,1,0),IF(AV$4="休","",IF(COUNTIF(DATA!AW:AW,$A:$A)=0,"×","√")),""))</f>
        <v/>
      </c>
      <c r="AW5" s="34" t="str">
        <f ca="1">IF($A5="","",IF(IF(AW$2&lt;=$A$1,1,0),IF(AW$4="休","",IF(COUNTIF(DATA!AX:AX,$A:$A)=0,"×","√")),""))</f>
        <v/>
      </c>
      <c r="AX5" s="34" t="str">
        <f ca="1">IF($A5="","",IF(IF(AX$2&lt;=$A$1,1,0),IF(AX$4="休","",IF(COUNTIF(DATA!AY:AY,$A:$A)=0,"×","√")),""))</f>
        <v/>
      </c>
      <c r="AY5" s="34" t="str">
        <f ca="1">IF($A5="","",IF(IF(AY$2&lt;=$A$1,1,0),IF(AY$4="休","",IF(COUNTIF(DATA!AZ:AZ,$A:$A)=0,"×","√")),""))</f>
        <v/>
      </c>
      <c r="AZ5" s="34" t="str">
        <f ca="1">IF($A5="","",IF(IF(AZ$2&lt;=$A$1,1,0),IF(AZ$4="休","",IF(COUNTIF(DATA!BA:BA,$A:$A)=0,"×","√")),""))</f>
        <v/>
      </c>
      <c r="BA5" s="34" t="str">
        <f ca="1">IF($A5="","",IF(IF(BA$2&lt;=$A$1,1,0),IF(BA$4="休","",IF(COUNTIF(DATA!BB:BB,$A:$A)=0,"×","√")),""))</f>
        <v/>
      </c>
      <c r="BB5" s="34" t="str">
        <f ca="1">IF($A5="","",IF(IF(BB$2&lt;=$A$1,1,0),IF(BB$4="休","",IF(COUNTIF(DATA!BC:BC,$A:$A)=0,"×","√")),""))</f>
        <v/>
      </c>
      <c r="BC5" s="34" t="str">
        <f ca="1">IF($A5="","",IF(IF(BC$2&lt;=$A$1,1,0),IF(BC$4="休","",IF(COUNTIF(DATA!BD:BD,$A:$A)=0,"×","√")),""))</f>
        <v/>
      </c>
      <c r="BD5" s="34" t="str">
        <f ca="1">IF($A5="","",IF(IF(BD$2&lt;=$A$1,1,0),IF(BD$4="休","",IF(COUNTIF(DATA!BE:BE,$A:$A)=0,"×","√")),""))</f>
        <v/>
      </c>
      <c r="BE5" s="34" t="str">
        <f ca="1">IF($A5="","",IF(IF(BE$2&lt;=$A$1,1,0),IF(BE$4="休","",IF(COUNTIF(DATA!BF:BF,$A:$A)=0,"×","√")),""))</f>
        <v/>
      </c>
      <c r="BF5" s="34" t="str">
        <f ca="1">IF($A5="","",IF(IF(BF$2&lt;=$A$1,1,0),IF(BF$4="休","",IF(COUNTIF(DATA!BG:BG,$A:$A)=0,"×","√")),""))</f>
        <v/>
      </c>
      <c r="BG5" s="34" t="str">
        <f ca="1">IF($A5="","",IF(IF(BG$2&lt;=$A$1,1,0),IF(BG$4="休","",IF(COUNTIF(DATA!BH:BH,$A:$A)=0,"×","√")),""))</f>
        <v/>
      </c>
      <c r="BH5" s="34" t="str">
        <f ca="1">IF($A5="","",IF(IF(BH$2&lt;=$A$1,1,0),IF(BH$4="休","",IF(COUNTIF(DATA!BI:BI,$A:$A)=0,"×","√")),""))</f>
        <v/>
      </c>
      <c r="BI5" s="34" t="str">
        <f ca="1">IF($A5="","",IF(IF(BI$2&lt;=$A$1,1,0),IF(BI$4="休","",IF(COUNTIF(DATA!BJ:BJ,$A:$A)=0,"×","√")),""))</f>
        <v/>
      </c>
      <c r="BJ5" s="34" t="str">
        <f ca="1">IF($A5="","",IF(IF(BJ$2&lt;=$A$1,1,0),IF(BJ$4="休","",IF(COUNTIF(DATA!BK:BK,$A:$A)=0,"×","√")),""))</f>
        <v/>
      </c>
      <c r="BK5" s="34" t="str">
        <f ca="1">IF($A5="","",IF(IF(BK$2&lt;=$A$1,1,0),IF(BK$4="休","",IF(COUNTIF(DATA!BL:BL,$A:$A)=0,"×","√")),""))</f>
        <v/>
      </c>
      <c r="BL5" s="34" t="str">
        <f ca="1">IF($A5="","",IF(IF(BL$2&lt;=$A$1,1,0),IF(BL$4="休","",IF(COUNTIF(DATA!BM:BM,$A:$A)=0,"×","√")),""))</f>
        <v/>
      </c>
      <c r="BM5" s="34" t="str">
        <f ca="1">IF($A5="","",IF(IF(BM$2&lt;=$A$1,1,0),IF(BM$4="休","",IF(COUNTIF(DATA!BN:BN,$A:$A)=0,"×","√")),""))</f>
        <v/>
      </c>
      <c r="BN5" s="34" t="str">
        <f ca="1">IF($A5="","",IF(IF(BN$2&lt;=$A$1,1,0),IF(BN$4="休","",IF(COUNTIF(DATA!BO:BO,$A:$A)=0,"×","√")),""))</f>
        <v/>
      </c>
      <c r="BO5" s="34" t="str">
        <f ca="1">IF($A5="","",IF(IF(BO$2&lt;=$A$1,1,0),IF(BO$4="休","",IF(COUNTIF(DATA!BP:BP,$A:$A)=0,"×","√")),""))</f>
        <v/>
      </c>
      <c r="BP5" s="34" t="str">
        <f ca="1">IF($A5="","",IF(IF(BP$2&lt;=$A$1,1,0),IF(BP$4="休","",IF(COUNTIF(DATA!BQ:BQ,$A:$A)=0,"×","√")),""))</f>
        <v/>
      </c>
      <c r="BQ5" s="34" t="str">
        <f ca="1">IF($A5="","",IF(IF(BQ$2&lt;=$A$1,1,0),IF(BQ$4="休","",IF(COUNTIF(DATA!BR:BR,$A:$A)=0,"×","√")),""))</f>
        <v/>
      </c>
      <c r="BR5" s="34" t="str">
        <f ca="1">IF($A5="","",IF(IF(BR$2&lt;=$A$1,1,0),IF(BR$4="休","",IF(COUNTIF(DATA!BS:BS,$A:$A)=0,"×","√")),""))</f>
        <v/>
      </c>
      <c r="BS5" s="34" t="str">
        <f ca="1">IF($A5="","",IF(IF(BS$2&lt;=$A$1,1,0),IF(BS$4="休","",IF(COUNTIF(DATA!BT:BT,$A:$A)=0,"×","√")),""))</f>
        <v/>
      </c>
      <c r="BT5" s="34" t="str">
        <f ca="1">IF($A5="","",IF(IF(BT$2&lt;=$A$1,1,0),IF(BT$4="休","",IF(COUNTIF(DATA!BU:BU,$A:$A)=0,"×","√")),""))</f>
        <v/>
      </c>
      <c r="BU5" s="34" t="str">
        <f ca="1">IF($A5="","",IF(IF(BU$2&lt;=$A$1,1,0),IF(BU$4="休","",IF(COUNTIF(DATA!BV:BV,$A:$A)=0,"×","√")),""))</f>
        <v/>
      </c>
      <c r="BV5" s="34" t="str">
        <f ca="1">IF($A5="","",IF(IF(BV$2&lt;=$A$1,1,0),IF(BV$4="休","",IF(COUNTIF(DATA!BW:BW,$A:$A)=0,"×","√")),""))</f>
        <v/>
      </c>
      <c r="BW5" s="34" t="str">
        <f ca="1">IF($A5="","",IF(IF(BW$2&lt;=$A$1,1,0),IF(BW$4="休","",IF(COUNTIF(DATA!BX:BX,$A:$A)=0,"×","√")),""))</f>
        <v/>
      </c>
      <c r="BX5" s="34" t="str">
        <f ca="1">IF($A5="","",IF(IF(BX$2&lt;=$A$1,1,0),IF(BX$4="休","",IF(COUNTIF(DATA!BY:BY,$A:$A)=0,"×","√")),""))</f>
        <v/>
      </c>
      <c r="BY5" s="34" t="str">
        <f ca="1">IF($A5="","",IF(IF(BY$2&lt;=$A$1,1,0),IF(BY$4="休","",IF(COUNTIF(DATA!BZ:BZ,$A:$A)=0,"×","√")),""))</f>
        <v/>
      </c>
      <c r="BZ5" s="34" t="str">
        <f ca="1">IF($A5="","",IF(IF(BZ$2&lt;=$A$1,1,0),IF(BZ$4="休","",IF(COUNTIF(DATA!CA:CA,$A:$A)=0,"×","√")),""))</f>
        <v/>
      </c>
      <c r="CA5" s="34" t="str">
        <f ca="1">IF($A5="","",IF(IF(CA$2&lt;=$A$1,1,0),IF(CA$4="休","",IF(COUNTIF(DATA!CB:CB,$A:$A)=0,"×","√")),""))</f>
        <v/>
      </c>
      <c r="CB5" s="34" t="str">
        <f ca="1">IF($A5="","",IF(IF(CB$2&lt;=$A$1,1,0),IF(CB$4="休","",IF(COUNTIF(DATA!CC:CC,$A:$A)=0,"×","√")),""))</f>
        <v/>
      </c>
      <c r="CC5" s="34" t="str">
        <f ca="1">IF($A5="","",IF(IF(CC$2&lt;=$A$1,1,0),IF(CC$4="休","",IF(COUNTIF(DATA!CD:CD,$A:$A)=0,"×","√")),""))</f>
        <v/>
      </c>
      <c r="CD5" s="34" t="str">
        <f ca="1">IF($A5="","",IF(IF(CD$2&lt;=$A$1,1,0),IF(CD$4="休","",IF(COUNTIF(DATA!CE:CE,$A:$A)=0,"×","√")),""))</f>
        <v/>
      </c>
      <c r="CE5" s="34" t="str">
        <f ca="1">IF($A5="","",IF(IF(CE$2&lt;=$A$1,1,0),IF(CE$4="休","",IF(COUNTIF(DATA!CF:CF,$A:$A)=0,"×","√")),""))</f>
        <v/>
      </c>
      <c r="CF5" s="34" t="str">
        <f ca="1">IF($A5="","",IF(IF(CF$2&lt;=$A$1,1,0),IF(CF$4="休","",IF(COUNTIF(DATA!CG:CG,$A:$A)=0,"×","√")),""))</f>
        <v/>
      </c>
      <c r="CG5" s="34" t="str">
        <f ca="1">IF($A5="","",IF(IF(CG$2&lt;=$A$1,1,0),IF(CG$4="休","",IF(COUNTIF(DATA!CH:CH,$A:$A)=0,"×","√")),""))</f>
        <v/>
      </c>
      <c r="CH5" s="34" t="str">
        <f ca="1">IF($A5="","",IF(IF(CH$2&lt;=$A$1,1,0),IF(CH$4="休","",IF(COUNTIF(DATA!CI:CI,$A:$A)=0,"×","√")),""))</f>
        <v/>
      </c>
      <c r="CI5" s="34" t="str">
        <f ca="1">IF($A5="","",IF(IF(CI$2&lt;=$A$1,1,0),IF(CI$4="休","",IF(COUNTIF(DATA!CJ:CJ,$A:$A)=0,"×","√")),""))</f>
        <v/>
      </c>
      <c r="CJ5" s="34" t="str">
        <f ca="1">IF($A5="","",IF(IF(CJ$2&lt;=$A$1,1,0),IF(CJ$4="休","",IF(COUNTIF(DATA!CK:CK,$A:$A)=0,"×","√")),""))</f>
        <v/>
      </c>
      <c r="CK5" s="34" t="str">
        <f ca="1">IF($A5="","",IF(IF(CK$2&lt;=$A$1,1,0),IF(CK$4="休","",IF(COUNTIF(DATA!CL:CL,$A:$A)=0,"×","√")),""))</f>
        <v/>
      </c>
      <c r="CL5" s="34" t="str">
        <f ca="1">IF($A5="","",IF(IF(CL$2&lt;=$A$1,1,0),IF(CL$4="休","",IF(COUNTIF(DATA!CM:CM,$A:$A)=0,"×","√")),""))</f>
        <v/>
      </c>
      <c r="CM5" s="34" t="str">
        <f ca="1">IF($A5="","",IF(IF(CM$2&lt;=$A$1,1,0),IF(CM$4="休","",IF(COUNTIF(DATA!CN:CN,$A:$A)=0,"×","√")),""))</f>
        <v/>
      </c>
      <c r="CN5" s="34" t="str">
        <f ca="1">IF($A5="","",IF(IF(CN$2&lt;=$A$1,1,0),IF(CN$4="休","",IF(COUNTIF(DATA!CO:CO,$A:$A)=0,"×","√")),""))</f>
        <v/>
      </c>
      <c r="CO5" s="34" t="str">
        <f ca="1">IF($A5="","",IF(IF(CO$2&lt;=$A$1,1,0),IF(CO$4="休","",IF(COUNTIF(DATA!CP:CP,$A:$A)=0,"×","√")),""))</f>
        <v/>
      </c>
      <c r="CP5" s="34" t="str">
        <f ca="1">IF($A5="","",IF(IF(CP$2&lt;=$A$1,1,0),IF(CP$4="休","",IF(COUNTIF(DATA!CQ:CQ,$A:$A)=0,"×","√")),""))</f>
        <v/>
      </c>
      <c r="CQ5" s="34" t="str">
        <f ca="1">IF($A5="","",IF(IF(CQ$2&lt;=$A$1,1,0),IF(CQ$4="休","",IF(COUNTIF(DATA!CR:CR,$A:$A)=0,"×","√")),""))</f>
        <v/>
      </c>
      <c r="CR5" s="34" t="str">
        <f ca="1">IF($A5="","",IF(IF(CR$2&lt;=$A$1,1,0),IF(CR$4="休","",IF(COUNTIF(DATA!CS:CS,$A:$A)=0,"×","√")),""))</f>
        <v/>
      </c>
    </row>
    <row r="6" s="28" customFormat="1" ht="18.75" spans="1:96">
      <c r="A6" s="34" t="str">
        <f>DATA!$A5&amp;""</f>
        <v>余飞</v>
      </c>
      <c r="B6" s="34" t="str">
        <f ca="1">IF($A6="","",IF(IF(B$2&lt;=$A$1,1,0),IF(B$4="休","",IF(COUNTIF(DATA!C:C,$A:$A)=0,"×","√")),""))</f>
        <v>√</v>
      </c>
      <c r="C6" s="34" t="str">
        <f ca="1">IF($A6="","",IF(IF(C$2&lt;=$A$1,1,0),IF(C$4="休","",IF(COUNTIF(DATA!D:D,$A:$A)=0,"×","√")),""))</f>
        <v>√</v>
      </c>
      <c r="D6" s="34" t="str">
        <f ca="1">IF($A6="","",IF(IF(D$2&lt;=$A$1,1,0),IF(D$4="休","",IF(COUNTIF(DATA!E:E,$A:$A)=0,"×","√")),""))</f>
        <v>√</v>
      </c>
      <c r="E6" s="34" t="str">
        <f ca="1">IF($A6="","",IF(IF(E$2&lt;=$A$1,1,0),IF(E$4="休","",IF(COUNTIF(DATA!F:F,$A:$A)=0,"×","√")),""))</f>
        <v>√</v>
      </c>
      <c r="F6" s="34" t="str">
        <f ca="1">IF($A6="","",IF(IF(F$2&lt;=$A$1,1,0),IF(F$4="休","",IF(COUNTIF(DATA!G:G,$A:$A)=0,"×","√")),""))</f>
        <v>√</v>
      </c>
      <c r="G6" s="34" t="str">
        <f ca="1">IF($A6="","",IF(IF(G$2&lt;=$A$1,1,0),IF(G$4="休","",IF(COUNTIF(DATA!H:H,$A:$A)=0,"×","√")),""))</f>
        <v>√</v>
      </c>
      <c r="H6" s="34" t="str">
        <f ca="1">IF($A6="","",IF(IF(H$2&lt;=$A$1,1,0),IF(H$4="休","",IF(COUNTIF(DATA!I:I,$A:$A)=0,"×","√")),""))</f>
        <v>√</v>
      </c>
      <c r="I6" s="34" t="str">
        <f ca="1">IF($A6="","",IF(IF(I$2&lt;=$A$1,1,0),IF(I$4="休","",IF(COUNTIF(DATA!J:J,$A:$A)=0,"×","√")),""))</f>
        <v>√</v>
      </c>
      <c r="J6" s="34" t="str">
        <f ca="1">IF($A6="","",IF(IF(J$2&lt;=$A$1,1,0),IF(J$4="休","",IF(COUNTIF(DATA!K:K,$A:$A)=0,"×","√")),""))</f>
        <v>√</v>
      </c>
      <c r="K6" s="34" t="str">
        <f ca="1">IF($A6="","",IF(IF(K$2&lt;=$A$1,1,0),IF(K$4="休","",IF(COUNTIF(DATA!L:L,$A:$A)=0,"×","√")),""))</f>
        <v>√</v>
      </c>
      <c r="L6" s="34" t="str">
        <f ca="1">IF($A6="","",IF(IF(L$2&lt;=$A$1,1,0),IF(L$4="休","",IF(COUNTIF(DATA!M:M,$A:$A)=0,"×","√")),""))</f>
        <v>√</v>
      </c>
      <c r="M6" s="34" t="str">
        <f ca="1">IF($A6="","",IF(IF(M$2&lt;=$A$1,1,0),IF(M$4="休","",IF(COUNTIF(DATA!N:N,$A:$A)=0,"×","√")),""))</f>
        <v>√</v>
      </c>
      <c r="N6" s="34" t="str">
        <f ca="1">IF($A6="","",IF(IF(N$2&lt;=$A$1,1,0),IF(N$4="休","",IF(COUNTIF(DATA!O:O,$A:$A)=0,"×","√")),""))</f>
        <v>√</v>
      </c>
      <c r="O6" s="34" t="str">
        <f ca="1">IF($A6="","",IF(IF(O$2&lt;=$A$1,1,0),IF(O$4="休","",IF(COUNTIF(DATA!P:P,$A:$A)=0,"×","√")),""))</f>
        <v>×</v>
      </c>
      <c r="P6" s="34" t="str">
        <f ca="1">IF($A6="","",IF(IF(P$2&lt;=$A$1,1,0),IF(P$4="休","",IF(COUNTIF(DATA!Q:Q,$A:$A)=0,"×","√")),""))</f>
        <v/>
      </c>
      <c r="Q6" s="34" t="str">
        <f ca="1">IF($A6="","",IF(IF(Q$2&lt;=$A$1,1,0),IF(Q$4="休","",IF(COUNTIF(DATA!R:R,$A:$A)=0,"×","√")),""))</f>
        <v/>
      </c>
      <c r="R6" s="34" t="str">
        <f ca="1">IF($A6="","",IF(IF(R$2&lt;=$A$1,1,0),IF(R$4="休","",IF(COUNTIF(DATA!S:S,$A:$A)=0,"×","√")),""))</f>
        <v/>
      </c>
      <c r="S6" s="34" t="str">
        <f ca="1">IF($A6="","",IF(IF(S$2&lt;=$A$1,1,0),IF(S$4="休","",IF(COUNTIF(DATA!T:T,$A:$A)=0,"×","√")),""))</f>
        <v/>
      </c>
      <c r="T6" s="34" t="str">
        <f ca="1">IF($A6="","",IF(IF(T$2&lt;=$A$1,1,0),IF(T$4="休","",IF(COUNTIF(DATA!U:U,$A:$A)=0,"×","√")),""))</f>
        <v/>
      </c>
      <c r="U6" s="34" t="str">
        <f ca="1">IF($A6="","",IF(IF(U$2&lt;=$A$1,1,0),IF(U$4="休","",IF(COUNTIF(DATA!V:V,$A:$A)=0,"×","√")),""))</f>
        <v/>
      </c>
      <c r="V6" s="34" t="str">
        <f ca="1">IF($A6="","",IF(IF(V$2&lt;=$A$1,1,0),IF(V$4="休","",IF(COUNTIF(DATA!W:W,$A:$A)=0,"×","√")),""))</f>
        <v/>
      </c>
      <c r="W6" s="34" t="str">
        <f ca="1">IF($A6="","",IF(IF(W$2&lt;=$A$1,1,0),IF(W$4="休","",IF(COUNTIF(DATA!X:X,$A:$A)=0,"×","√")),""))</f>
        <v/>
      </c>
      <c r="X6" s="34" t="str">
        <f ca="1">IF($A6="","",IF(IF(X$2&lt;=$A$1,1,0),IF(X$4="休","",IF(COUNTIF(DATA!Y:Y,$A:$A)=0,"×","√")),""))</f>
        <v/>
      </c>
      <c r="Y6" s="34" t="str">
        <f ca="1">IF($A6="","",IF(IF(Y$2&lt;=$A$1,1,0),IF(Y$4="休","",IF(COUNTIF(DATA!Z:Z,$A:$A)=0,"×","√")),""))</f>
        <v/>
      </c>
      <c r="Z6" s="34" t="str">
        <f ca="1">IF($A6="","",IF(IF(Z$2&lt;=$A$1,1,0),IF(Z$4="休","",IF(COUNTIF(DATA!AA:AA,$A:$A)=0,"×","√")),""))</f>
        <v/>
      </c>
      <c r="AA6" s="34" t="str">
        <f ca="1">IF($A6="","",IF(IF(AA$2&lt;=$A$1,1,0),IF(AA$4="休","",IF(COUNTIF(DATA!AB:AB,$A:$A)=0,"×","√")),""))</f>
        <v/>
      </c>
      <c r="AB6" s="34" t="str">
        <f ca="1">IF($A6="","",IF(IF(AB$2&lt;=$A$1,1,0),IF(AB$4="休","",IF(COUNTIF(DATA!AC:AC,$A:$A)=0,"×","√")),""))</f>
        <v/>
      </c>
      <c r="AC6" s="34" t="str">
        <f ca="1">IF($A6="","",IF(IF(AC$2&lt;=$A$1,1,0),IF(AC$4="休","",IF(COUNTIF(DATA!AD:AD,$A:$A)=0,"×","√")),""))</f>
        <v/>
      </c>
      <c r="AD6" s="34" t="str">
        <f ca="1">IF($A6="","",IF(IF(AD$2&lt;=$A$1,1,0),IF(AD$4="休","",IF(COUNTIF(DATA!AE:AE,$A:$A)=0,"×","√")),""))</f>
        <v/>
      </c>
      <c r="AE6" s="34" t="str">
        <f ca="1">IF($A6="","",IF(IF(AE$2&lt;=$A$1,1,0),IF(AE$4="休","",IF(COUNTIF(DATA!AF:AF,$A:$A)=0,"×","√")),""))</f>
        <v/>
      </c>
      <c r="AF6" s="34" t="str">
        <f ca="1">IF($A6="","",IF(IF(AF$2&lt;=$A$1,1,0),IF(AF$4="休","",IF(COUNTIF(DATA!AG:AG,$A:$A)=0,"×","√")),""))</f>
        <v/>
      </c>
      <c r="AG6" s="34" t="str">
        <f ca="1">IF($A6="","",IF(IF(AG$2&lt;=$A$1,1,0),IF(AG$4="休","",IF(COUNTIF(DATA!AH:AH,$A:$A)=0,"×","√")),""))</f>
        <v/>
      </c>
      <c r="AH6" s="34" t="str">
        <f ca="1">IF($A6="","",IF(IF(AH$2&lt;=$A$1,1,0),IF(AH$4="休","",IF(COUNTIF(DATA!AI:AI,$A:$A)=0,"×","√")),""))</f>
        <v/>
      </c>
      <c r="AI6" s="34" t="str">
        <f ca="1">IF($A6="","",IF(IF(AI$2&lt;=$A$1,1,0),IF(AI$4="休","",IF(COUNTIF(DATA!AJ:AJ,$A:$A)=0,"×","√")),""))</f>
        <v/>
      </c>
      <c r="AJ6" s="34" t="str">
        <f ca="1">IF($A6="","",IF(IF(AJ$2&lt;=$A$1,1,0),IF(AJ$4="休","",IF(COUNTIF(DATA!AK:AK,$A:$A)=0,"×","√")),""))</f>
        <v/>
      </c>
      <c r="AK6" s="34" t="str">
        <f ca="1">IF($A6="","",IF(IF(AK$2&lt;=$A$1,1,0),IF(AK$4="休","",IF(COUNTIF(DATA!AL:AL,$A:$A)=0,"×","√")),""))</f>
        <v/>
      </c>
      <c r="AL6" s="34" t="str">
        <f ca="1">IF($A6="","",IF(IF(AL$2&lt;=$A$1,1,0),IF(AL$4="休","",IF(COUNTIF(DATA!AM:AM,$A:$A)=0,"×","√")),""))</f>
        <v/>
      </c>
      <c r="AM6" s="34" t="str">
        <f ca="1">IF($A6="","",IF(IF(AM$2&lt;=$A$1,1,0),IF(AM$4="休","",IF(COUNTIF(DATA!AN:AN,$A:$A)=0,"×","√")),""))</f>
        <v/>
      </c>
      <c r="AN6" s="34" t="str">
        <f ca="1">IF($A6="","",IF(IF(AN$2&lt;=$A$1,1,0),IF(AN$4="休","",IF(COUNTIF(DATA!AO:AO,$A:$A)=0,"×","√")),""))</f>
        <v/>
      </c>
      <c r="AO6" s="34" t="str">
        <f ca="1">IF($A6="","",IF(IF(AO$2&lt;=$A$1,1,0),IF(AO$4="休","",IF(COUNTIF(DATA!AP:AP,$A:$A)=0,"×","√")),""))</f>
        <v/>
      </c>
      <c r="AP6" s="34" t="str">
        <f ca="1">IF($A6="","",IF(IF(AP$2&lt;=$A$1,1,0),IF(AP$4="休","",IF(COUNTIF(DATA!AQ:AQ,$A:$A)=0,"×","√")),""))</f>
        <v/>
      </c>
      <c r="AQ6" s="34" t="str">
        <f ca="1">IF($A6="","",IF(IF(AQ$2&lt;=$A$1,1,0),IF(AQ$4="休","",IF(COUNTIF(DATA!AR:AR,$A:$A)=0,"×","√")),""))</f>
        <v/>
      </c>
      <c r="AR6" s="34" t="str">
        <f ca="1">IF($A6="","",IF(IF(AR$2&lt;=$A$1,1,0),IF(AR$4="休","",IF(COUNTIF(DATA!AS:AS,$A:$A)=0,"×","√")),""))</f>
        <v/>
      </c>
      <c r="AS6" s="34" t="str">
        <f ca="1">IF($A6="","",IF(IF(AS$2&lt;=$A$1,1,0),IF(AS$4="休","",IF(COUNTIF(DATA!AT:AT,$A:$A)=0,"×","√")),""))</f>
        <v/>
      </c>
      <c r="AT6" s="34" t="str">
        <f ca="1">IF($A6="","",IF(IF(AT$2&lt;=$A$1,1,0),IF(AT$4="休","",IF(COUNTIF(DATA!AU:AU,$A:$A)=0,"×","√")),""))</f>
        <v/>
      </c>
      <c r="AU6" s="34" t="str">
        <f ca="1">IF($A6="","",IF(IF(AU$2&lt;=$A$1,1,0),IF(AU$4="休","",IF(COUNTIF(DATA!AV:AV,$A:$A)=0,"×","√")),""))</f>
        <v/>
      </c>
      <c r="AV6" s="34" t="str">
        <f ca="1">IF($A6="","",IF(IF(AV$2&lt;=$A$1,1,0),IF(AV$4="休","",IF(COUNTIF(DATA!AW:AW,$A:$A)=0,"×","√")),""))</f>
        <v/>
      </c>
      <c r="AW6" s="34" t="str">
        <f ca="1">IF($A6="","",IF(IF(AW$2&lt;=$A$1,1,0),IF(AW$4="休","",IF(COUNTIF(DATA!AX:AX,$A:$A)=0,"×","√")),""))</f>
        <v/>
      </c>
      <c r="AX6" s="34" t="str">
        <f ca="1">IF($A6="","",IF(IF(AX$2&lt;=$A$1,1,0),IF(AX$4="休","",IF(COUNTIF(DATA!AY:AY,$A:$A)=0,"×","√")),""))</f>
        <v/>
      </c>
      <c r="AY6" s="34" t="str">
        <f ca="1">IF($A6="","",IF(IF(AY$2&lt;=$A$1,1,0),IF(AY$4="休","",IF(COUNTIF(DATA!AZ:AZ,$A:$A)=0,"×","√")),""))</f>
        <v/>
      </c>
      <c r="AZ6" s="34" t="str">
        <f ca="1">IF($A6="","",IF(IF(AZ$2&lt;=$A$1,1,0),IF(AZ$4="休","",IF(COUNTIF(DATA!BA:BA,$A:$A)=0,"×","√")),""))</f>
        <v/>
      </c>
      <c r="BA6" s="34" t="str">
        <f ca="1">IF($A6="","",IF(IF(BA$2&lt;=$A$1,1,0),IF(BA$4="休","",IF(COUNTIF(DATA!BB:BB,$A:$A)=0,"×","√")),""))</f>
        <v/>
      </c>
      <c r="BB6" s="34" t="str">
        <f ca="1">IF($A6="","",IF(IF(BB$2&lt;=$A$1,1,0),IF(BB$4="休","",IF(COUNTIF(DATA!BC:BC,$A:$A)=0,"×","√")),""))</f>
        <v/>
      </c>
      <c r="BC6" s="34" t="str">
        <f ca="1">IF($A6="","",IF(IF(BC$2&lt;=$A$1,1,0),IF(BC$4="休","",IF(COUNTIF(DATA!BD:BD,$A:$A)=0,"×","√")),""))</f>
        <v/>
      </c>
      <c r="BD6" s="34" t="str">
        <f ca="1">IF($A6="","",IF(IF(BD$2&lt;=$A$1,1,0),IF(BD$4="休","",IF(COUNTIF(DATA!BE:BE,$A:$A)=0,"×","√")),""))</f>
        <v/>
      </c>
      <c r="BE6" s="34" t="str">
        <f ca="1">IF($A6="","",IF(IF(BE$2&lt;=$A$1,1,0),IF(BE$4="休","",IF(COUNTIF(DATA!BF:BF,$A:$A)=0,"×","√")),""))</f>
        <v/>
      </c>
      <c r="BF6" s="34" t="str">
        <f ca="1">IF($A6="","",IF(IF(BF$2&lt;=$A$1,1,0),IF(BF$4="休","",IF(COUNTIF(DATA!BG:BG,$A:$A)=0,"×","√")),""))</f>
        <v/>
      </c>
      <c r="BG6" s="34" t="str">
        <f ca="1">IF($A6="","",IF(IF(BG$2&lt;=$A$1,1,0),IF(BG$4="休","",IF(COUNTIF(DATA!BH:BH,$A:$A)=0,"×","√")),""))</f>
        <v/>
      </c>
      <c r="BH6" s="34" t="str">
        <f ca="1">IF($A6="","",IF(IF(BH$2&lt;=$A$1,1,0),IF(BH$4="休","",IF(COUNTIF(DATA!BI:BI,$A:$A)=0,"×","√")),""))</f>
        <v/>
      </c>
      <c r="BI6" s="34" t="str">
        <f ca="1">IF($A6="","",IF(IF(BI$2&lt;=$A$1,1,0),IF(BI$4="休","",IF(COUNTIF(DATA!BJ:BJ,$A:$A)=0,"×","√")),""))</f>
        <v/>
      </c>
      <c r="BJ6" s="34" t="str">
        <f ca="1">IF($A6="","",IF(IF(BJ$2&lt;=$A$1,1,0),IF(BJ$4="休","",IF(COUNTIF(DATA!BK:BK,$A:$A)=0,"×","√")),""))</f>
        <v/>
      </c>
      <c r="BK6" s="34" t="str">
        <f ca="1">IF($A6="","",IF(IF(BK$2&lt;=$A$1,1,0),IF(BK$4="休","",IF(COUNTIF(DATA!BL:BL,$A:$A)=0,"×","√")),""))</f>
        <v/>
      </c>
      <c r="BL6" s="34" t="str">
        <f ca="1">IF($A6="","",IF(IF(BL$2&lt;=$A$1,1,0),IF(BL$4="休","",IF(COUNTIF(DATA!BM:BM,$A:$A)=0,"×","√")),""))</f>
        <v/>
      </c>
      <c r="BM6" s="34" t="str">
        <f ca="1">IF($A6="","",IF(IF(BM$2&lt;=$A$1,1,0),IF(BM$4="休","",IF(COUNTIF(DATA!BN:BN,$A:$A)=0,"×","√")),""))</f>
        <v/>
      </c>
      <c r="BN6" s="34" t="str">
        <f ca="1">IF($A6="","",IF(IF(BN$2&lt;=$A$1,1,0),IF(BN$4="休","",IF(COUNTIF(DATA!BO:BO,$A:$A)=0,"×","√")),""))</f>
        <v/>
      </c>
      <c r="BO6" s="34" t="str">
        <f ca="1">IF($A6="","",IF(IF(BO$2&lt;=$A$1,1,0),IF(BO$4="休","",IF(COUNTIF(DATA!BP:BP,$A:$A)=0,"×","√")),""))</f>
        <v/>
      </c>
      <c r="BP6" s="34" t="str">
        <f ca="1">IF($A6="","",IF(IF(BP$2&lt;=$A$1,1,0),IF(BP$4="休","",IF(COUNTIF(DATA!BQ:BQ,$A:$A)=0,"×","√")),""))</f>
        <v/>
      </c>
      <c r="BQ6" s="34" t="str">
        <f ca="1">IF($A6="","",IF(IF(BQ$2&lt;=$A$1,1,0),IF(BQ$4="休","",IF(COUNTIF(DATA!BR:BR,$A:$A)=0,"×","√")),""))</f>
        <v/>
      </c>
      <c r="BR6" s="34" t="str">
        <f ca="1">IF($A6="","",IF(IF(BR$2&lt;=$A$1,1,0),IF(BR$4="休","",IF(COUNTIF(DATA!BS:BS,$A:$A)=0,"×","√")),""))</f>
        <v/>
      </c>
      <c r="BS6" s="34" t="str">
        <f ca="1">IF($A6="","",IF(IF(BS$2&lt;=$A$1,1,0),IF(BS$4="休","",IF(COUNTIF(DATA!BT:BT,$A:$A)=0,"×","√")),""))</f>
        <v/>
      </c>
      <c r="BT6" s="34" t="str">
        <f ca="1">IF($A6="","",IF(IF(BT$2&lt;=$A$1,1,0),IF(BT$4="休","",IF(COUNTIF(DATA!BU:BU,$A:$A)=0,"×","√")),""))</f>
        <v/>
      </c>
      <c r="BU6" s="34" t="str">
        <f ca="1">IF($A6="","",IF(IF(BU$2&lt;=$A$1,1,0),IF(BU$4="休","",IF(COUNTIF(DATA!BV:BV,$A:$A)=0,"×","√")),""))</f>
        <v/>
      </c>
      <c r="BV6" s="34" t="str">
        <f ca="1">IF($A6="","",IF(IF(BV$2&lt;=$A$1,1,0),IF(BV$4="休","",IF(COUNTIF(DATA!BW:BW,$A:$A)=0,"×","√")),""))</f>
        <v/>
      </c>
      <c r="BW6" s="34" t="str">
        <f ca="1">IF($A6="","",IF(IF(BW$2&lt;=$A$1,1,0),IF(BW$4="休","",IF(COUNTIF(DATA!BX:BX,$A:$A)=0,"×","√")),""))</f>
        <v/>
      </c>
      <c r="BX6" s="34" t="str">
        <f ca="1">IF($A6="","",IF(IF(BX$2&lt;=$A$1,1,0),IF(BX$4="休","",IF(COUNTIF(DATA!BY:BY,$A:$A)=0,"×","√")),""))</f>
        <v/>
      </c>
      <c r="BY6" s="34" t="str">
        <f ca="1">IF($A6="","",IF(IF(BY$2&lt;=$A$1,1,0),IF(BY$4="休","",IF(COUNTIF(DATA!BZ:BZ,$A:$A)=0,"×","√")),""))</f>
        <v/>
      </c>
      <c r="BZ6" s="34" t="str">
        <f ca="1">IF($A6="","",IF(IF(BZ$2&lt;=$A$1,1,0),IF(BZ$4="休","",IF(COUNTIF(DATA!CA:CA,$A:$A)=0,"×","√")),""))</f>
        <v/>
      </c>
      <c r="CA6" s="34" t="str">
        <f ca="1">IF($A6="","",IF(IF(CA$2&lt;=$A$1,1,0),IF(CA$4="休","",IF(COUNTIF(DATA!CB:CB,$A:$A)=0,"×","√")),""))</f>
        <v/>
      </c>
      <c r="CB6" s="34" t="str">
        <f ca="1">IF($A6="","",IF(IF(CB$2&lt;=$A$1,1,0),IF(CB$4="休","",IF(COUNTIF(DATA!CC:CC,$A:$A)=0,"×","√")),""))</f>
        <v/>
      </c>
      <c r="CC6" s="34" t="str">
        <f ca="1">IF($A6="","",IF(IF(CC$2&lt;=$A$1,1,0),IF(CC$4="休","",IF(COUNTIF(DATA!CD:CD,$A:$A)=0,"×","√")),""))</f>
        <v/>
      </c>
      <c r="CD6" s="34" t="str">
        <f ca="1">IF($A6="","",IF(IF(CD$2&lt;=$A$1,1,0),IF(CD$4="休","",IF(COUNTIF(DATA!CE:CE,$A:$A)=0,"×","√")),""))</f>
        <v/>
      </c>
      <c r="CE6" s="34" t="str">
        <f ca="1">IF($A6="","",IF(IF(CE$2&lt;=$A$1,1,0),IF(CE$4="休","",IF(COUNTIF(DATA!CF:CF,$A:$A)=0,"×","√")),""))</f>
        <v/>
      </c>
      <c r="CF6" s="34" t="str">
        <f ca="1">IF($A6="","",IF(IF(CF$2&lt;=$A$1,1,0),IF(CF$4="休","",IF(COUNTIF(DATA!CG:CG,$A:$A)=0,"×","√")),""))</f>
        <v/>
      </c>
      <c r="CG6" s="34" t="str">
        <f ca="1">IF($A6="","",IF(IF(CG$2&lt;=$A$1,1,0),IF(CG$4="休","",IF(COUNTIF(DATA!CH:CH,$A:$A)=0,"×","√")),""))</f>
        <v/>
      </c>
      <c r="CH6" s="34" t="str">
        <f ca="1">IF($A6="","",IF(IF(CH$2&lt;=$A$1,1,0),IF(CH$4="休","",IF(COUNTIF(DATA!CI:CI,$A:$A)=0,"×","√")),""))</f>
        <v/>
      </c>
      <c r="CI6" s="34" t="str">
        <f ca="1">IF($A6="","",IF(IF(CI$2&lt;=$A$1,1,0),IF(CI$4="休","",IF(COUNTIF(DATA!CJ:CJ,$A:$A)=0,"×","√")),""))</f>
        <v/>
      </c>
      <c r="CJ6" s="34" t="str">
        <f ca="1">IF($A6="","",IF(IF(CJ$2&lt;=$A$1,1,0),IF(CJ$4="休","",IF(COUNTIF(DATA!CK:CK,$A:$A)=0,"×","√")),""))</f>
        <v/>
      </c>
      <c r="CK6" s="34" t="str">
        <f ca="1">IF($A6="","",IF(IF(CK$2&lt;=$A$1,1,0),IF(CK$4="休","",IF(COUNTIF(DATA!CL:CL,$A:$A)=0,"×","√")),""))</f>
        <v/>
      </c>
      <c r="CL6" s="34" t="str">
        <f ca="1">IF($A6="","",IF(IF(CL$2&lt;=$A$1,1,0),IF(CL$4="休","",IF(COUNTIF(DATA!CM:CM,$A:$A)=0,"×","√")),""))</f>
        <v/>
      </c>
      <c r="CM6" s="34" t="str">
        <f ca="1">IF($A6="","",IF(IF(CM$2&lt;=$A$1,1,0),IF(CM$4="休","",IF(COUNTIF(DATA!CN:CN,$A:$A)=0,"×","√")),""))</f>
        <v/>
      </c>
      <c r="CN6" s="34" t="str">
        <f ca="1">IF($A6="","",IF(IF(CN$2&lt;=$A$1,1,0),IF(CN$4="休","",IF(COUNTIF(DATA!CO:CO,$A:$A)=0,"×","√")),""))</f>
        <v/>
      </c>
      <c r="CO6" s="34" t="str">
        <f ca="1">IF($A6="","",IF(IF(CO$2&lt;=$A$1,1,0),IF(CO$4="休","",IF(COUNTIF(DATA!CP:CP,$A:$A)=0,"×","√")),""))</f>
        <v/>
      </c>
      <c r="CP6" s="34" t="str">
        <f ca="1">IF($A6="","",IF(IF(CP$2&lt;=$A$1,1,0),IF(CP$4="休","",IF(COUNTIF(DATA!CQ:CQ,$A:$A)=0,"×","√")),""))</f>
        <v/>
      </c>
      <c r="CQ6" s="34" t="str">
        <f ca="1">IF($A6="","",IF(IF(CQ$2&lt;=$A$1,1,0),IF(CQ$4="休","",IF(COUNTIF(DATA!CR:CR,$A:$A)=0,"×","√")),""))</f>
        <v/>
      </c>
      <c r="CR6" s="34" t="str">
        <f ca="1">IF($A6="","",IF(IF(CR$2&lt;=$A$1,1,0),IF(CR$4="休","",IF(COUNTIF(DATA!CS:CS,$A:$A)=0,"×","√")),""))</f>
        <v/>
      </c>
    </row>
    <row r="7" s="28" customFormat="1" ht="18.75" spans="1:96">
      <c r="A7" s="34" t="str">
        <f>DATA!$A6&amp;""</f>
        <v>阮光强</v>
      </c>
      <c r="B7" s="34" t="str">
        <f ca="1">IF($A7="","",IF(IF(B$2&lt;=$A$1,1,0),IF(B$4="休","",IF(COUNTIF(DATA!C:C,$A:$A)=0,"×","√")),""))</f>
        <v>√</v>
      </c>
      <c r="C7" s="34" t="str">
        <f ca="1">IF($A7="","",IF(IF(C$2&lt;=$A$1,1,0),IF(C$4="休","",IF(COUNTIF(DATA!D:D,$A:$A)=0,"×","√")),""))</f>
        <v>√</v>
      </c>
      <c r="D7" s="34" t="str">
        <f ca="1">IF($A7="","",IF(IF(D$2&lt;=$A$1,1,0),IF(D$4="休","",IF(COUNTIF(DATA!E:E,$A:$A)=0,"×","√")),""))</f>
        <v>√</v>
      </c>
      <c r="E7" s="34" t="str">
        <f ca="1">IF($A7="","",IF(IF(E$2&lt;=$A$1,1,0),IF(E$4="休","",IF(COUNTIF(DATA!F:F,$A:$A)=0,"×","√")),""))</f>
        <v>√</v>
      </c>
      <c r="F7" s="34" t="str">
        <f ca="1">IF($A7="","",IF(IF(F$2&lt;=$A$1,1,0),IF(F$4="休","",IF(COUNTIF(DATA!G:G,$A:$A)=0,"×","√")),""))</f>
        <v>√</v>
      </c>
      <c r="G7" s="34" t="str">
        <f ca="1">IF($A7="","",IF(IF(G$2&lt;=$A$1,1,0),IF(G$4="休","",IF(COUNTIF(DATA!H:H,$A:$A)=0,"×","√")),""))</f>
        <v>√</v>
      </c>
      <c r="H7" s="34" t="str">
        <f ca="1">IF($A7="","",IF(IF(H$2&lt;=$A$1,1,0),IF(H$4="休","",IF(COUNTIF(DATA!I:I,$A:$A)=0,"×","√")),""))</f>
        <v>√</v>
      </c>
      <c r="I7" s="34" t="str">
        <f ca="1">IF($A7="","",IF(IF(I$2&lt;=$A$1,1,0),IF(I$4="休","",IF(COUNTIF(DATA!J:J,$A:$A)=0,"×","√")),""))</f>
        <v>√</v>
      </c>
      <c r="J7" s="34" t="str">
        <f ca="1">IF($A7="","",IF(IF(J$2&lt;=$A$1,1,0),IF(J$4="休","",IF(COUNTIF(DATA!K:K,$A:$A)=0,"×","√")),""))</f>
        <v>√</v>
      </c>
      <c r="K7" s="34" t="str">
        <f ca="1">IF($A7="","",IF(IF(K$2&lt;=$A$1,1,0),IF(K$4="休","",IF(COUNTIF(DATA!L:L,$A:$A)=0,"×","√")),""))</f>
        <v>√</v>
      </c>
      <c r="L7" s="34" t="str">
        <f ca="1">IF($A7="","",IF(IF(L$2&lt;=$A$1,1,0),IF(L$4="休","",IF(COUNTIF(DATA!M:M,$A:$A)=0,"×","√")),""))</f>
        <v>√</v>
      </c>
      <c r="M7" s="34" t="str">
        <f ca="1">IF($A7="","",IF(IF(M$2&lt;=$A$1,1,0),IF(M$4="休","",IF(COUNTIF(DATA!N:N,$A:$A)=0,"×","√")),""))</f>
        <v>√</v>
      </c>
      <c r="N7" s="34" t="str">
        <f ca="1">IF($A7="","",IF(IF(N$2&lt;=$A$1,1,0),IF(N$4="休","",IF(COUNTIF(DATA!O:O,$A:$A)=0,"×","√")),""))</f>
        <v>√</v>
      </c>
      <c r="O7" s="34" t="str">
        <f ca="1">IF($A7="","",IF(IF(O$2&lt;=$A$1,1,0),IF(O$4="休","",IF(COUNTIF(DATA!P:P,$A:$A)=0,"×","√")),""))</f>
        <v>×</v>
      </c>
      <c r="P7" s="34" t="str">
        <f ca="1">IF($A7="","",IF(IF(P$2&lt;=$A$1,1,0),IF(P$4="休","",IF(COUNTIF(DATA!Q:Q,$A:$A)=0,"×","√")),""))</f>
        <v/>
      </c>
      <c r="Q7" s="34" t="str">
        <f ca="1">IF($A7="","",IF(IF(Q$2&lt;=$A$1,1,0),IF(Q$4="休","",IF(COUNTIF(DATA!R:R,$A:$A)=0,"×","√")),""))</f>
        <v/>
      </c>
      <c r="R7" s="34" t="str">
        <f ca="1">IF($A7="","",IF(IF(R$2&lt;=$A$1,1,0),IF(R$4="休","",IF(COUNTIF(DATA!S:S,$A:$A)=0,"×","√")),""))</f>
        <v/>
      </c>
      <c r="S7" s="34" t="str">
        <f ca="1">IF($A7="","",IF(IF(S$2&lt;=$A$1,1,0),IF(S$4="休","",IF(COUNTIF(DATA!T:T,$A:$A)=0,"×","√")),""))</f>
        <v/>
      </c>
      <c r="T7" s="34" t="str">
        <f ca="1">IF($A7="","",IF(IF(T$2&lt;=$A$1,1,0),IF(T$4="休","",IF(COUNTIF(DATA!U:U,$A:$A)=0,"×","√")),""))</f>
        <v/>
      </c>
      <c r="U7" s="34" t="str">
        <f ca="1">IF($A7="","",IF(IF(U$2&lt;=$A$1,1,0),IF(U$4="休","",IF(COUNTIF(DATA!V:V,$A:$A)=0,"×","√")),""))</f>
        <v/>
      </c>
      <c r="V7" s="34" t="str">
        <f ca="1">IF($A7="","",IF(IF(V$2&lt;=$A$1,1,0),IF(V$4="休","",IF(COUNTIF(DATA!W:W,$A:$A)=0,"×","√")),""))</f>
        <v/>
      </c>
      <c r="W7" s="34" t="str">
        <f ca="1">IF($A7="","",IF(IF(W$2&lt;=$A$1,1,0),IF(W$4="休","",IF(COUNTIF(DATA!X:X,$A:$A)=0,"×","√")),""))</f>
        <v/>
      </c>
      <c r="X7" s="34" t="str">
        <f ca="1">IF($A7="","",IF(IF(X$2&lt;=$A$1,1,0),IF(X$4="休","",IF(COUNTIF(DATA!Y:Y,$A:$A)=0,"×","√")),""))</f>
        <v/>
      </c>
      <c r="Y7" s="34" t="str">
        <f ca="1">IF($A7="","",IF(IF(Y$2&lt;=$A$1,1,0),IF(Y$4="休","",IF(COUNTIF(DATA!Z:Z,$A:$A)=0,"×","√")),""))</f>
        <v/>
      </c>
      <c r="Z7" s="34" t="str">
        <f ca="1">IF($A7="","",IF(IF(Z$2&lt;=$A$1,1,0),IF(Z$4="休","",IF(COUNTIF(DATA!AA:AA,$A:$A)=0,"×","√")),""))</f>
        <v/>
      </c>
      <c r="AA7" s="34" t="str">
        <f ca="1">IF($A7="","",IF(IF(AA$2&lt;=$A$1,1,0),IF(AA$4="休","",IF(COUNTIF(DATA!AB:AB,$A:$A)=0,"×","√")),""))</f>
        <v/>
      </c>
      <c r="AB7" s="34" t="str">
        <f ca="1">IF($A7="","",IF(IF(AB$2&lt;=$A$1,1,0),IF(AB$4="休","",IF(COUNTIF(DATA!AC:AC,$A:$A)=0,"×","√")),""))</f>
        <v/>
      </c>
      <c r="AC7" s="34" t="str">
        <f ca="1">IF($A7="","",IF(IF(AC$2&lt;=$A$1,1,0),IF(AC$4="休","",IF(COUNTIF(DATA!AD:AD,$A:$A)=0,"×","√")),""))</f>
        <v/>
      </c>
      <c r="AD7" s="34" t="str">
        <f ca="1">IF($A7="","",IF(IF(AD$2&lt;=$A$1,1,0),IF(AD$4="休","",IF(COUNTIF(DATA!AE:AE,$A:$A)=0,"×","√")),""))</f>
        <v/>
      </c>
      <c r="AE7" s="34" t="str">
        <f ca="1">IF($A7="","",IF(IF(AE$2&lt;=$A$1,1,0),IF(AE$4="休","",IF(COUNTIF(DATA!AF:AF,$A:$A)=0,"×","√")),""))</f>
        <v/>
      </c>
      <c r="AF7" s="34" t="str">
        <f ca="1">IF($A7="","",IF(IF(AF$2&lt;=$A$1,1,0),IF(AF$4="休","",IF(COUNTIF(DATA!AG:AG,$A:$A)=0,"×","√")),""))</f>
        <v/>
      </c>
      <c r="AG7" s="34" t="str">
        <f ca="1">IF($A7="","",IF(IF(AG$2&lt;=$A$1,1,0),IF(AG$4="休","",IF(COUNTIF(DATA!AH:AH,$A:$A)=0,"×","√")),""))</f>
        <v/>
      </c>
      <c r="AH7" s="34" t="str">
        <f ca="1">IF($A7="","",IF(IF(AH$2&lt;=$A$1,1,0),IF(AH$4="休","",IF(COUNTIF(DATA!AI:AI,$A:$A)=0,"×","√")),""))</f>
        <v/>
      </c>
      <c r="AI7" s="34" t="str">
        <f ca="1">IF($A7="","",IF(IF(AI$2&lt;=$A$1,1,0),IF(AI$4="休","",IF(COUNTIF(DATA!AJ:AJ,$A:$A)=0,"×","√")),""))</f>
        <v/>
      </c>
      <c r="AJ7" s="34" t="str">
        <f ca="1">IF($A7="","",IF(IF(AJ$2&lt;=$A$1,1,0),IF(AJ$4="休","",IF(COUNTIF(DATA!AK:AK,$A:$A)=0,"×","√")),""))</f>
        <v/>
      </c>
      <c r="AK7" s="34" t="str">
        <f ca="1">IF($A7="","",IF(IF(AK$2&lt;=$A$1,1,0),IF(AK$4="休","",IF(COUNTIF(DATA!AL:AL,$A:$A)=0,"×","√")),""))</f>
        <v/>
      </c>
      <c r="AL7" s="34" t="str">
        <f ca="1">IF($A7="","",IF(IF(AL$2&lt;=$A$1,1,0),IF(AL$4="休","",IF(COUNTIF(DATA!AM:AM,$A:$A)=0,"×","√")),""))</f>
        <v/>
      </c>
      <c r="AM7" s="34" t="str">
        <f ca="1">IF($A7="","",IF(IF(AM$2&lt;=$A$1,1,0),IF(AM$4="休","",IF(COUNTIF(DATA!AN:AN,$A:$A)=0,"×","√")),""))</f>
        <v/>
      </c>
      <c r="AN7" s="34" t="str">
        <f ca="1">IF($A7="","",IF(IF(AN$2&lt;=$A$1,1,0),IF(AN$4="休","",IF(COUNTIF(DATA!AO:AO,$A:$A)=0,"×","√")),""))</f>
        <v/>
      </c>
      <c r="AO7" s="34" t="str">
        <f ca="1">IF($A7="","",IF(IF(AO$2&lt;=$A$1,1,0),IF(AO$4="休","",IF(COUNTIF(DATA!AP:AP,$A:$A)=0,"×","√")),""))</f>
        <v/>
      </c>
      <c r="AP7" s="34" t="str">
        <f ca="1">IF($A7="","",IF(IF(AP$2&lt;=$A$1,1,0),IF(AP$4="休","",IF(COUNTIF(DATA!AQ:AQ,$A:$A)=0,"×","√")),""))</f>
        <v/>
      </c>
      <c r="AQ7" s="34" t="str">
        <f ca="1">IF($A7="","",IF(IF(AQ$2&lt;=$A$1,1,0),IF(AQ$4="休","",IF(COUNTIF(DATA!AR:AR,$A:$A)=0,"×","√")),""))</f>
        <v/>
      </c>
      <c r="AR7" s="34" t="str">
        <f ca="1">IF($A7="","",IF(IF(AR$2&lt;=$A$1,1,0),IF(AR$4="休","",IF(COUNTIF(DATA!AS:AS,$A:$A)=0,"×","√")),""))</f>
        <v/>
      </c>
      <c r="AS7" s="34" t="str">
        <f ca="1">IF($A7="","",IF(IF(AS$2&lt;=$A$1,1,0),IF(AS$4="休","",IF(COUNTIF(DATA!AT:AT,$A:$A)=0,"×","√")),""))</f>
        <v/>
      </c>
      <c r="AT7" s="34" t="str">
        <f ca="1">IF($A7="","",IF(IF(AT$2&lt;=$A$1,1,0),IF(AT$4="休","",IF(COUNTIF(DATA!AU:AU,$A:$A)=0,"×","√")),""))</f>
        <v/>
      </c>
      <c r="AU7" s="34" t="str">
        <f ca="1">IF($A7="","",IF(IF(AU$2&lt;=$A$1,1,0),IF(AU$4="休","",IF(COUNTIF(DATA!AV:AV,$A:$A)=0,"×","√")),""))</f>
        <v/>
      </c>
      <c r="AV7" s="34" t="str">
        <f ca="1">IF($A7="","",IF(IF(AV$2&lt;=$A$1,1,0),IF(AV$4="休","",IF(COUNTIF(DATA!AW:AW,$A:$A)=0,"×","√")),""))</f>
        <v/>
      </c>
      <c r="AW7" s="34" t="str">
        <f ca="1">IF($A7="","",IF(IF(AW$2&lt;=$A$1,1,0),IF(AW$4="休","",IF(COUNTIF(DATA!AX:AX,$A:$A)=0,"×","√")),""))</f>
        <v/>
      </c>
      <c r="AX7" s="34" t="str">
        <f ca="1">IF($A7="","",IF(IF(AX$2&lt;=$A$1,1,0),IF(AX$4="休","",IF(COUNTIF(DATA!AY:AY,$A:$A)=0,"×","√")),""))</f>
        <v/>
      </c>
      <c r="AY7" s="34" t="str">
        <f ca="1">IF($A7="","",IF(IF(AY$2&lt;=$A$1,1,0),IF(AY$4="休","",IF(COUNTIF(DATA!AZ:AZ,$A:$A)=0,"×","√")),""))</f>
        <v/>
      </c>
      <c r="AZ7" s="34" t="str">
        <f ca="1">IF($A7="","",IF(IF(AZ$2&lt;=$A$1,1,0),IF(AZ$4="休","",IF(COUNTIF(DATA!BA:BA,$A:$A)=0,"×","√")),""))</f>
        <v/>
      </c>
      <c r="BA7" s="34" t="str">
        <f ca="1">IF($A7="","",IF(IF(BA$2&lt;=$A$1,1,0),IF(BA$4="休","",IF(COUNTIF(DATA!BB:BB,$A:$A)=0,"×","√")),""))</f>
        <v/>
      </c>
      <c r="BB7" s="34" t="str">
        <f ca="1">IF($A7="","",IF(IF(BB$2&lt;=$A$1,1,0),IF(BB$4="休","",IF(COUNTIF(DATA!BC:BC,$A:$A)=0,"×","√")),""))</f>
        <v/>
      </c>
      <c r="BC7" s="34" t="str">
        <f ca="1">IF($A7="","",IF(IF(BC$2&lt;=$A$1,1,0),IF(BC$4="休","",IF(COUNTIF(DATA!BD:BD,$A:$A)=0,"×","√")),""))</f>
        <v/>
      </c>
      <c r="BD7" s="34" t="str">
        <f ca="1">IF($A7="","",IF(IF(BD$2&lt;=$A$1,1,0),IF(BD$4="休","",IF(COUNTIF(DATA!BE:BE,$A:$A)=0,"×","√")),""))</f>
        <v/>
      </c>
      <c r="BE7" s="34" t="str">
        <f ca="1">IF($A7="","",IF(IF(BE$2&lt;=$A$1,1,0),IF(BE$4="休","",IF(COUNTIF(DATA!BF:BF,$A:$A)=0,"×","√")),""))</f>
        <v/>
      </c>
      <c r="BF7" s="34" t="str">
        <f ca="1">IF($A7="","",IF(IF(BF$2&lt;=$A$1,1,0),IF(BF$4="休","",IF(COUNTIF(DATA!BG:BG,$A:$A)=0,"×","√")),""))</f>
        <v/>
      </c>
      <c r="BG7" s="34" t="str">
        <f ca="1">IF($A7="","",IF(IF(BG$2&lt;=$A$1,1,0),IF(BG$4="休","",IF(COUNTIF(DATA!BH:BH,$A:$A)=0,"×","√")),""))</f>
        <v/>
      </c>
      <c r="BH7" s="34" t="str">
        <f ca="1">IF($A7="","",IF(IF(BH$2&lt;=$A$1,1,0),IF(BH$4="休","",IF(COUNTIF(DATA!BI:BI,$A:$A)=0,"×","√")),""))</f>
        <v/>
      </c>
      <c r="BI7" s="34" t="str">
        <f ca="1">IF($A7="","",IF(IF(BI$2&lt;=$A$1,1,0),IF(BI$4="休","",IF(COUNTIF(DATA!BJ:BJ,$A:$A)=0,"×","√")),""))</f>
        <v/>
      </c>
      <c r="BJ7" s="34" t="str">
        <f ca="1">IF($A7="","",IF(IF(BJ$2&lt;=$A$1,1,0),IF(BJ$4="休","",IF(COUNTIF(DATA!BK:BK,$A:$A)=0,"×","√")),""))</f>
        <v/>
      </c>
      <c r="BK7" s="34" t="str">
        <f ca="1">IF($A7="","",IF(IF(BK$2&lt;=$A$1,1,0),IF(BK$4="休","",IF(COUNTIF(DATA!BL:BL,$A:$A)=0,"×","√")),""))</f>
        <v/>
      </c>
      <c r="BL7" s="34" t="str">
        <f ca="1">IF($A7="","",IF(IF(BL$2&lt;=$A$1,1,0),IF(BL$4="休","",IF(COUNTIF(DATA!BM:BM,$A:$A)=0,"×","√")),""))</f>
        <v/>
      </c>
      <c r="BM7" s="34" t="str">
        <f ca="1">IF($A7="","",IF(IF(BM$2&lt;=$A$1,1,0),IF(BM$4="休","",IF(COUNTIF(DATA!BN:BN,$A:$A)=0,"×","√")),""))</f>
        <v/>
      </c>
      <c r="BN7" s="34" t="str">
        <f ca="1">IF($A7="","",IF(IF(BN$2&lt;=$A$1,1,0),IF(BN$4="休","",IF(COUNTIF(DATA!BO:BO,$A:$A)=0,"×","√")),""))</f>
        <v/>
      </c>
      <c r="BO7" s="34" t="str">
        <f ca="1">IF($A7="","",IF(IF(BO$2&lt;=$A$1,1,0),IF(BO$4="休","",IF(COUNTIF(DATA!BP:BP,$A:$A)=0,"×","√")),""))</f>
        <v/>
      </c>
      <c r="BP7" s="34" t="str">
        <f ca="1">IF($A7="","",IF(IF(BP$2&lt;=$A$1,1,0),IF(BP$4="休","",IF(COUNTIF(DATA!BQ:BQ,$A:$A)=0,"×","√")),""))</f>
        <v/>
      </c>
      <c r="BQ7" s="34" t="str">
        <f ca="1">IF($A7="","",IF(IF(BQ$2&lt;=$A$1,1,0),IF(BQ$4="休","",IF(COUNTIF(DATA!BR:BR,$A:$A)=0,"×","√")),""))</f>
        <v/>
      </c>
      <c r="BR7" s="34" t="str">
        <f ca="1">IF($A7="","",IF(IF(BR$2&lt;=$A$1,1,0),IF(BR$4="休","",IF(COUNTIF(DATA!BS:BS,$A:$A)=0,"×","√")),""))</f>
        <v/>
      </c>
      <c r="BS7" s="34" t="str">
        <f ca="1">IF($A7="","",IF(IF(BS$2&lt;=$A$1,1,0),IF(BS$4="休","",IF(COUNTIF(DATA!BT:BT,$A:$A)=0,"×","√")),""))</f>
        <v/>
      </c>
      <c r="BT7" s="34" t="str">
        <f ca="1">IF($A7="","",IF(IF(BT$2&lt;=$A$1,1,0),IF(BT$4="休","",IF(COUNTIF(DATA!BU:BU,$A:$A)=0,"×","√")),""))</f>
        <v/>
      </c>
      <c r="BU7" s="34" t="str">
        <f ca="1">IF($A7="","",IF(IF(BU$2&lt;=$A$1,1,0),IF(BU$4="休","",IF(COUNTIF(DATA!BV:BV,$A:$A)=0,"×","√")),""))</f>
        <v/>
      </c>
      <c r="BV7" s="34" t="str">
        <f ca="1">IF($A7="","",IF(IF(BV$2&lt;=$A$1,1,0),IF(BV$4="休","",IF(COUNTIF(DATA!BW:BW,$A:$A)=0,"×","√")),""))</f>
        <v/>
      </c>
      <c r="BW7" s="34" t="str">
        <f ca="1">IF($A7="","",IF(IF(BW$2&lt;=$A$1,1,0),IF(BW$4="休","",IF(COUNTIF(DATA!BX:BX,$A:$A)=0,"×","√")),""))</f>
        <v/>
      </c>
      <c r="BX7" s="34" t="str">
        <f ca="1">IF($A7="","",IF(IF(BX$2&lt;=$A$1,1,0),IF(BX$4="休","",IF(COUNTIF(DATA!BY:BY,$A:$A)=0,"×","√")),""))</f>
        <v/>
      </c>
      <c r="BY7" s="34" t="str">
        <f ca="1">IF($A7="","",IF(IF(BY$2&lt;=$A$1,1,0),IF(BY$4="休","",IF(COUNTIF(DATA!BZ:BZ,$A:$A)=0,"×","√")),""))</f>
        <v/>
      </c>
      <c r="BZ7" s="34" t="str">
        <f ca="1">IF($A7="","",IF(IF(BZ$2&lt;=$A$1,1,0),IF(BZ$4="休","",IF(COUNTIF(DATA!CA:CA,$A:$A)=0,"×","√")),""))</f>
        <v/>
      </c>
      <c r="CA7" s="34" t="str">
        <f ca="1">IF($A7="","",IF(IF(CA$2&lt;=$A$1,1,0),IF(CA$4="休","",IF(COUNTIF(DATA!CB:CB,$A:$A)=0,"×","√")),""))</f>
        <v/>
      </c>
      <c r="CB7" s="34" t="str">
        <f ca="1">IF($A7="","",IF(IF(CB$2&lt;=$A$1,1,0),IF(CB$4="休","",IF(COUNTIF(DATA!CC:CC,$A:$A)=0,"×","√")),""))</f>
        <v/>
      </c>
      <c r="CC7" s="34" t="str">
        <f ca="1">IF($A7="","",IF(IF(CC$2&lt;=$A$1,1,0),IF(CC$4="休","",IF(COUNTIF(DATA!CD:CD,$A:$A)=0,"×","√")),""))</f>
        <v/>
      </c>
      <c r="CD7" s="34" t="str">
        <f ca="1">IF($A7="","",IF(IF(CD$2&lt;=$A$1,1,0),IF(CD$4="休","",IF(COUNTIF(DATA!CE:CE,$A:$A)=0,"×","√")),""))</f>
        <v/>
      </c>
      <c r="CE7" s="34" t="str">
        <f ca="1">IF($A7="","",IF(IF(CE$2&lt;=$A$1,1,0),IF(CE$4="休","",IF(COUNTIF(DATA!CF:CF,$A:$A)=0,"×","√")),""))</f>
        <v/>
      </c>
      <c r="CF7" s="34" t="str">
        <f ca="1">IF($A7="","",IF(IF(CF$2&lt;=$A$1,1,0),IF(CF$4="休","",IF(COUNTIF(DATA!CG:CG,$A:$A)=0,"×","√")),""))</f>
        <v/>
      </c>
      <c r="CG7" s="34" t="str">
        <f ca="1">IF($A7="","",IF(IF(CG$2&lt;=$A$1,1,0),IF(CG$4="休","",IF(COUNTIF(DATA!CH:CH,$A:$A)=0,"×","√")),""))</f>
        <v/>
      </c>
      <c r="CH7" s="34" t="str">
        <f ca="1">IF($A7="","",IF(IF(CH$2&lt;=$A$1,1,0),IF(CH$4="休","",IF(COUNTIF(DATA!CI:CI,$A:$A)=0,"×","√")),""))</f>
        <v/>
      </c>
      <c r="CI7" s="34" t="str">
        <f ca="1">IF($A7="","",IF(IF(CI$2&lt;=$A$1,1,0),IF(CI$4="休","",IF(COUNTIF(DATA!CJ:CJ,$A:$A)=0,"×","√")),""))</f>
        <v/>
      </c>
      <c r="CJ7" s="34" t="str">
        <f ca="1">IF($A7="","",IF(IF(CJ$2&lt;=$A$1,1,0),IF(CJ$4="休","",IF(COUNTIF(DATA!CK:CK,$A:$A)=0,"×","√")),""))</f>
        <v/>
      </c>
      <c r="CK7" s="34" t="str">
        <f ca="1">IF($A7="","",IF(IF(CK$2&lt;=$A$1,1,0),IF(CK$4="休","",IF(COUNTIF(DATA!CL:CL,$A:$A)=0,"×","√")),""))</f>
        <v/>
      </c>
      <c r="CL7" s="34" t="str">
        <f ca="1">IF($A7="","",IF(IF(CL$2&lt;=$A$1,1,0),IF(CL$4="休","",IF(COUNTIF(DATA!CM:CM,$A:$A)=0,"×","√")),""))</f>
        <v/>
      </c>
      <c r="CM7" s="34" t="str">
        <f ca="1">IF($A7="","",IF(IF(CM$2&lt;=$A$1,1,0),IF(CM$4="休","",IF(COUNTIF(DATA!CN:CN,$A:$A)=0,"×","√")),""))</f>
        <v/>
      </c>
      <c r="CN7" s="34" t="str">
        <f ca="1">IF($A7="","",IF(IF(CN$2&lt;=$A$1,1,0),IF(CN$4="休","",IF(COUNTIF(DATA!CO:CO,$A:$A)=0,"×","√")),""))</f>
        <v/>
      </c>
      <c r="CO7" s="34" t="str">
        <f ca="1">IF($A7="","",IF(IF(CO$2&lt;=$A$1,1,0),IF(CO$4="休","",IF(COUNTIF(DATA!CP:CP,$A:$A)=0,"×","√")),""))</f>
        <v/>
      </c>
      <c r="CP7" s="34" t="str">
        <f ca="1">IF($A7="","",IF(IF(CP$2&lt;=$A$1,1,0),IF(CP$4="休","",IF(COUNTIF(DATA!CQ:CQ,$A:$A)=0,"×","√")),""))</f>
        <v/>
      </c>
      <c r="CQ7" s="34" t="str">
        <f ca="1">IF($A7="","",IF(IF(CQ$2&lt;=$A$1,1,0),IF(CQ$4="休","",IF(COUNTIF(DATA!CR:CR,$A:$A)=0,"×","√")),""))</f>
        <v/>
      </c>
      <c r="CR7" s="34" t="str">
        <f ca="1">IF($A7="","",IF(IF(CR$2&lt;=$A$1,1,0),IF(CR$4="休","",IF(COUNTIF(DATA!CS:CS,$A:$A)=0,"×","√")),""))</f>
        <v/>
      </c>
    </row>
    <row r="8" s="28" customFormat="1" ht="18.75" spans="1:96">
      <c r="A8" s="34" t="str">
        <f>DATA!$A7&amp;""</f>
        <v>马坚强</v>
      </c>
      <c r="B8" s="34" t="str">
        <f ca="1">IF($A8="","",IF(IF(B$2&lt;=$A$1,1,0),IF(B$4="休","",IF(COUNTIF(DATA!C:C,$A:$A)=0,"×","√")),""))</f>
        <v>√</v>
      </c>
      <c r="C8" s="34" t="str">
        <f ca="1">IF($A8="","",IF(IF(C$2&lt;=$A$1,1,0),IF(C$4="休","",IF(COUNTIF(DATA!D:D,$A:$A)=0,"×","√")),""))</f>
        <v>√</v>
      </c>
      <c r="D8" s="34" t="str">
        <f ca="1">IF($A8="","",IF(IF(D$2&lt;=$A$1,1,0),IF(D$4="休","",IF(COUNTIF(DATA!E:E,$A:$A)=0,"×","√")),""))</f>
        <v>√</v>
      </c>
      <c r="E8" s="34" t="str">
        <f ca="1">IF($A8="","",IF(IF(E$2&lt;=$A$1,1,0),IF(E$4="休","",IF(COUNTIF(DATA!F:F,$A:$A)=0,"×","√")),""))</f>
        <v>√</v>
      </c>
      <c r="F8" s="34" t="str">
        <f ca="1">IF($A8="","",IF(IF(F$2&lt;=$A$1,1,0),IF(F$4="休","",IF(COUNTIF(DATA!G:G,$A:$A)=0,"×","√")),""))</f>
        <v>√</v>
      </c>
      <c r="G8" s="34" t="str">
        <f ca="1">IF($A8="","",IF(IF(G$2&lt;=$A$1,1,0),IF(G$4="休","",IF(COUNTIF(DATA!H:H,$A:$A)=0,"×","√")),""))</f>
        <v>√</v>
      </c>
      <c r="H8" s="34" t="str">
        <f ca="1">IF($A8="","",IF(IF(H$2&lt;=$A$1,1,0),IF(H$4="休","",IF(COUNTIF(DATA!I:I,$A:$A)=0,"×","√")),""))</f>
        <v>√</v>
      </c>
      <c r="I8" s="34" t="str">
        <f ca="1">IF($A8="","",IF(IF(I$2&lt;=$A$1,1,0),IF(I$4="休","",IF(COUNTIF(DATA!J:J,$A:$A)=0,"×","√")),""))</f>
        <v>√</v>
      </c>
      <c r="J8" s="34" t="str">
        <f ca="1">IF($A8="","",IF(IF(J$2&lt;=$A$1,1,0),IF(J$4="休","",IF(COUNTIF(DATA!K:K,$A:$A)=0,"×","√")),""))</f>
        <v>√</v>
      </c>
      <c r="K8" s="34" t="str">
        <f ca="1">IF($A8="","",IF(IF(K$2&lt;=$A$1,1,0),IF(K$4="休","",IF(COUNTIF(DATA!L:L,$A:$A)=0,"×","√")),""))</f>
        <v>√</v>
      </c>
      <c r="L8" s="34" t="str">
        <f ca="1">IF($A8="","",IF(IF(L$2&lt;=$A$1,1,0),IF(L$4="休","",IF(COUNTIF(DATA!M:M,$A:$A)=0,"×","√")),""))</f>
        <v>√</v>
      </c>
      <c r="M8" s="34" t="str">
        <f ca="1">IF($A8="","",IF(IF(M$2&lt;=$A$1,1,0),IF(M$4="休","",IF(COUNTIF(DATA!N:N,$A:$A)=0,"×","√")),""))</f>
        <v>√</v>
      </c>
      <c r="N8" s="34" t="str">
        <f ca="1">IF($A8="","",IF(IF(N$2&lt;=$A$1,1,0),IF(N$4="休","",IF(COUNTIF(DATA!O:O,$A:$A)=0,"×","√")),""))</f>
        <v>√</v>
      </c>
      <c r="O8" s="34" t="str">
        <f ca="1">IF($A8="","",IF(IF(O$2&lt;=$A$1,1,0),IF(O$4="休","",IF(COUNTIF(DATA!P:P,$A:$A)=0,"×","√")),""))</f>
        <v>×</v>
      </c>
      <c r="P8" s="34" t="str">
        <f ca="1">IF($A8="","",IF(IF(P$2&lt;=$A$1,1,0),IF(P$4="休","",IF(COUNTIF(DATA!Q:Q,$A:$A)=0,"×","√")),""))</f>
        <v/>
      </c>
      <c r="Q8" s="34" t="str">
        <f ca="1">IF($A8="","",IF(IF(Q$2&lt;=$A$1,1,0),IF(Q$4="休","",IF(COUNTIF(DATA!R:R,$A:$A)=0,"×","√")),""))</f>
        <v/>
      </c>
      <c r="R8" s="34" t="str">
        <f ca="1">IF($A8="","",IF(IF(R$2&lt;=$A$1,1,0),IF(R$4="休","",IF(COUNTIF(DATA!S:S,$A:$A)=0,"×","√")),""))</f>
        <v/>
      </c>
      <c r="S8" s="34" t="str">
        <f ca="1">IF($A8="","",IF(IF(S$2&lt;=$A$1,1,0),IF(S$4="休","",IF(COUNTIF(DATA!T:T,$A:$A)=0,"×","√")),""))</f>
        <v/>
      </c>
      <c r="T8" s="34" t="str">
        <f ca="1">IF($A8="","",IF(IF(T$2&lt;=$A$1,1,0),IF(T$4="休","",IF(COUNTIF(DATA!U:U,$A:$A)=0,"×","√")),""))</f>
        <v/>
      </c>
      <c r="U8" s="34" t="str">
        <f ca="1">IF($A8="","",IF(IF(U$2&lt;=$A$1,1,0),IF(U$4="休","",IF(COUNTIF(DATA!V:V,$A:$A)=0,"×","√")),""))</f>
        <v/>
      </c>
      <c r="V8" s="34" t="str">
        <f ca="1">IF($A8="","",IF(IF(V$2&lt;=$A$1,1,0),IF(V$4="休","",IF(COUNTIF(DATA!W:W,$A:$A)=0,"×","√")),""))</f>
        <v/>
      </c>
      <c r="W8" s="34" t="str">
        <f ca="1">IF($A8="","",IF(IF(W$2&lt;=$A$1,1,0),IF(W$4="休","",IF(COUNTIF(DATA!X:X,$A:$A)=0,"×","√")),""))</f>
        <v/>
      </c>
      <c r="X8" s="34" t="str">
        <f ca="1">IF($A8="","",IF(IF(X$2&lt;=$A$1,1,0),IF(X$4="休","",IF(COUNTIF(DATA!Y:Y,$A:$A)=0,"×","√")),""))</f>
        <v/>
      </c>
      <c r="Y8" s="34" t="str">
        <f ca="1">IF($A8="","",IF(IF(Y$2&lt;=$A$1,1,0),IF(Y$4="休","",IF(COUNTIF(DATA!Z:Z,$A:$A)=0,"×","√")),""))</f>
        <v/>
      </c>
      <c r="Z8" s="34" t="str">
        <f ca="1">IF($A8="","",IF(IF(Z$2&lt;=$A$1,1,0),IF(Z$4="休","",IF(COUNTIF(DATA!AA:AA,$A:$A)=0,"×","√")),""))</f>
        <v/>
      </c>
      <c r="AA8" s="34" t="str">
        <f ca="1">IF($A8="","",IF(IF(AA$2&lt;=$A$1,1,0),IF(AA$4="休","",IF(COUNTIF(DATA!AB:AB,$A:$A)=0,"×","√")),""))</f>
        <v/>
      </c>
      <c r="AB8" s="34" t="str">
        <f ca="1">IF($A8="","",IF(IF(AB$2&lt;=$A$1,1,0),IF(AB$4="休","",IF(COUNTIF(DATA!AC:AC,$A:$A)=0,"×","√")),""))</f>
        <v/>
      </c>
      <c r="AC8" s="34" t="str">
        <f ca="1">IF($A8="","",IF(IF(AC$2&lt;=$A$1,1,0),IF(AC$4="休","",IF(COUNTIF(DATA!AD:AD,$A:$A)=0,"×","√")),""))</f>
        <v/>
      </c>
      <c r="AD8" s="34" t="str">
        <f ca="1">IF($A8="","",IF(IF(AD$2&lt;=$A$1,1,0),IF(AD$4="休","",IF(COUNTIF(DATA!AE:AE,$A:$A)=0,"×","√")),""))</f>
        <v/>
      </c>
      <c r="AE8" s="34" t="str">
        <f ca="1">IF($A8="","",IF(IF(AE$2&lt;=$A$1,1,0),IF(AE$4="休","",IF(COUNTIF(DATA!AF:AF,$A:$A)=0,"×","√")),""))</f>
        <v/>
      </c>
      <c r="AF8" s="34" t="str">
        <f ca="1">IF($A8="","",IF(IF(AF$2&lt;=$A$1,1,0),IF(AF$4="休","",IF(COUNTIF(DATA!AG:AG,$A:$A)=0,"×","√")),""))</f>
        <v/>
      </c>
      <c r="AG8" s="34" t="str">
        <f ca="1">IF($A8="","",IF(IF(AG$2&lt;=$A$1,1,0),IF(AG$4="休","",IF(COUNTIF(DATA!AH:AH,$A:$A)=0,"×","√")),""))</f>
        <v/>
      </c>
      <c r="AH8" s="34" t="str">
        <f ca="1">IF($A8="","",IF(IF(AH$2&lt;=$A$1,1,0),IF(AH$4="休","",IF(COUNTIF(DATA!AI:AI,$A:$A)=0,"×","√")),""))</f>
        <v/>
      </c>
      <c r="AI8" s="34" t="str">
        <f ca="1">IF($A8="","",IF(IF(AI$2&lt;=$A$1,1,0),IF(AI$4="休","",IF(COUNTIF(DATA!AJ:AJ,$A:$A)=0,"×","√")),""))</f>
        <v/>
      </c>
      <c r="AJ8" s="34" t="str">
        <f ca="1">IF($A8="","",IF(IF(AJ$2&lt;=$A$1,1,0),IF(AJ$4="休","",IF(COUNTIF(DATA!AK:AK,$A:$A)=0,"×","√")),""))</f>
        <v/>
      </c>
      <c r="AK8" s="34" t="str">
        <f ca="1">IF($A8="","",IF(IF(AK$2&lt;=$A$1,1,0),IF(AK$4="休","",IF(COUNTIF(DATA!AL:AL,$A:$A)=0,"×","√")),""))</f>
        <v/>
      </c>
      <c r="AL8" s="34" t="str">
        <f ca="1">IF($A8="","",IF(IF(AL$2&lt;=$A$1,1,0),IF(AL$4="休","",IF(COUNTIF(DATA!AM:AM,$A:$A)=0,"×","√")),""))</f>
        <v/>
      </c>
      <c r="AM8" s="34" t="str">
        <f ca="1">IF($A8="","",IF(IF(AM$2&lt;=$A$1,1,0),IF(AM$4="休","",IF(COUNTIF(DATA!AN:AN,$A:$A)=0,"×","√")),""))</f>
        <v/>
      </c>
      <c r="AN8" s="34" t="str">
        <f ca="1">IF($A8="","",IF(IF(AN$2&lt;=$A$1,1,0),IF(AN$4="休","",IF(COUNTIF(DATA!AO:AO,$A:$A)=0,"×","√")),""))</f>
        <v/>
      </c>
      <c r="AO8" s="34" t="str">
        <f ca="1">IF($A8="","",IF(IF(AO$2&lt;=$A$1,1,0),IF(AO$4="休","",IF(COUNTIF(DATA!AP:AP,$A:$A)=0,"×","√")),""))</f>
        <v/>
      </c>
      <c r="AP8" s="34" t="str">
        <f ca="1">IF($A8="","",IF(IF(AP$2&lt;=$A$1,1,0),IF(AP$4="休","",IF(COUNTIF(DATA!AQ:AQ,$A:$A)=0,"×","√")),""))</f>
        <v/>
      </c>
      <c r="AQ8" s="34" t="str">
        <f ca="1">IF($A8="","",IF(IF(AQ$2&lt;=$A$1,1,0),IF(AQ$4="休","",IF(COUNTIF(DATA!AR:AR,$A:$A)=0,"×","√")),""))</f>
        <v/>
      </c>
      <c r="AR8" s="34" t="str">
        <f ca="1">IF($A8="","",IF(IF(AR$2&lt;=$A$1,1,0),IF(AR$4="休","",IF(COUNTIF(DATA!AS:AS,$A:$A)=0,"×","√")),""))</f>
        <v/>
      </c>
      <c r="AS8" s="34" t="str">
        <f ca="1">IF($A8="","",IF(IF(AS$2&lt;=$A$1,1,0),IF(AS$4="休","",IF(COUNTIF(DATA!AT:AT,$A:$A)=0,"×","√")),""))</f>
        <v/>
      </c>
      <c r="AT8" s="34" t="str">
        <f ca="1">IF($A8="","",IF(IF(AT$2&lt;=$A$1,1,0),IF(AT$4="休","",IF(COUNTIF(DATA!AU:AU,$A:$A)=0,"×","√")),""))</f>
        <v/>
      </c>
      <c r="AU8" s="34" t="str">
        <f ca="1">IF($A8="","",IF(IF(AU$2&lt;=$A$1,1,0),IF(AU$4="休","",IF(COUNTIF(DATA!AV:AV,$A:$A)=0,"×","√")),""))</f>
        <v/>
      </c>
      <c r="AV8" s="34" t="str">
        <f ca="1">IF($A8="","",IF(IF(AV$2&lt;=$A$1,1,0),IF(AV$4="休","",IF(COUNTIF(DATA!AW:AW,$A:$A)=0,"×","√")),""))</f>
        <v/>
      </c>
      <c r="AW8" s="34" t="str">
        <f ca="1">IF($A8="","",IF(IF(AW$2&lt;=$A$1,1,0),IF(AW$4="休","",IF(COUNTIF(DATA!AX:AX,$A:$A)=0,"×","√")),""))</f>
        <v/>
      </c>
      <c r="AX8" s="34" t="str">
        <f ca="1">IF($A8="","",IF(IF(AX$2&lt;=$A$1,1,0),IF(AX$4="休","",IF(COUNTIF(DATA!AY:AY,$A:$A)=0,"×","√")),""))</f>
        <v/>
      </c>
      <c r="AY8" s="34" t="str">
        <f ca="1">IF($A8="","",IF(IF(AY$2&lt;=$A$1,1,0),IF(AY$4="休","",IF(COUNTIF(DATA!AZ:AZ,$A:$A)=0,"×","√")),""))</f>
        <v/>
      </c>
      <c r="AZ8" s="34" t="str">
        <f ca="1">IF($A8="","",IF(IF(AZ$2&lt;=$A$1,1,0),IF(AZ$4="休","",IF(COUNTIF(DATA!BA:BA,$A:$A)=0,"×","√")),""))</f>
        <v/>
      </c>
      <c r="BA8" s="34" t="str">
        <f ca="1">IF($A8="","",IF(IF(BA$2&lt;=$A$1,1,0),IF(BA$4="休","",IF(COUNTIF(DATA!BB:BB,$A:$A)=0,"×","√")),""))</f>
        <v/>
      </c>
      <c r="BB8" s="34" t="str">
        <f ca="1">IF($A8="","",IF(IF(BB$2&lt;=$A$1,1,0),IF(BB$4="休","",IF(COUNTIF(DATA!BC:BC,$A:$A)=0,"×","√")),""))</f>
        <v/>
      </c>
      <c r="BC8" s="34" t="str">
        <f ca="1">IF($A8="","",IF(IF(BC$2&lt;=$A$1,1,0),IF(BC$4="休","",IF(COUNTIF(DATA!BD:BD,$A:$A)=0,"×","√")),""))</f>
        <v/>
      </c>
      <c r="BD8" s="34" t="str">
        <f ca="1">IF($A8="","",IF(IF(BD$2&lt;=$A$1,1,0),IF(BD$4="休","",IF(COUNTIF(DATA!BE:BE,$A:$A)=0,"×","√")),""))</f>
        <v/>
      </c>
      <c r="BE8" s="34" t="str">
        <f ca="1">IF($A8="","",IF(IF(BE$2&lt;=$A$1,1,0),IF(BE$4="休","",IF(COUNTIF(DATA!BF:BF,$A:$A)=0,"×","√")),""))</f>
        <v/>
      </c>
      <c r="BF8" s="34" t="str">
        <f ca="1">IF($A8="","",IF(IF(BF$2&lt;=$A$1,1,0),IF(BF$4="休","",IF(COUNTIF(DATA!BG:BG,$A:$A)=0,"×","√")),""))</f>
        <v/>
      </c>
      <c r="BG8" s="34" t="str">
        <f ca="1">IF($A8="","",IF(IF(BG$2&lt;=$A$1,1,0),IF(BG$4="休","",IF(COUNTIF(DATA!BH:BH,$A:$A)=0,"×","√")),""))</f>
        <v/>
      </c>
      <c r="BH8" s="34" t="str">
        <f ca="1">IF($A8="","",IF(IF(BH$2&lt;=$A$1,1,0),IF(BH$4="休","",IF(COUNTIF(DATA!BI:BI,$A:$A)=0,"×","√")),""))</f>
        <v/>
      </c>
      <c r="BI8" s="34" t="str">
        <f ca="1">IF($A8="","",IF(IF(BI$2&lt;=$A$1,1,0),IF(BI$4="休","",IF(COUNTIF(DATA!BJ:BJ,$A:$A)=0,"×","√")),""))</f>
        <v/>
      </c>
      <c r="BJ8" s="34" t="str">
        <f ca="1">IF($A8="","",IF(IF(BJ$2&lt;=$A$1,1,0),IF(BJ$4="休","",IF(COUNTIF(DATA!BK:BK,$A:$A)=0,"×","√")),""))</f>
        <v/>
      </c>
      <c r="BK8" s="34" t="str">
        <f ca="1">IF($A8="","",IF(IF(BK$2&lt;=$A$1,1,0),IF(BK$4="休","",IF(COUNTIF(DATA!BL:BL,$A:$A)=0,"×","√")),""))</f>
        <v/>
      </c>
      <c r="BL8" s="34" t="str">
        <f ca="1">IF($A8="","",IF(IF(BL$2&lt;=$A$1,1,0),IF(BL$4="休","",IF(COUNTIF(DATA!BM:BM,$A:$A)=0,"×","√")),""))</f>
        <v/>
      </c>
      <c r="BM8" s="34" t="str">
        <f ca="1">IF($A8="","",IF(IF(BM$2&lt;=$A$1,1,0),IF(BM$4="休","",IF(COUNTIF(DATA!BN:BN,$A:$A)=0,"×","√")),""))</f>
        <v/>
      </c>
      <c r="BN8" s="34" t="str">
        <f ca="1">IF($A8="","",IF(IF(BN$2&lt;=$A$1,1,0),IF(BN$4="休","",IF(COUNTIF(DATA!BO:BO,$A:$A)=0,"×","√")),""))</f>
        <v/>
      </c>
      <c r="BO8" s="34" t="str">
        <f ca="1">IF($A8="","",IF(IF(BO$2&lt;=$A$1,1,0),IF(BO$4="休","",IF(COUNTIF(DATA!BP:BP,$A:$A)=0,"×","√")),""))</f>
        <v/>
      </c>
      <c r="BP8" s="34" t="str">
        <f ca="1">IF($A8="","",IF(IF(BP$2&lt;=$A$1,1,0),IF(BP$4="休","",IF(COUNTIF(DATA!BQ:BQ,$A:$A)=0,"×","√")),""))</f>
        <v/>
      </c>
      <c r="BQ8" s="34" t="str">
        <f ca="1">IF($A8="","",IF(IF(BQ$2&lt;=$A$1,1,0),IF(BQ$4="休","",IF(COUNTIF(DATA!BR:BR,$A:$A)=0,"×","√")),""))</f>
        <v/>
      </c>
      <c r="BR8" s="34" t="str">
        <f ca="1">IF($A8="","",IF(IF(BR$2&lt;=$A$1,1,0),IF(BR$4="休","",IF(COUNTIF(DATA!BS:BS,$A:$A)=0,"×","√")),""))</f>
        <v/>
      </c>
      <c r="BS8" s="34" t="str">
        <f ca="1">IF($A8="","",IF(IF(BS$2&lt;=$A$1,1,0),IF(BS$4="休","",IF(COUNTIF(DATA!BT:BT,$A:$A)=0,"×","√")),""))</f>
        <v/>
      </c>
      <c r="BT8" s="34" t="str">
        <f ca="1">IF($A8="","",IF(IF(BT$2&lt;=$A$1,1,0),IF(BT$4="休","",IF(COUNTIF(DATA!BU:BU,$A:$A)=0,"×","√")),""))</f>
        <v/>
      </c>
      <c r="BU8" s="34" t="str">
        <f ca="1">IF($A8="","",IF(IF(BU$2&lt;=$A$1,1,0),IF(BU$4="休","",IF(COUNTIF(DATA!BV:BV,$A:$A)=0,"×","√")),""))</f>
        <v/>
      </c>
      <c r="BV8" s="34" t="str">
        <f ca="1">IF($A8="","",IF(IF(BV$2&lt;=$A$1,1,0),IF(BV$4="休","",IF(COUNTIF(DATA!BW:BW,$A:$A)=0,"×","√")),""))</f>
        <v/>
      </c>
      <c r="BW8" s="34" t="str">
        <f ca="1">IF($A8="","",IF(IF(BW$2&lt;=$A$1,1,0),IF(BW$4="休","",IF(COUNTIF(DATA!BX:BX,$A:$A)=0,"×","√")),""))</f>
        <v/>
      </c>
      <c r="BX8" s="34" t="str">
        <f ca="1">IF($A8="","",IF(IF(BX$2&lt;=$A$1,1,0),IF(BX$4="休","",IF(COUNTIF(DATA!BY:BY,$A:$A)=0,"×","√")),""))</f>
        <v/>
      </c>
      <c r="BY8" s="34" t="str">
        <f ca="1">IF($A8="","",IF(IF(BY$2&lt;=$A$1,1,0),IF(BY$4="休","",IF(COUNTIF(DATA!BZ:BZ,$A:$A)=0,"×","√")),""))</f>
        <v/>
      </c>
      <c r="BZ8" s="34" t="str">
        <f ca="1">IF($A8="","",IF(IF(BZ$2&lt;=$A$1,1,0),IF(BZ$4="休","",IF(COUNTIF(DATA!CA:CA,$A:$A)=0,"×","√")),""))</f>
        <v/>
      </c>
      <c r="CA8" s="34" t="str">
        <f ca="1">IF($A8="","",IF(IF(CA$2&lt;=$A$1,1,0),IF(CA$4="休","",IF(COUNTIF(DATA!CB:CB,$A:$A)=0,"×","√")),""))</f>
        <v/>
      </c>
      <c r="CB8" s="34" t="str">
        <f ca="1">IF($A8="","",IF(IF(CB$2&lt;=$A$1,1,0),IF(CB$4="休","",IF(COUNTIF(DATA!CC:CC,$A:$A)=0,"×","√")),""))</f>
        <v/>
      </c>
      <c r="CC8" s="34" t="str">
        <f ca="1">IF($A8="","",IF(IF(CC$2&lt;=$A$1,1,0),IF(CC$4="休","",IF(COUNTIF(DATA!CD:CD,$A:$A)=0,"×","√")),""))</f>
        <v/>
      </c>
      <c r="CD8" s="34" t="str">
        <f ca="1">IF($A8="","",IF(IF(CD$2&lt;=$A$1,1,0),IF(CD$4="休","",IF(COUNTIF(DATA!CE:CE,$A:$A)=0,"×","√")),""))</f>
        <v/>
      </c>
      <c r="CE8" s="34" t="str">
        <f ca="1">IF($A8="","",IF(IF(CE$2&lt;=$A$1,1,0),IF(CE$4="休","",IF(COUNTIF(DATA!CF:CF,$A:$A)=0,"×","√")),""))</f>
        <v/>
      </c>
      <c r="CF8" s="34" t="str">
        <f ca="1">IF($A8="","",IF(IF(CF$2&lt;=$A$1,1,0),IF(CF$4="休","",IF(COUNTIF(DATA!CG:CG,$A:$A)=0,"×","√")),""))</f>
        <v/>
      </c>
      <c r="CG8" s="34" t="str">
        <f ca="1">IF($A8="","",IF(IF(CG$2&lt;=$A$1,1,0),IF(CG$4="休","",IF(COUNTIF(DATA!CH:CH,$A:$A)=0,"×","√")),""))</f>
        <v/>
      </c>
      <c r="CH8" s="34" t="str">
        <f ca="1">IF($A8="","",IF(IF(CH$2&lt;=$A$1,1,0),IF(CH$4="休","",IF(COUNTIF(DATA!CI:CI,$A:$A)=0,"×","√")),""))</f>
        <v/>
      </c>
      <c r="CI8" s="34" t="str">
        <f ca="1">IF($A8="","",IF(IF(CI$2&lt;=$A$1,1,0),IF(CI$4="休","",IF(COUNTIF(DATA!CJ:CJ,$A:$A)=0,"×","√")),""))</f>
        <v/>
      </c>
      <c r="CJ8" s="34" t="str">
        <f ca="1">IF($A8="","",IF(IF(CJ$2&lt;=$A$1,1,0),IF(CJ$4="休","",IF(COUNTIF(DATA!CK:CK,$A:$A)=0,"×","√")),""))</f>
        <v/>
      </c>
      <c r="CK8" s="34" t="str">
        <f ca="1">IF($A8="","",IF(IF(CK$2&lt;=$A$1,1,0),IF(CK$4="休","",IF(COUNTIF(DATA!CL:CL,$A:$A)=0,"×","√")),""))</f>
        <v/>
      </c>
      <c r="CL8" s="34" t="str">
        <f ca="1">IF($A8="","",IF(IF(CL$2&lt;=$A$1,1,0),IF(CL$4="休","",IF(COUNTIF(DATA!CM:CM,$A:$A)=0,"×","√")),""))</f>
        <v/>
      </c>
      <c r="CM8" s="34" t="str">
        <f ca="1">IF($A8="","",IF(IF(CM$2&lt;=$A$1,1,0),IF(CM$4="休","",IF(COUNTIF(DATA!CN:CN,$A:$A)=0,"×","√")),""))</f>
        <v/>
      </c>
      <c r="CN8" s="34" t="str">
        <f ca="1">IF($A8="","",IF(IF(CN$2&lt;=$A$1,1,0),IF(CN$4="休","",IF(COUNTIF(DATA!CO:CO,$A:$A)=0,"×","√")),""))</f>
        <v/>
      </c>
      <c r="CO8" s="34" t="str">
        <f ca="1">IF($A8="","",IF(IF(CO$2&lt;=$A$1,1,0),IF(CO$4="休","",IF(COUNTIF(DATA!CP:CP,$A:$A)=0,"×","√")),""))</f>
        <v/>
      </c>
      <c r="CP8" s="34" t="str">
        <f ca="1">IF($A8="","",IF(IF(CP$2&lt;=$A$1,1,0),IF(CP$4="休","",IF(COUNTIF(DATA!CQ:CQ,$A:$A)=0,"×","√")),""))</f>
        <v/>
      </c>
      <c r="CQ8" s="34" t="str">
        <f ca="1">IF($A8="","",IF(IF(CQ$2&lt;=$A$1,1,0),IF(CQ$4="休","",IF(COUNTIF(DATA!CR:CR,$A:$A)=0,"×","√")),""))</f>
        <v/>
      </c>
      <c r="CR8" s="34" t="str">
        <f ca="1">IF($A8="","",IF(IF(CR$2&lt;=$A$1,1,0),IF(CR$4="休","",IF(COUNTIF(DATA!CS:CS,$A:$A)=0,"×","√")),""))</f>
        <v/>
      </c>
    </row>
    <row r="9" s="28" customFormat="1" ht="18.75" spans="1:96">
      <c r="A9" s="34" t="str">
        <f>DATA!$A8&amp;""</f>
        <v>丁江涛</v>
      </c>
      <c r="B9" s="34" t="str">
        <f ca="1">IF($A9="","",IF(IF(B$2&lt;=$A$1,1,0),IF(B$4="休","",IF(COUNTIF(DATA!C:C,$A:$A)=0,"×","√")),""))</f>
        <v>√</v>
      </c>
      <c r="C9" s="34" t="str">
        <f ca="1">IF($A9="","",IF(IF(C$2&lt;=$A$1,1,0),IF(C$4="休","",IF(COUNTIF(DATA!D:D,$A:$A)=0,"×","√")),""))</f>
        <v>√</v>
      </c>
      <c r="D9" s="34" t="str">
        <f ca="1">IF($A9="","",IF(IF(D$2&lt;=$A$1,1,0),IF(D$4="休","",IF(COUNTIF(DATA!E:E,$A:$A)=0,"×","√")),""))</f>
        <v>√</v>
      </c>
      <c r="E9" s="34" t="str">
        <f ca="1">IF($A9="","",IF(IF(E$2&lt;=$A$1,1,0),IF(E$4="休","",IF(COUNTIF(DATA!F:F,$A:$A)=0,"×","√")),""))</f>
        <v>√</v>
      </c>
      <c r="F9" s="34" t="str">
        <f ca="1">IF($A9="","",IF(IF(F$2&lt;=$A$1,1,0),IF(F$4="休","",IF(COUNTIF(DATA!G:G,$A:$A)=0,"×","√")),""))</f>
        <v>√</v>
      </c>
      <c r="G9" s="34" t="str">
        <f ca="1">IF($A9="","",IF(IF(G$2&lt;=$A$1,1,0),IF(G$4="休","",IF(COUNTIF(DATA!H:H,$A:$A)=0,"×","√")),""))</f>
        <v>√</v>
      </c>
      <c r="H9" s="34" t="str">
        <f ca="1">IF($A9="","",IF(IF(H$2&lt;=$A$1,1,0),IF(H$4="休","",IF(COUNTIF(DATA!I:I,$A:$A)=0,"×","√")),""))</f>
        <v>√</v>
      </c>
      <c r="I9" s="34" t="str">
        <f ca="1">IF($A9="","",IF(IF(I$2&lt;=$A$1,1,0),IF(I$4="休","",IF(COUNTIF(DATA!J:J,$A:$A)=0,"×","√")),""))</f>
        <v>√</v>
      </c>
      <c r="J9" s="34" t="str">
        <f ca="1">IF($A9="","",IF(IF(J$2&lt;=$A$1,1,0),IF(J$4="休","",IF(COUNTIF(DATA!K:K,$A:$A)=0,"×","√")),""))</f>
        <v>√</v>
      </c>
      <c r="K9" s="34" t="str">
        <f ca="1">IF($A9="","",IF(IF(K$2&lt;=$A$1,1,0),IF(K$4="休","",IF(COUNTIF(DATA!L:L,$A:$A)=0,"×","√")),""))</f>
        <v>√</v>
      </c>
      <c r="L9" s="34" t="str">
        <f ca="1">IF($A9="","",IF(IF(L$2&lt;=$A$1,1,0),IF(L$4="休","",IF(COUNTIF(DATA!M:M,$A:$A)=0,"×","√")),""))</f>
        <v>√</v>
      </c>
      <c r="M9" s="34" t="str">
        <f ca="1">IF($A9="","",IF(IF(M$2&lt;=$A$1,1,0),IF(M$4="休","",IF(COUNTIF(DATA!N:N,$A:$A)=0,"×","√")),""))</f>
        <v>√</v>
      </c>
      <c r="N9" s="34" t="str">
        <f ca="1">IF($A9="","",IF(IF(N$2&lt;=$A$1,1,0),IF(N$4="休","",IF(COUNTIF(DATA!O:O,$A:$A)=0,"×","√")),""))</f>
        <v>√</v>
      </c>
      <c r="O9" s="34" t="str">
        <f ca="1">IF($A9="","",IF(IF(O$2&lt;=$A$1,1,0),IF(O$4="休","",IF(COUNTIF(DATA!P:P,$A:$A)=0,"×","√")),""))</f>
        <v>×</v>
      </c>
      <c r="P9" s="34" t="str">
        <f ca="1">IF($A9="","",IF(IF(P$2&lt;=$A$1,1,0),IF(P$4="休","",IF(COUNTIF(DATA!Q:Q,$A:$A)=0,"×","√")),""))</f>
        <v/>
      </c>
      <c r="Q9" s="34" t="str">
        <f ca="1">IF($A9="","",IF(IF(Q$2&lt;=$A$1,1,0),IF(Q$4="休","",IF(COUNTIF(DATA!R:R,$A:$A)=0,"×","√")),""))</f>
        <v/>
      </c>
      <c r="R9" s="34" t="str">
        <f ca="1">IF($A9="","",IF(IF(R$2&lt;=$A$1,1,0),IF(R$4="休","",IF(COUNTIF(DATA!S:S,$A:$A)=0,"×","√")),""))</f>
        <v/>
      </c>
      <c r="S9" s="34" t="str">
        <f ca="1">IF($A9="","",IF(IF(S$2&lt;=$A$1,1,0),IF(S$4="休","",IF(COUNTIF(DATA!T:T,$A:$A)=0,"×","√")),""))</f>
        <v/>
      </c>
      <c r="T9" s="34" t="str">
        <f ca="1">IF($A9="","",IF(IF(T$2&lt;=$A$1,1,0),IF(T$4="休","",IF(COUNTIF(DATA!U:U,$A:$A)=0,"×","√")),""))</f>
        <v/>
      </c>
      <c r="U9" s="34" t="str">
        <f ca="1">IF($A9="","",IF(IF(U$2&lt;=$A$1,1,0),IF(U$4="休","",IF(COUNTIF(DATA!V:V,$A:$A)=0,"×","√")),""))</f>
        <v/>
      </c>
      <c r="V9" s="34" t="str">
        <f ca="1">IF($A9="","",IF(IF(V$2&lt;=$A$1,1,0),IF(V$4="休","",IF(COUNTIF(DATA!W:W,$A:$A)=0,"×","√")),""))</f>
        <v/>
      </c>
      <c r="W9" s="34" t="str">
        <f ca="1">IF($A9="","",IF(IF(W$2&lt;=$A$1,1,0),IF(W$4="休","",IF(COUNTIF(DATA!X:X,$A:$A)=0,"×","√")),""))</f>
        <v/>
      </c>
      <c r="X9" s="34" t="str">
        <f ca="1">IF($A9="","",IF(IF(X$2&lt;=$A$1,1,0),IF(X$4="休","",IF(COUNTIF(DATA!Y:Y,$A:$A)=0,"×","√")),""))</f>
        <v/>
      </c>
      <c r="Y9" s="34" t="str">
        <f ca="1">IF($A9="","",IF(IF(Y$2&lt;=$A$1,1,0),IF(Y$4="休","",IF(COUNTIF(DATA!Z:Z,$A:$A)=0,"×","√")),""))</f>
        <v/>
      </c>
      <c r="Z9" s="34" t="str">
        <f ca="1">IF($A9="","",IF(IF(Z$2&lt;=$A$1,1,0),IF(Z$4="休","",IF(COUNTIF(DATA!AA:AA,$A:$A)=0,"×","√")),""))</f>
        <v/>
      </c>
      <c r="AA9" s="34" t="str">
        <f ca="1">IF($A9="","",IF(IF(AA$2&lt;=$A$1,1,0),IF(AA$4="休","",IF(COUNTIF(DATA!AB:AB,$A:$A)=0,"×","√")),""))</f>
        <v/>
      </c>
      <c r="AB9" s="34" t="str">
        <f ca="1">IF($A9="","",IF(IF(AB$2&lt;=$A$1,1,0),IF(AB$4="休","",IF(COUNTIF(DATA!AC:AC,$A:$A)=0,"×","√")),""))</f>
        <v/>
      </c>
      <c r="AC9" s="34" t="str">
        <f ca="1">IF($A9="","",IF(IF(AC$2&lt;=$A$1,1,0),IF(AC$4="休","",IF(COUNTIF(DATA!AD:AD,$A:$A)=0,"×","√")),""))</f>
        <v/>
      </c>
      <c r="AD9" s="34" t="str">
        <f ca="1">IF($A9="","",IF(IF(AD$2&lt;=$A$1,1,0),IF(AD$4="休","",IF(COUNTIF(DATA!AE:AE,$A:$A)=0,"×","√")),""))</f>
        <v/>
      </c>
      <c r="AE9" s="34" t="str">
        <f ca="1">IF($A9="","",IF(IF(AE$2&lt;=$A$1,1,0),IF(AE$4="休","",IF(COUNTIF(DATA!AF:AF,$A:$A)=0,"×","√")),""))</f>
        <v/>
      </c>
      <c r="AF9" s="34" t="str">
        <f ca="1">IF($A9="","",IF(IF(AF$2&lt;=$A$1,1,0),IF(AF$4="休","",IF(COUNTIF(DATA!AG:AG,$A:$A)=0,"×","√")),""))</f>
        <v/>
      </c>
      <c r="AG9" s="34" t="str">
        <f ca="1">IF($A9="","",IF(IF(AG$2&lt;=$A$1,1,0),IF(AG$4="休","",IF(COUNTIF(DATA!AH:AH,$A:$A)=0,"×","√")),""))</f>
        <v/>
      </c>
      <c r="AH9" s="34" t="str">
        <f ca="1">IF($A9="","",IF(IF(AH$2&lt;=$A$1,1,0),IF(AH$4="休","",IF(COUNTIF(DATA!AI:AI,$A:$A)=0,"×","√")),""))</f>
        <v/>
      </c>
      <c r="AI9" s="34" t="str">
        <f ca="1">IF($A9="","",IF(IF(AI$2&lt;=$A$1,1,0),IF(AI$4="休","",IF(COUNTIF(DATA!AJ:AJ,$A:$A)=0,"×","√")),""))</f>
        <v/>
      </c>
      <c r="AJ9" s="34" t="str">
        <f ca="1">IF($A9="","",IF(IF(AJ$2&lt;=$A$1,1,0),IF(AJ$4="休","",IF(COUNTIF(DATA!AK:AK,$A:$A)=0,"×","√")),""))</f>
        <v/>
      </c>
      <c r="AK9" s="34" t="str">
        <f ca="1">IF($A9="","",IF(IF(AK$2&lt;=$A$1,1,0),IF(AK$4="休","",IF(COUNTIF(DATA!AL:AL,$A:$A)=0,"×","√")),""))</f>
        <v/>
      </c>
      <c r="AL9" s="34" t="str">
        <f ca="1">IF($A9="","",IF(IF(AL$2&lt;=$A$1,1,0),IF(AL$4="休","",IF(COUNTIF(DATA!AM:AM,$A:$A)=0,"×","√")),""))</f>
        <v/>
      </c>
      <c r="AM9" s="34" t="str">
        <f ca="1">IF($A9="","",IF(IF(AM$2&lt;=$A$1,1,0),IF(AM$4="休","",IF(COUNTIF(DATA!AN:AN,$A:$A)=0,"×","√")),""))</f>
        <v/>
      </c>
      <c r="AN9" s="34" t="str">
        <f ca="1">IF($A9="","",IF(IF(AN$2&lt;=$A$1,1,0),IF(AN$4="休","",IF(COUNTIF(DATA!AO:AO,$A:$A)=0,"×","√")),""))</f>
        <v/>
      </c>
      <c r="AO9" s="34" t="str">
        <f ca="1">IF($A9="","",IF(IF(AO$2&lt;=$A$1,1,0),IF(AO$4="休","",IF(COUNTIF(DATA!AP:AP,$A:$A)=0,"×","√")),""))</f>
        <v/>
      </c>
      <c r="AP9" s="34" t="str">
        <f ca="1">IF($A9="","",IF(IF(AP$2&lt;=$A$1,1,0),IF(AP$4="休","",IF(COUNTIF(DATA!AQ:AQ,$A:$A)=0,"×","√")),""))</f>
        <v/>
      </c>
      <c r="AQ9" s="34" t="str">
        <f ca="1">IF($A9="","",IF(IF(AQ$2&lt;=$A$1,1,0),IF(AQ$4="休","",IF(COUNTIF(DATA!AR:AR,$A:$A)=0,"×","√")),""))</f>
        <v/>
      </c>
      <c r="AR9" s="34" t="str">
        <f ca="1">IF($A9="","",IF(IF(AR$2&lt;=$A$1,1,0),IF(AR$4="休","",IF(COUNTIF(DATA!AS:AS,$A:$A)=0,"×","√")),""))</f>
        <v/>
      </c>
      <c r="AS9" s="34" t="str">
        <f ca="1">IF($A9="","",IF(IF(AS$2&lt;=$A$1,1,0),IF(AS$4="休","",IF(COUNTIF(DATA!AT:AT,$A:$A)=0,"×","√")),""))</f>
        <v/>
      </c>
      <c r="AT9" s="34" t="str">
        <f ca="1">IF($A9="","",IF(IF(AT$2&lt;=$A$1,1,0),IF(AT$4="休","",IF(COUNTIF(DATA!AU:AU,$A:$A)=0,"×","√")),""))</f>
        <v/>
      </c>
      <c r="AU9" s="34" t="str">
        <f ca="1">IF($A9="","",IF(IF(AU$2&lt;=$A$1,1,0),IF(AU$4="休","",IF(COUNTIF(DATA!AV:AV,$A:$A)=0,"×","√")),""))</f>
        <v/>
      </c>
      <c r="AV9" s="34" t="str">
        <f ca="1">IF($A9="","",IF(IF(AV$2&lt;=$A$1,1,0),IF(AV$4="休","",IF(COUNTIF(DATA!AW:AW,$A:$A)=0,"×","√")),""))</f>
        <v/>
      </c>
      <c r="AW9" s="34" t="str">
        <f ca="1">IF($A9="","",IF(IF(AW$2&lt;=$A$1,1,0),IF(AW$4="休","",IF(COUNTIF(DATA!AX:AX,$A:$A)=0,"×","√")),""))</f>
        <v/>
      </c>
      <c r="AX9" s="34" t="str">
        <f ca="1">IF($A9="","",IF(IF(AX$2&lt;=$A$1,1,0),IF(AX$4="休","",IF(COUNTIF(DATA!AY:AY,$A:$A)=0,"×","√")),""))</f>
        <v/>
      </c>
      <c r="AY9" s="34" t="str">
        <f ca="1">IF($A9="","",IF(IF(AY$2&lt;=$A$1,1,0),IF(AY$4="休","",IF(COUNTIF(DATA!AZ:AZ,$A:$A)=0,"×","√")),""))</f>
        <v/>
      </c>
      <c r="AZ9" s="34" t="str">
        <f ca="1">IF($A9="","",IF(IF(AZ$2&lt;=$A$1,1,0),IF(AZ$4="休","",IF(COUNTIF(DATA!BA:BA,$A:$A)=0,"×","√")),""))</f>
        <v/>
      </c>
      <c r="BA9" s="34" t="str">
        <f ca="1">IF($A9="","",IF(IF(BA$2&lt;=$A$1,1,0),IF(BA$4="休","",IF(COUNTIF(DATA!BB:BB,$A:$A)=0,"×","√")),""))</f>
        <v/>
      </c>
      <c r="BB9" s="34" t="str">
        <f ca="1">IF($A9="","",IF(IF(BB$2&lt;=$A$1,1,0),IF(BB$4="休","",IF(COUNTIF(DATA!BC:BC,$A:$A)=0,"×","√")),""))</f>
        <v/>
      </c>
      <c r="BC9" s="34" t="str">
        <f ca="1">IF($A9="","",IF(IF(BC$2&lt;=$A$1,1,0),IF(BC$4="休","",IF(COUNTIF(DATA!BD:BD,$A:$A)=0,"×","√")),""))</f>
        <v/>
      </c>
      <c r="BD9" s="34" t="str">
        <f ca="1">IF($A9="","",IF(IF(BD$2&lt;=$A$1,1,0),IF(BD$4="休","",IF(COUNTIF(DATA!BE:BE,$A:$A)=0,"×","√")),""))</f>
        <v/>
      </c>
      <c r="BE9" s="34" t="str">
        <f ca="1">IF($A9="","",IF(IF(BE$2&lt;=$A$1,1,0),IF(BE$4="休","",IF(COUNTIF(DATA!BF:BF,$A:$A)=0,"×","√")),""))</f>
        <v/>
      </c>
      <c r="BF9" s="34" t="str">
        <f ca="1">IF($A9="","",IF(IF(BF$2&lt;=$A$1,1,0),IF(BF$4="休","",IF(COUNTIF(DATA!BG:BG,$A:$A)=0,"×","√")),""))</f>
        <v/>
      </c>
      <c r="BG9" s="34" t="str">
        <f ca="1">IF($A9="","",IF(IF(BG$2&lt;=$A$1,1,0),IF(BG$4="休","",IF(COUNTIF(DATA!BH:BH,$A:$A)=0,"×","√")),""))</f>
        <v/>
      </c>
      <c r="BH9" s="34" t="str">
        <f ca="1">IF($A9="","",IF(IF(BH$2&lt;=$A$1,1,0),IF(BH$4="休","",IF(COUNTIF(DATA!BI:BI,$A:$A)=0,"×","√")),""))</f>
        <v/>
      </c>
      <c r="BI9" s="34" t="str">
        <f ca="1">IF($A9="","",IF(IF(BI$2&lt;=$A$1,1,0),IF(BI$4="休","",IF(COUNTIF(DATA!BJ:BJ,$A:$A)=0,"×","√")),""))</f>
        <v/>
      </c>
      <c r="BJ9" s="34" t="str">
        <f ca="1">IF($A9="","",IF(IF(BJ$2&lt;=$A$1,1,0),IF(BJ$4="休","",IF(COUNTIF(DATA!BK:BK,$A:$A)=0,"×","√")),""))</f>
        <v/>
      </c>
      <c r="BK9" s="34" t="str">
        <f ca="1">IF($A9="","",IF(IF(BK$2&lt;=$A$1,1,0),IF(BK$4="休","",IF(COUNTIF(DATA!BL:BL,$A:$A)=0,"×","√")),""))</f>
        <v/>
      </c>
      <c r="BL9" s="34" t="str">
        <f ca="1">IF($A9="","",IF(IF(BL$2&lt;=$A$1,1,0),IF(BL$4="休","",IF(COUNTIF(DATA!BM:BM,$A:$A)=0,"×","√")),""))</f>
        <v/>
      </c>
      <c r="BM9" s="34" t="str">
        <f ca="1">IF($A9="","",IF(IF(BM$2&lt;=$A$1,1,0),IF(BM$4="休","",IF(COUNTIF(DATA!BN:BN,$A:$A)=0,"×","√")),""))</f>
        <v/>
      </c>
      <c r="BN9" s="34" t="str">
        <f ca="1">IF($A9="","",IF(IF(BN$2&lt;=$A$1,1,0),IF(BN$4="休","",IF(COUNTIF(DATA!BO:BO,$A:$A)=0,"×","√")),""))</f>
        <v/>
      </c>
      <c r="BO9" s="34" t="str">
        <f ca="1">IF($A9="","",IF(IF(BO$2&lt;=$A$1,1,0),IF(BO$4="休","",IF(COUNTIF(DATA!BP:BP,$A:$A)=0,"×","√")),""))</f>
        <v/>
      </c>
      <c r="BP9" s="34" t="str">
        <f ca="1">IF($A9="","",IF(IF(BP$2&lt;=$A$1,1,0),IF(BP$4="休","",IF(COUNTIF(DATA!BQ:BQ,$A:$A)=0,"×","√")),""))</f>
        <v/>
      </c>
      <c r="BQ9" s="34" t="str">
        <f ca="1">IF($A9="","",IF(IF(BQ$2&lt;=$A$1,1,0),IF(BQ$4="休","",IF(COUNTIF(DATA!BR:BR,$A:$A)=0,"×","√")),""))</f>
        <v/>
      </c>
      <c r="BR9" s="34" t="str">
        <f ca="1">IF($A9="","",IF(IF(BR$2&lt;=$A$1,1,0),IF(BR$4="休","",IF(COUNTIF(DATA!BS:BS,$A:$A)=0,"×","√")),""))</f>
        <v/>
      </c>
      <c r="BS9" s="34" t="str">
        <f ca="1">IF($A9="","",IF(IF(BS$2&lt;=$A$1,1,0),IF(BS$4="休","",IF(COUNTIF(DATA!BT:BT,$A:$A)=0,"×","√")),""))</f>
        <v/>
      </c>
      <c r="BT9" s="34" t="str">
        <f ca="1">IF($A9="","",IF(IF(BT$2&lt;=$A$1,1,0),IF(BT$4="休","",IF(COUNTIF(DATA!BU:BU,$A:$A)=0,"×","√")),""))</f>
        <v/>
      </c>
      <c r="BU9" s="34" t="str">
        <f ca="1">IF($A9="","",IF(IF(BU$2&lt;=$A$1,1,0),IF(BU$4="休","",IF(COUNTIF(DATA!BV:BV,$A:$A)=0,"×","√")),""))</f>
        <v/>
      </c>
      <c r="BV9" s="34" t="str">
        <f ca="1">IF($A9="","",IF(IF(BV$2&lt;=$A$1,1,0),IF(BV$4="休","",IF(COUNTIF(DATA!BW:BW,$A:$A)=0,"×","√")),""))</f>
        <v/>
      </c>
      <c r="BW9" s="34" t="str">
        <f ca="1">IF($A9="","",IF(IF(BW$2&lt;=$A$1,1,0),IF(BW$4="休","",IF(COUNTIF(DATA!BX:BX,$A:$A)=0,"×","√")),""))</f>
        <v/>
      </c>
      <c r="BX9" s="34" t="str">
        <f ca="1">IF($A9="","",IF(IF(BX$2&lt;=$A$1,1,0),IF(BX$4="休","",IF(COUNTIF(DATA!BY:BY,$A:$A)=0,"×","√")),""))</f>
        <v/>
      </c>
      <c r="BY9" s="34" t="str">
        <f ca="1">IF($A9="","",IF(IF(BY$2&lt;=$A$1,1,0),IF(BY$4="休","",IF(COUNTIF(DATA!BZ:BZ,$A:$A)=0,"×","√")),""))</f>
        <v/>
      </c>
      <c r="BZ9" s="34" t="str">
        <f ca="1">IF($A9="","",IF(IF(BZ$2&lt;=$A$1,1,0),IF(BZ$4="休","",IF(COUNTIF(DATA!CA:CA,$A:$A)=0,"×","√")),""))</f>
        <v/>
      </c>
      <c r="CA9" s="34" t="str">
        <f ca="1">IF($A9="","",IF(IF(CA$2&lt;=$A$1,1,0),IF(CA$4="休","",IF(COUNTIF(DATA!CB:CB,$A:$A)=0,"×","√")),""))</f>
        <v/>
      </c>
      <c r="CB9" s="34" t="str">
        <f ca="1">IF($A9="","",IF(IF(CB$2&lt;=$A$1,1,0),IF(CB$4="休","",IF(COUNTIF(DATA!CC:CC,$A:$A)=0,"×","√")),""))</f>
        <v/>
      </c>
      <c r="CC9" s="34" t="str">
        <f ca="1">IF($A9="","",IF(IF(CC$2&lt;=$A$1,1,0),IF(CC$4="休","",IF(COUNTIF(DATA!CD:CD,$A:$A)=0,"×","√")),""))</f>
        <v/>
      </c>
      <c r="CD9" s="34" t="str">
        <f ca="1">IF($A9="","",IF(IF(CD$2&lt;=$A$1,1,0),IF(CD$4="休","",IF(COUNTIF(DATA!CE:CE,$A:$A)=0,"×","√")),""))</f>
        <v/>
      </c>
      <c r="CE9" s="34" t="str">
        <f ca="1">IF($A9="","",IF(IF(CE$2&lt;=$A$1,1,0),IF(CE$4="休","",IF(COUNTIF(DATA!CF:CF,$A:$A)=0,"×","√")),""))</f>
        <v/>
      </c>
      <c r="CF9" s="34" t="str">
        <f ca="1">IF($A9="","",IF(IF(CF$2&lt;=$A$1,1,0),IF(CF$4="休","",IF(COUNTIF(DATA!CG:CG,$A:$A)=0,"×","√")),""))</f>
        <v/>
      </c>
      <c r="CG9" s="34" t="str">
        <f ca="1">IF($A9="","",IF(IF(CG$2&lt;=$A$1,1,0),IF(CG$4="休","",IF(COUNTIF(DATA!CH:CH,$A:$A)=0,"×","√")),""))</f>
        <v/>
      </c>
      <c r="CH9" s="34" t="str">
        <f ca="1">IF($A9="","",IF(IF(CH$2&lt;=$A$1,1,0),IF(CH$4="休","",IF(COUNTIF(DATA!CI:CI,$A:$A)=0,"×","√")),""))</f>
        <v/>
      </c>
      <c r="CI9" s="34" t="str">
        <f ca="1">IF($A9="","",IF(IF(CI$2&lt;=$A$1,1,0),IF(CI$4="休","",IF(COUNTIF(DATA!CJ:CJ,$A:$A)=0,"×","√")),""))</f>
        <v/>
      </c>
      <c r="CJ9" s="34" t="str">
        <f ca="1">IF($A9="","",IF(IF(CJ$2&lt;=$A$1,1,0),IF(CJ$4="休","",IF(COUNTIF(DATA!CK:CK,$A:$A)=0,"×","√")),""))</f>
        <v/>
      </c>
      <c r="CK9" s="34" t="str">
        <f ca="1">IF($A9="","",IF(IF(CK$2&lt;=$A$1,1,0),IF(CK$4="休","",IF(COUNTIF(DATA!CL:CL,$A:$A)=0,"×","√")),""))</f>
        <v/>
      </c>
      <c r="CL9" s="34" t="str">
        <f ca="1">IF($A9="","",IF(IF(CL$2&lt;=$A$1,1,0),IF(CL$4="休","",IF(COUNTIF(DATA!CM:CM,$A:$A)=0,"×","√")),""))</f>
        <v/>
      </c>
      <c r="CM9" s="34" t="str">
        <f ca="1">IF($A9="","",IF(IF(CM$2&lt;=$A$1,1,0),IF(CM$4="休","",IF(COUNTIF(DATA!CN:CN,$A:$A)=0,"×","√")),""))</f>
        <v/>
      </c>
      <c r="CN9" s="34" t="str">
        <f ca="1">IF($A9="","",IF(IF(CN$2&lt;=$A$1,1,0),IF(CN$4="休","",IF(COUNTIF(DATA!CO:CO,$A:$A)=0,"×","√")),""))</f>
        <v/>
      </c>
      <c r="CO9" s="34" t="str">
        <f ca="1">IF($A9="","",IF(IF(CO$2&lt;=$A$1,1,0),IF(CO$4="休","",IF(COUNTIF(DATA!CP:CP,$A:$A)=0,"×","√")),""))</f>
        <v/>
      </c>
      <c r="CP9" s="34" t="str">
        <f ca="1">IF($A9="","",IF(IF(CP$2&lt;=$A$1,1,0),IF(CP$4="休","",IF(COUNTIF(DATA!CQ:CQ,$A:$A)=0,"×","√")),""))</f>
        <v/>
      </c>
      <c r="CQ9" s="34" t="str">
        <f ca="1">IF($A9="","",IF(IF(CQ$2&lt;=$A$1,1,0),IF(CQ$4="休","",IF(COUNTIF(DATA!CR:CR,$A:$A)=0,"×","√")),""))</f>
        <v/>
      </c>
      <c r="CR9" s="34" t="str">
        <f ca="1">IF($A9="","",IF(IF(CR$2&lt;=$A$1,1,0),IF(CR$4="休","",IF(COUNTIF(DATA!CS:CS,$A:$A)=0,"×","√")),""))</f>
        <v/>
      </c>
    </row>
    <row r="10" s="28" customFormat="1" ht="18.75" spans="1:96">
      <c r="A10" s="34" t="str">
        <f>DATA!$A9&amp;""</f>
        <v>赵卓然</v>
      </c>
      <c r="B10" s="34" t="str">
        <f ca="1">IF($A10="","",IF(IF(B$2&lt;=$A$1,1,0),IF(B$4="休","",IF(COUNTIF(DATA!C:C,$A:$A)=0,"×","√")),""))</f>
        <v>√</v>
      </c>
      <c r="C10" s="34" t="str">
        <f ca="1">IF($A10="","",IF(IF(C$2&lt;=$A$1,1,0),IF(C$4="休","",IF(COUNTIF(DATA!D:D,$A:$A)=0,"×","√")),""))</f>
        <v>√</v>
      </c>
      <c r="D10" s="34" t="str">
        <f ca="1">IF($A10="","",IF(IF(D$2&lt;=$A$1,1,0),IF(D$4="休","",IF(COUNTIF(DATA!E:E,$A:$A)=0,"×","√")),""))</f>
        <v>√</v>
      </c>
      <c r="E10" s="34" t="str">
        <f ca="1">IF($A10="","",IF(IF(E$2&lt;=$A$1,1,0),IF(E$4="休","",IF(COUNTIF(DATA!F:F,$A:$A)=0,"×","√")),""))</f>
        <v>√</v>
      </c>
      <c r="F10" s="34" t="str">
        <f ca="1">IF($A10="","",IF(IF(F$2&lt;=$A$1,1,0),IF(F$4="休","",IF(COUNTIF(DATA!G:G,$A:$A)=0,"×","√")),""))</f>
        <v>√</v>
      </c>
      <c r="G10" s="34" t="str">
        <f ca="1">IF($A10="","",IF(IF(G$2&lt;=$A$1,1,0),IF(G$4="休","",IF(COUNTIF(DATA!H:H,$A:$A)=0,"×","√")),""))</f>
        <v>√</v>
      </c>
      <c r="H10" s="34" t="str">
        <f ca="1">IF($A10="","",IF(IF(H$2&lt;=$A$1,1,0),IF(H$4="休","",IF(COUNTIF(DATA!I:I,$A:$A)=0,"×","√")),""))</f>
        <v>√</v>
      </c>
      <c r="I10" s="34" t="str">
        <f ca="1">IF($A10="","",IF(IF(I$2&lt;=$A$1,1,0),IF(I$4="休","",IF(COUNTIF(DATA!J:J,$A:$A)=0,"×","√")),""))</f>
        <v>√</v>
      </c>
      <c r="J10" s="34" t="str">
        <f ca="1">IF($A10="","",IF(IF(J$2&lt;=$A$1,1,0),IF(J$4="休","",IF(COUNTIF(DATA!K:K,$A:$A)=0,"×","√")),""))</f>
        <v>√</v>
      </c>
      <c r="K10" s="34" t="str">
        <f ca="1">IF($A10="","",IF(IF(K$2&lt;=$A$1,1,0),IF(K$4="休","",IF(COUNTIF(DATA!L:L,$A:$A)=0,"×","√")),""))</f>
        <v>√</v>
      </c>
      <c r="L10" s="34" t="str">
        <f ca="1">IF($A10="","",IF(IF(L$2&lt;=$A$1,1,0),IF(L$4="休","",IF(COUNTIF(DATA!M:M,$A:$A)=0,"×","√")),""))</f>
        <v>√</v>
      </c>
      <c r="M10" s="34" t="str">
        <f ca="1">IF($A10="","",IF(IF(M$2&lt;=$A$1,1,0),IF(M$4="休","",IF(COUNTIF(DATA!N:N,$A:$A)=0,"×","√")),""))</f>
        <v>√</v>
      </c>
      <c r="N10" s="34" t="str">
        <f ca="1">IF($A10="","",IF(IF(N$2&lt;=$A$1,1,0),IF(N$4="休","",IF(COUNTIF(DATA!O:O,$A:$A)=0,"×","√")),""))</f>
        <v>√</v>
      </c>
      <c r="O10" s="34" t="str">
        <f ca="1">IF($A10="","",IF(IF(O$2&lt;=$A$1,1,0),IF(O$4="休","",IF(COUNTIF(DATA!P:P,$A:$A)=0,"×","√")),""))</f>
        <v>×</v>
      </c>
      <c r="P10" s="34" t="str">
        <f ca="1">IF($A10="","",IF(IF(P$2&lt;=$A$1,1,0),IF(P$4="休","",IF(COUNTIF(DATA!Q:Q,$A:$A)=0,"×","√")),""))</f>
        <v/>
      </c>
      <c r="Q10" s="34" t="str">
        <f ca="1">IF($A10="","",IF(IF(Q$2&lt;=$A$1,1,0),IF(Q$4="休","",IF(COUNTIF(DATA!R:R,$A:$A)=0,"×","√")),""))</f>
        <v/>
      </c>
      <c r="R10" s="34" t="str">
        <f ca="1">IF($A10="","",IF(IF(R$2&lt;=$A$1,1,0),IF(R$4="休","",IF(COUNTIF(DATA!S:S,$A:$A)=0,"×","√")),""))</f>
        <v/>
      </c>
      <c r="S10" s="34" t="str">
        <f ca="1">IF($A10="","",IF(IF(S$2&lt;=$A$1,1,0),IF(S$4="休","",IF(COUNTIF(DATA!T:T,$A:$A)=0,"×","√")),""))</f>
        <v/>
      </c>
      <c r="T10" s="34" t="str">
        <f ca="1">IF($A10="","",IF(IF(T$2&lt;=$A$1,1,0),IF(T$4="休","",IF(COUNTIF(DATA!U:U,$A:$A)=0,"×","√")),""))</f>
        <v/>
      </c>
      <c r="U10" s="34" t="str">
        <f ca="1">IF($A10="","",IF(IF(U$2&lt;=$A$1,1,0),IF(U$4="休","",IF(COUNTIF(DATA!V:V,$A:$A)=0,"×","√")),""))</f>
        <v/>
      </c>
      <c r="V10" s="34" t="str">
        <f ca="1">IF($A10="","",IF(IF(V$2&lt;=$A$1,1,0),IF(V$4="休","",IF(COUNTIF(DATA!W:W,$A:$A)=0,"×","√")),""))</f>
        <v/>
      </c>
      <c r="W10" s="34" t="str">
        <f ca="1">IF($A10="","",IF(IF(W$2&lt;=$A$1,1,0),IF(W$4="休","",IF(COUNTIF(DATA!X:X,$A:$A)=0,"×","√")),""))</f>
        <v/>
      </c>
      <c r="X10" s="34" t="str">
        <f ca="1">IF($A10="","",IF(IF(X$2&lt;=$A$1,1,0),IF(X$4="休","",IF(COUNTIF(DATA!Y:Y,$A:$A)=0,"×","√")),""))</f>
        <v/>
      </c>
      <c r="Y10" s="34" t="str">
        <f ca="1">IF($A10="","",IF(IF(Y$2&lt;=$A$1,1,0),IF(Y$4="休","",IF(COUNTIF(DATA!Z:Z,$A:$A)=0,"×","√")),""))</f>
        <v/>
      </c>
      <c r="Z10" s="34" t="str">
        <f ca="1">IF($A10="","",IF(IF(Z$2&lt;=$A$1,1,0),IF(Z$4="休","",IF(COUNTIF(DATA!AA:AA,$A:$A)=0,"×","√")),""))</f>
        <v/>
      </c>
      <c r="AA10" s="34" t="str">
        <f ca="1">IF($A10="","",IF(IF(AA$2&lt;=$A$1,1,0),IF(AA$4="休","",IF(COUNTIF(DATA!AB:AB,$A:$A)=0,"×","√")),""))</f>
        <v/>
      </c>
      <c r="AB10" s="34" t="str">
        <f ca="1">IF($A10="","",IF(IF(AB$2&lt;=$A$1,1,0),IF(AB$4="休","",IF(COUNTIF(DATA!AC:AC,$A:$A)=0,"×","√")),""))</f>
        <v/>
      </c>
      <c r="AC10" s="34" t="str">
        <f ca="1">IF($A10="","",IF(IF(AC$2&lt;=$A$1,1,0),IF(AC$4="休","",IF(COUNTIF(DATA!AD:AD,$A:$A)=0,"×","√")),""))</f>
        <v/>
      </c>
      <c r="AD10" s="34" t="str">
        <f ca="1">IF($A10="","",IF(IF(AD$2&lt;=$A$1,1,0),IF(AD$4="休","",IF(COUNTIF(DATA!AE:AE,$A:$A)=0,"×","√")),""))</f>
        <v/>
      </c>
      <c r="AE10" s="34" t="str">
        <f ca="1">IF($A10="","",IF(IF(AE$2&lt;=$A$1,1,0),IF(AE$4="休","",IF(COUNTIF(DATA!AF:AF,$A:$A)=0,"×","√")),""))</f>
        <v/>
      </c>
      <c r="AF10" s="34" t="str">
        <f ca="1">IF($A10="","",IF(IF(AF$2&lt;=$A$1,1,0),IF(AF$4="休","",IF(COUNTIF(DATA!AG:AG,$A:$A)=0,"×","√")),""))</f>
        <v/>
      </c>
      <c r="AG10" s="34" t="str">
        <f ca="1">IF($A10="","",IF(IF(AG$2&lt;=$A$1,1,0),IF(AG$4="休","",IF(COUNTIF(DATA!AH:AH,$A:$A)=0,"×","√")),""))</f>
        <v/>
      </c>
      <c r="AH10" s="34" t="str">
        <f ca="1">IF($A10="","",IF(IF(AH$2&lt;=$A$1,1,0),IF(AH$4="休","",IF(COUNTIF(DATA!AI:AI,$A:$A)=0,"×","√")),""))</f>
        <v/>
      </c>
      <c r="AI10" s="34" t="str">
        <f ca="1">IF($A10="","",IF(IF(AI$2&lt;=$A$1,1,0),IF(AI$4="休","",IF(COUNTIF(DATA!AJ:AJ,$A:$A)=0,"×","√")),""))</f>
        <v/>
      </c>
      <c r="AJ10" s="34" t="str">
        <f ca="1">IF($A10="","",IF(IF(AJ$2&lt;=$A$1,1,0),IF(AJ$4="休","",IF(COUNTIF(DATA!AK:AK,$A:$A)=0,"×","√")),""))</f>
        <v/>
      </c>
      <c r="AK10" s="34" t="str">
        <f ca="1">IF($A10="","",IF(IF(AK$2&lt;=$A$1,1,0),IF(AK$4="休","",IF(COUNTIF(DATA!AL:AL,$A:$A)=0,"×","√")),""))</f>
        <v/>
      </c>
      <c r="AL10" s="34" t="str">
        <f ca="1">IF($A10="","",IF(IF(AL$2&lt;=$A$1,1,0),IF(AL$4="休","",IF(COUNTIF(DATA!AM:AM,$A:$A)=0,"×","√")),""))</f>
        <v/>
      </c>
      <c r="AM10" s="34" t="str">
        <f ca="1">IF($A10="","",IF(IF(AM$2&lt;=$A$1,1,0),IF(AM$4="休","",IF(COUNTIF(DATA!AN:AN,$A:$A)=0,"×","√")),""))</f>
        <v/>
      </c>
      <c r="AN10" s="34" t="str">
        <f ca="1">IF($A10="","",IF(IF(AN$2&lt;=$A$1,1,0),IF(AN$4="休","",IF(COUNTIF(DATA!AO:AO,$A:$A)=0,"×","√")),""))</f>
        <v/>
      </c>
      <c r="AO10" s="34" t="str">
        <f ca="1">IF($A10="","",IF(IF(AO$2&lt;=$A$1,1,0),IF(AO$4="休","",IF(COUNTIF(DATA!AP:AP,$A:$A)=0,"×","√")),""))</f>
        <v/>
      </c>
      <c r="AP10" s="34" t="str">
        <f ca="1">IF($A10="","",IF(IF(AP$2&lt;=$A$1,1,0),IF(AP$4="休","",IF(COUNTIF(DATA!AQ:AQ,$A:$A)=0,"×","√")),""))</f>
        <v/>
      </c>
      <c r="AQ10" s="34" t="str">
        <f ca="1">IF($A10="","",IF(IF(AQ$2&lt;=$A$1,1,0),IF(AQ$4="休","",IF(COUNTIF(DATA!AR:AR,$A:$A)=0,"×","√")),""))</f>
        <v/>
      </c>
      <c r="AR10" s="34" t="str">
        <f ca="1">IF($A10="","",IF(IF(AR$2&lt;=$A$1,1,0),IF(AR$4="休","",IF(COUNTIF(DATA!AS:AS,$A:$A)=0,"×","√")),""))</f>
        <v/>
      </c>
      <c r="AS10" s="34" t="str">
        <f ca="1">IF($A10="","",IF(IF(AS$2&lt;=$A$1,1,0),IF(AS$4="休","",IF(COUNTIF(DATA!AT:AT,$A:$A)=0,"×","√")),""))</f>
        <v/>
      </c>
      <c r="AT10" s="34" t="str">
        <f ca="1">IF($A10="","",IF(IF(AT$2&lt;=$A$1,1,0),IF(AT$4="休","",IF(COUNTIF(DATA!AU:AU,$A:$A)=0,"×","√")),""))</f>
        <v/>
      </c>
      <c r="AU10" s="34" t="str">
        <f ca="1">IF($A10="","",IF(IF(AU$2&lt;=$A$1,1,0),IF(AU$4="休","",IF(COUNTIF(DATA!AV:AV,$A:$A)=0,"×","√")),""))</f>
        <v/>
      </c>
      <c r="AV10" s="34" t="str">
        <f ca="1">IF($A10="","",IF(IF(AV$2&lt;=$A$1,1,0),IF(AV$4="休","",IF(COUNTIF(DATA!AW:AW,$A:$A)=0,"×","√")),""))</f>
        <v/>
      </c>
      <c r="AW10" s="34" t="str">
        <f ca="1">IF($A10="","",IF(IF(AW$2&lt;=$A$1,1,0),IF(AW$4="休","",IF(COUNTIF(DATA!AX:AX,$A:$A)=0,"×","√")),""))</f>
        <v/>
      </c>
      <c r="AX10" s="34" t="str">
        <f ca="1">IF($A10="","",IF(IF(AX$2&lt;=$A$1,1,0),IF(AX$4="休","",IF(COUNTIF(DATA!AY:AY,$A:$A)=0,"×","√")),""))</f>
        <v/>
      </c>
      <c r="AY10" s="34" t="str">
        <f ca="1">IF($A10="","",IF(IF(AY$2&lt;=$A$1,1,0),IF(AY$4="休","",IF(COUNTIF(DATA!AZ:AZ,$A:$A)=0,"×","√")),""))</f>
        <v/>
      </c>
      <c r="AZ10" s="34" t="str">
        <f ca="1">IF($A10="","",IF(IF(AZ$2&lt;=$A$1,1,0),IF(AZ$4="休","",IF(COUNTIF(DATA!BA:BA,$A:$A)=0,"×","√")),""))</f>
        <v/>
      </c>
      <c r="BA10" s="34" t="str">
        <f ca="1">IF($A10="","",IF(IF(BA$2&lt;=$A$1,1,0),IF(BA$4="休","",IF(COUNTIF(DATA!BB:BB,$A:$A)=0,"×","√")),""))</f>
        <v/>
      </c>
      <c r="BB10" s="34" t="str">
        <f ca="1">IF($A10="","",IF(IF(BB$2&lt;=$A$1,1,0),IF(BB$4="休","",IF(COUNTIF(DATA!BC:BC,$A:$A)=0,"×","√")),""))</f>
        <v/>
      </c>
      <c r="BC10" s="34" t="str">
        <f ca="1">IF($A10="","",IF(IF(BC$2&lt;=$A$1,1,0),IF(BC$4="休","",IF(COUNTIF(DATA!BD:BD,$A:$A)=0,"×","√")),""))</f>
        <v/>
      </c>
      <c r="BD10" s="34" t="str">
        <f ca="1">IF($A10="","",IF(IF(BD$2&lt;=$A$1,1,0),IF(BD$4="休","",IF(COUNTIF(DATA!BE:BE,$A:$A)=0,"×","√")),""))</f>
        <v/>
      </c>
      <c r="BE10" s="34" t="str">
        <f ca="1">IF($A10="","",IF(IF(BE$2&lt;=$A$1,1,0),IF(BE$4="休","",IF(COUNTIF(DATA!BF:BF,$A:$A)=0,"×","√")),""))</f>
        <v/>
      </c>
      <c r="BF10" s="34" t="str">
        <f ca="1">IF($A10="","",IF(IF(BF$2&lt;=$A$1,1,0),IF(BF$4="休","",IF(COUNTIF(DATA!BG:BG,$A:$A)=0,"×","√")),""))</f>
        <v/>
      </c>
      <c r="BG10" s="34" t="str">
        <f ca="1">IF($A10="","",IF(IF(BG$2&lt;=$A$1,1,0),IF(BG$4="休","",IF(COUNTIF(DATA!BH:BH,$A:$A)=0,"×","√")),""))</f>
        <v/>
      </c>
      <c r="BH10" s="34" t="str">
        <f ca="1">IF($A10="","",IF(IF(BH$2&lt;=$A$1,1,0),IF(BH$4="休","",IF(COUNTIF(DATA!BI:BI,$A:$A)=0,"×","√")),""))</f>
        <v/>
      </c>
      <c r="BI10" s="34" t="str">
        <f ca="1">IF($A10="","",IF(IF(BI$2&lt;=$A$1,1,0),IF(BI$4="休","",IF(COUNTIF(DATA!BJ:BJ,$A:$A)=0,"×","√")),""))</f>
        <v/>
      </c>
      <c r="BJ10" s="34" t="str">
        <f ca="1">IF($A10="","",IF(IF(BJ$2&lt;=$A$1,1,0),IF(BJ$4="休","",IF(COUNTIF(DATA!BK:BK,$A:$A)=0,"×","√")),""))</f>
        <v/>
      </c>
      <c r="BK10" s="34" t="str">
        <f ca="1">IF($A10="","",IF(IF(BK$2&lt;=$A$1,1,0),IF(BK$4="休","",IF(COUNTIF(DATA!BL:BL,$A:$A)=0,"×","√")),""))</f>
        <v/>
      </c>
      <c r="BL10" s="34" t="str">
        <f ca="1">IF($A10="","",IF(IF(BL$2&lt;=$A$1,1,0),IF(BL$4="休","",IF(COUNTIF(DATA!BM:BM,$A:$A)=0,"×","√")),""))</f>
        <v/>
      </c>
      <c r="BM10" s="34" t="str">
        <f ca="1">IF($A10="","",IF(IF(BM$2&lt;=$A$1,1,0),IF(BM$4="休","",IF(COUNTIF(DATA!BN:BN,$A:$A)=0,"×","√")),""))</f>
        <v/>
      </c>
      <c r="BN10" s="34" t="str">
        <f ca="1">IF($A10="","",IF(IF(BN$2&lt;=$A$1,1,0),IF(BN$4="休","",IF(COUNTIF(DATA!BO:BO,$A:$A)=0,"×","√")),""))</f>
        <v/>
      </c>
      <c r="BO10" s="34" t="str">
        <f ca="1">IF($A10="","",IF(IF(BO$2&lt;=$A$1,1,0),IF(BO$4="休","",IF(COUNTIF(DATA!BP:BP,$A:$A)=0,"×","√")),""))</f>
        <v/>
      </c>
      <c r="BP10" s="34" t="str">
        <f ca="1">IF($A10="","",IF(IF(BP$2&lt;=$A$1,1,0),IF(BP$4="休","",IF(COUNTIF(DATA!BQ:BQ,$A:$A)=0,"×","√")),""))</f>
        <v/>
      </c>
      <c r="BQ10" s="34" t="str">
        <f ca="1">IF($A10="","",IF(IF(BQ$2&lt;=$A$1,1,0),IF(BQ$4="休","",IF(COUNTIF(DATA!BR:BR,$A:$A)=0,"×","√")),""))</f>
        <v/>
      </c>
      <c r="BR10" s="34" t="str">
        <f ca="1">IF($A10="","",IF(IF(BR$2&lt;=$A$1,1,0),IF(BR$4="休","",IF(COUNTIF(DATA!BS:BS,$A:$A)=0,"×","√")),""))</f>
        <v/>
      </c>
      <c r="BS10" s="34" t="str">
        <f ca="1">IF($A10="","",IF(IF(BS$2&lt;=$A$1,1,0),IF(BS$4="休","",IF(COUNTIF(DATA!BT:BT,$A:$A)=0,"×","√")),""))</f>
        <v/>
      </c>
      <c r="BT10" s="34" t="str">
        <f ca="1">IF($A10="","",IF(IF(BT$2&lt;=$A$1,1,0),IF(BT$4="休","",IF(COUNTIF(DATA!BU:BU,$A:$A)=0,"×","√")),""))</f>
        <v/>
      </c>
      <c r="BU10" s="34" t="str">
        <f ca="1">IF($A10="","",IF(IF(BU$2&lt;=$A$1,1,0),IF(BU$4="休","",IF(COUNTIF(DATA!BV:BV,$A:$A)=0,"×","√")),""))</f>
        <v/>
      </c>
      <c r="BV10" s="34" t="str">
        <f ca="1">IF($A10="","",IF(IF(BV$2&lt;=$A$1,1,0),IF(BV$4="休","",IF(COUNTIF(DATA!BW:BW,$A:$A)=0,"×","√")),""))</f>
        <v/>
      </c>
      <c r="BW10" s="34" t="str">
        <f ca="1">IF($A10="","",IF(IF(BW$2&lt;=$A$1,1,0),IF(BW$4="休","",IF(COUNTIF(DATA!BX:BX,$A:$A)=0,"×","√")),""))</f>
        <v/>
      </c>
      <c r="BX10" s="34" t="str">
        <f ca="1">IF($A10="","",IF(IF(BX$2&lt;=$A$1,1,0),IF(BX$4="休","",IF(COUNTIF(DATA!BY:BY,$A:$A)=0,"×","√")),""))</f>
        <v/>
      </c>
      <c r="BY10" s="34" t="str">
        <f ca="1">IF($A10="","",IF(IF(BY$2&lt;=$A$1,1,0),IF(BY$4="休","",IF(COUNTIF(DATA!BZ:BZ,$A:$A)=0,"×","√")),""))</f>
        <v/>
      </c>
      <c r="BZ10" s="34" t="str">
        <f ca="1">IF($A10="","",IF(IF(BZ$2&lt;=$A$1,1,0),IF(BZ$4="休","",IF(COUNTIF(DATA!CA:CA,$A:$A)=0,"×","√")),""))</f>
        <v/>
      </c>
      <c r="CA10" s="34" t="str">
        <f ca="1">IF($A10="","",IF(IF(CA$2&lt;=$A$1,1,0),IF(CA$4="休","",IF(COUNTIF(DATA!CB:CB,$A:$A)=0,"×","√")),""))</f>
        <v/>
      </c>
      <c r="CB10" s="34" t="str">
        <f ca="1">IF($A10="","",IF(IF(CB$2&lt;=$A$1,1,0),IF(CB$4="休","",IF(COUNTIF(DATA!CC:CC,$A:$A)=0,"×","√")),""))</f>
        <v/>
      </c>
      <c r="CC10" s="34" t="str">
        <f ca="1">IF($A10="","",IF(IF(CC$2&lt;=$A$1,1,0),IF(CC$4="休","",IF(COUNTIF(DATA!CD:CD,$A:$A)=0,"×","√")),""))</f>
        <v/>
      </c>
      <c r="CD10" s="34" t="str">
        <f ca="1">IF($A10="","",IF(IF(CD$2&lt;=$A$1,1,0),IF(CD$4="休","",IF(COUNTIF(DATA!CE:CE,$A:$A)=0,"×","√")),""))</f>
        <v/>
      </c>
      <c r="CE10" s="34" t="str">
        <f ca="1">IF($A10="","",IF(IF(CE$2&lt;=$A$1,1,0),IF(CE$4="休","",IF(COUNTIF(DATA!CF:CF,$A:$A)=0,"×","√")),""))</f>
        <v/>
      </c>
      <c r="CF10" s="34" t="str">
        <f ca="1">IF($A10="","",IF(IF(CF$2&lt;=$A$1,1,0),IF(CF$4="休","",IF(COUNTIF(DATA!CG:CG,$A:$A)=0,"×","√")),""))</f>
        <v/>
      </c>
      <c r="CG10" s="34" t="str">
        <f ca="1">IF($A10="","",IF(IF(CG$2&lt;=$A$1,1,0),IF(CG$4="休","",IF(COUNTIF(DATA!CH:CH,$A:$A)=0,"×","√")),""))</f>
        <v/>
      </c>
      <c r="CH10" s="34" t="str">
        <f ca="1">IF($A10="","",IF(IF(CH$2&lt;=$A$1,1,0),IF(CH$4="休","",IF(COUNTIF(DATA!CI:CI,$A:$A)=0,"×","√")),""))</f>
        <v/>
      </c>
      <c r="CI10" s="34" t="str">
        <f ca="1">IF($A10="","",IF(IF(CI$2&lt;=$A$1,1,0),IF(CI$4="休","",IF(COUNTIF(DATA!CJ:CJ,$A:$A)=0,"×","√")),""))</f>
        <v/>
      </c>
      <c r="CJ10" s="34" t="str">
        <f ca="1">IF($A10="","",IF(IF(CJ$2&lt;=$A$1,1,0),IF(CJ$4="休","",IF(COUNTIF(DATA!CK:CK,$A:$A)=0,"×","√")),""))</f>
        <v/>
      </c>
      <c r="CK10" s="34" t="str">
        <f ca="1">IF($A10="","",IF(IF(CK$2&lt;=$A$1,1,0),IF(CK$4="休","",IF(COUNTIF(DATA!CL:CL,$A:$A)=0,"×","√")),""))</f>
        <v/>
      </c>
      <c r="CL10" s="34" t="str">
        <f ca="1">IF($A10="","",IF(IF(CL$2&lt;=$A$1,1,0),IF(CL$4="休","",IF(COUNTIF(DATA!CM:CM,$A:$A)=0,"×","√")),""))</f>
        <v/>
      </c>
      <c r="CM10" s="34" t="str">
        <f ca="1">IF($A10="","",IF(IF(CM$2&lt;=$A$1,1,0),IF(CM$4="休","",IF(COUNTIF(DATA!CN:CN,$A:$A)=0,"×","√")),""))</f>
        <v/>
      </c>
      <c r="CN10" s="34" t="str">
        <f ca="1">IF($A10="","",IF(IF(CN$2&lt;=$A$1,1,0),IF(CN$4="休","",IF(COUNTIF(DATA!CO:CO,$A:$A)=0,"×","√")),""))</f>
        <v/>
      </c>
      <c r="CO10" s="34" t="str">
        <f ca="1">IF($A10="","",IF(IF(CO$2&lt;=$A$1,1,0),IF(CO$4="休","",IF(COUNTIF(DATA!CP:CP,$A:$A)=0,"×","√")),""))</f>
        <v/>
      </c>
      <c r="CP10" s="34" t="str">
        <f ca="1">IF($A10="","",IF(IF(CP$2&lt;=$A$1,1,0),IF(CP$4="休","",IF(COUNTIF(DATA!CQ:CQ,$A:$A)=0,"×","√")),""))</f>
        <v/>
      </c>
      <c r="CQ10" s="34" t="str">
        <f ca="1">IF($A10="","",IF(IF(CQ$2&lt;=$A$1,1,0),IF(CQ$4="休","",IF(COUNTIF(DATA!CR:CR,$A:$A)=0,"×","√")),""))</f>
        <v/>
      </c>
      <c r="CR10" s="34" t="str">
        <f ca="1">IF($A10="","",IF(IF(CR$2&lt;=$A$1,1,0),IF(CR$4="休","",IF(COUNTIF(DATA!CS:CS,$A:$A)=0,"×","√")),""))</f>
        <v/>
      </c>
    </row>
    <row r="11" s="28" customFormat="1" ht="18.75" spans="1:96">
      <c r="A11" s="34" t="str">
        <f>DATA!$A10&amp;""</f>
        <v>柯金梁</v>
      </c>
      <c r="B11" s="34" t="str">
        <f ca="1">IF($A11="","",IF(IF(B$2&lt;=$A$1,1,0),IF(B$4="休","",IF(COUNTIF(DATA!C:C,$A:$A)=0,"×","√")),""))</f>
        <v>√</v>
      </c>
      <c r="C11" s="34" t="str">
        <f ca="1">IF($A11="","",IF(IF(C$2&lt;=$A$1,1,0),IF(C$4="休","",IF(COUNTIF(DATA!D:D,$A:$A)=0,"×","√")),""))</f>
        <v>√</v>
      </c>
      <c r="D11" s="34" t="str">
        <f ca="1">IF($A11="","",IF(IF(D$2&lt;=$A$1,1,0),IF(D$4="休","",IF(COUNTIF(DATA!E:E,$A:$A)=0,"×","√")),""))</f>
        <v>√</v>
      </c>
      <c r="E11" s="34" t="str">
        <f ca="1">IF($A11="","",IF(IF(E$2&lt;=$A$1,1,0),IF(E$4="休","",IF(COUNTIF(DATA!F:F,$A:$A)=0,"×","√")),""))</f>
        <v>√</v>
      </c>
      <c r="F11" s="34" t="str">
        <f ca="1">IF($A11="","",IF(IF(F$2&lt;=$A$1,1,0),IF(F$4="休","",IF(COUNTIF(DATA!G:G,$A:$A)=0,"×","√")),""))</f>
        <v>√</v>
      </c>
      <c r="G11" s="34" t="str">
        <f ca="1">IF($A11="","",IF(IF(G$2&lt;=$A$1,1,0),IF(G$4="休","",IF(COUNTIF(DATA!H:H,$A:$A)=0,"×","√")),""))</f>
        <v>√</v>
      </c>
      <c r="H11" s="34" t="str">
        <f ca="1">IF($A11="","",IF(IF(H$2&lt;=$A$1,1,0),IF(H$4="休","",IF(COUNTIF(DATA!I:I,$A:$A)=0,"×","√")),""))</f>
        <v>√</v>
      </c>
      <c r="I11" s="34" t="str">
        <f ca="1">IF($A11="","",IF(IF(I$2&lt;=$A$1,1,0),IF(I$4="休","",IF(COUNTIF(DATA!J:J,$A:$A)=0,"×","√")),""))</f>
        <v>√</v>
      </c>
      <c r="J11" s="34" t="str">
        <f ca="1">IF($A11="","",IF(IF(J$2&lt;=$A$1,1,0),IF(J$4="休","",IF(COUNTIF(DATA!K:K,$A:$A)=0,"×","√")),""))</f>
        <v>√</v>
      </c>
      <c r="K11" s="34" t="str">
        <f ca="1">IF($A11="","",IF(IF(K$2&lt;=$A$1,1,0),IF(K$4="休","",IF(COUNTIF(DATA!L:L,$A:$A)=0,"×","√")),""))</f>
        <v>√</v>
      </c>
      <c r="L11" s="34" t="str">
        <f ca="1">IF($A11="","",IF(IF(L$2&lt;=$A$1,1,0),IF(L$4="休","",IF(COUNTIF(DATA!M:M,$A:$A)=0,"×","√")),""))</f>
        <v>√</v>
      </c>
      <c r="M11" s="34" t="str">
        <f ca="1">IF($A11="","",IF(IF(M$2&lt;=$A$1,1,0),IF(M$4="休","",IF(COUNTIF(DATA!N:N,$A:$A)=0,"×","√")),""))</f>
        <v>√</v>
      </c>
      <c r="N11" s="34" t="str">
        <f ca="1">IF($A11="","",IF(IF(N$2&lt;=$A$1,1,0),IF(N$4="休","",IF(COUNTIF(DATA!O:O,$A:$A)=0,"×","√")),""))</f>
        <v>√</v>
      </c>
      <c r="O11" s="34" t="str">
        <f ca="1">IF($A11="","",IF(IF(O$2&lt;=$A$1,1,0),IF(O$4="休","",IF(COUNTIF(DATA!P:P,$A:$A)=0,"×","√")),""))</f>
        <v>×</v>
      </c>
      <c r="P11" s="34" t="str">
        <f ca="1">IF($A11="","",IF(IF(P$2&lt;=$A$1,1,0),IF(P$4="休","",IF(COUNTIF(DATA!Q:Q,$A:$A)=0,"×","√")),""))</f>
        <v/>
      </c>
      <c r="Q11" s="34" t="str">
        <f ca="1">IF($A11="","",IF(IF(Q$2&lt;=$A$1,1,0),IF(Q$4="休","",IF(COUNTIF(DATA!R:R,$A:$A)=0,"×","√")),""))</f>
        <v/>
      </c>
      <c r="R11" s="34" t="str">
        <f ca="1">IF($A11="","",IF(IF(R$2&lt;=$A$1,1,0),IF(R$4="休","",IF(COUNTIF(DATA!S:S,$A:$A)=0,"×","√")),""))</f>
        <v/>
      </c>
      <c r="S11" s="34" t="str">
        <f ca="1">IF($A11="","",IF(IF(S$2&lt;=$A$1,1,0),IF(S$4="休","",IF(COUNTIF(DATA!T:T,$A:$A)=0,"×","√")),""))</f>
        <v/>
      </c>
      <c r="T11" s="34" t="str">
        <f ca="1">IF($A11="","",IF(IF(T$2&lt;=$A$1,1,0),IF(T$4="休","",IF(COUNTIF(DATA!U:U,$A:$A)=0,"×","√")),""))</f>
        <v/>
      </c>
      <c r="U11" s="34" t="str">
        <f ca="1">IF($A11="","",IF(IF(U$2&lt;=$A$1,1,0),IF(U$4="休","",IF(COUNTIF(DATA!V:V,$A:$A)=0,"×","√")),""))</f>
        <v/>
      </c>
      <c r="V11" s="34" t="str">
        <f ca="1">IF($A11="","",IF(IF(V$2&lt;=$A$1,1,0),IF(V$4="休","",IF(COUNTIF(DATA!W:W,$A:$A)=0,"×","√")),""))</f>
        <v/>
      </c>
      <c r="W11" s="34" t="str">
        <f ca="1">IF($A11="","",IF(IF(W$2&lt;=$A$1,1,0),IF(W$4="休","",IF(COUNTIF(DATA!X:X,$A:$A)=0,"×","√")),""))</f>
        <v/>
      </c>
      <c r="X11" s="34" t="str">
        <f ca="1">IF($A11="","",IF(IF(X$2&lt;=$A$1,1,0),IF(X$4="休","",IF(COUNTIF(DATA!Y:Y,$A:$A)=0,"×","√")),""))</f>
        <v/>
      </c>
      <c r="Y11" s="34" t="str">
        <f ca="1">IF($A11="","",IF(IF(Y$2&lt;=$A$1,1,0),IF(Y$4="休","",IF(COUNTIF(DATA!Z:Z,$A:$A)=0,"×","√")),""))</f>
        <v/>
      </c>
      <c r="Z11" s="34" t="str">
        <f ca="1">IF($A11="","",IF(IF(Z$2&lt;=$A$1,1,0),IF(Z$4="休","",IF(COUNTIF(DATA!AA:AA,$A:$A)=0,"×","√")),""))</f>
        <v/>
      </c>
      <c r="AA11" s="34" t="str">
        <f ca="1">IF($A11="","",IF(IF(AA$2&lt;=$A$1,1,0),IF(AA$4="休","",IF(COUNTIF(DATA!AB:AB,$A:$A)=0,"×","√")),""))</f>
        <v/>
      </c>
      <c r="AB11" s="34" t="str">
        <f ca="1">IF($A11="","",IF(IF(AB$2&lt;=$A$1,1,0),IF(AB$4="休","",IF(COUNTIF(DATA!AC:AC,$A:$A)=0,"×","√")),""))</f>
        <v/>
      </c>
      <c r="AC11" s="34" t="str">
        <f ca="1">IF($A11="","",IF(IF(AC$2&lt;=$A$1,1,0),IF(AC$4="休","",IF(COUNTIF(DATA!AD:AD,$A:$A)=0,"×","√")),""))</f>
        <v/>
      </c>
      <c r="AD11" s="34" t="str">
        <f ca="1">IF($A11="","",IF(IF(AD$2&lt;=$A$1,1,0),IF(AD$4="休","",IF(COUNTIF(DATA!AE:AE,$A:$A)=0,"×","√")),""))</f>
        <v/>
      </c>
      <c r="AE11" s="34" t="str">
        <f ca="1">IF($A11="","",IF(IF(AE$2&lt;=$A$1,1,0),IF(AE$4="休","",IF(COUNTIF(DATA!AF:AF,$A:$A)=0,"×","√")),""))</f>
        <v/>
      </c>
      <c r="AF11" s="34" t="str">
        <f ca="1">IF($A11="","",IF(IF(AF$2&lt;=$A$1,1,0),IF(AF$4="休","",IF(COUNTIF(DATA!AG:AG,$A:$A)=0,"×","√")),""))</f>
        <v/>
      </c>
      <c r="AG11" s="34" t="str">
        <f ca="1">IF($A11="","",IF(IF(AG$2&lt;=$A$1,1,0),IF(AG$4="休","",IF(COUNTIF(DATA!AH:AH,$A:$A)=0,"×","√")),""))</f>
        <v/>
      </c>
      <c r="AH11" s="34" t="str">
        <f ca="1">IF($A11="","",IF(IF(AH$2&lt;=$A$1,1,0),IF(AH$4="休","",IF(COUNTIF(DATA!AI:AI,$A:$A)=0,"×","√")),""))</f>
        <v/>
      </c>
      <c r="AI11" s="34" t="str">
        <f ca="1">IF($A11="","",IF(IF(AI$2&lt;=$A$1,1,0),IF(AI$4="休","",IF(COUNTIF(DATA!AJ:AJ,$A:$A)=0,"×","√")),""))</f>
        <v/>
      </c>
      <c r="AJ11" s="34" t="str">
        <f ca="1">IF($A11="","",IF(IF(AJ$2&lt;=$A$1,1,0),IF(AJ$4="休","",IF(COUNTIF(DATA!AK:AK,$A:$A)=0,"×","√")),""))</f>
        <v/>
      </c>
      <c r="AK11" s="34" t="str">
        <f ca="1">IF($A11="","",IF(IF(AK$2&lt;=$A$1,1,0),IF(AK$4="休","",IF(COUNTIF(DATA!AL:AL,$A:$A)=0,"×","√")),""))</f>
        <v/>
      </c>
      <c r="AL11" s="34" t="str">
        <f ca="1">IF($A11="","",IF(IF(AL$2&lt;=$A$1,1,0),IF(AL$4="休","",IF(COUNTIF(DATA!AM:AM,$A:$A)=0,"×","√")),""))</f>
        <v/>
      </c>
      <c r="AM11" s="34" t="str">
        <f ca="1">IF($A11="","",IF(IF(AM$2&lt;=$A$1,1,0),IF(AM$4="休","",IF(COUNTIF(DATA!AN:AN,$A:$A)=0,"×","√")),""))</f>
        <v/>
      </c>
      <c r="AN11" s="34" t="str">
        <f ca="1">IF($A11="","",IF(IF(AN$2&lt;=$A$1,1,0),IF(AN$4="休","",IF(COUNTIF(DATA!AO:AO,$A:$A)=0,"×","√")),""))</f>
        <v/>
      </c>
      <c r="AO11" s="34" t="str">
        <f ca="1">IF($A11="","",IF(IF(AO$2&lt;=$A$1,1,0),IF(AO$4="休","",IF(COUNTIF(DATA!AP:AP,$A:$A)=0,"×","√")),""))</f>
        <v/>
      </c>
      <c r="AP11" s="34" t="str">
        <f ca="1">IF($A11="","",IF(IF(AP$2&lt;=$A$1,1,0),IF(AP$4="休","",IF(COUNTIF(DATA!AQ:AQ,$A:$A)=0,"×","√")),""))</f>
        <v/>
      </c>
      <c r="AQ11" s="34" t="str">
        <f ca="1">IF($A11="","",IF(IF(AQ$2&lt;=$A$1,1,0),IF(AQ$4="休","",IF(COUNTIF(DATA!AR:AR,$A:$A)=0,"×","√")),""))</f>
        <v/>
      </c>
      <c r="AR11" s="34" t="str">
        <f ca="1">IF($A11="","",IF(IF(AR$2&lt;=$A$1,1,0),IF(AR$4="休","",IF(COUNTIF(DATA!AS:AS,$A:$A)=0,"×","√")),""))</f>
        <v/>
      </c>
      <c r="AS11" s="34" t="str">
        <f ca="1">IF($A11="","",IF(IF(AS$2&lt;=$A$1,1,0),IF(AS$4="休","",IF(COUNTIF(DATA!AT:AT,$A:$A)=0,"×","√")),""))</f>
        <v/>
      </c>
      <c r="AT11" s="34" t="str">
        <f ca="1">IF($A11="","",IF(IF(AT$2&lt;=$A$1,1,0),IF(AT$4="休","",IF(COUNTIF(DATA!AU:AU,$A:$A)=0,"×","√")),""))</f>
        <v/>
      </c>
      <c r="AU11" s="34" t="str">
        <f ca="1">IF($A11="","",IF(IF(AU$2&lt;=$A$1,1,0),IF(AU$4="休","",IF(COUNTIF(DATA!AV:AV,$A:$A)=0,"×","√")),""))</f>
        <v/>
      </c>
      <c r="AV11" s="34" t="str">
        <f ca="1">IF($A11="","",IF(IF(AV$2&lt;=$A$1,1,0),IF(AV$4="休","",IF(COUNTIF(DATA!AW:AW,$A:$A)=0,"×","√")),""))</f>
        <v/>
      </c>
      <c r="AW11" s="34" t="str">
        <f ca="1">IF($A11="","",IF(IF(AW$2&lt;=$A$1,1,0),IF(AW$4="休","",IF(COUNTIF(DATA!AX:AX,$A:$A)=0,"×","√")),""))</f>
        <v/>
      </c>
      <c r="AX11" s="34" t="str">
        <f ca="1">IF($A11="","",IF(IF(AX$2&lt;=$A$1,1,0),IF(AX$4="休","",IF(COUNTIF(DATA!AY:AY,$A:$A)=0,"×","√")),""))</f>
        <v/>
      </c>
      <c r="AY11" s="34" t="str">
        <f ca="1">IF($A11="","",IF(IF(AY$2&lt;=$A$1,1,0),IF(AY$4="休","",IF(COUNTIF(DATA!AZ:AZ,$A:$A)=0,"×","√")),""))</f>
        <v/>
      </c>
      <c r="AZ11" s="34" t="str">
        <f ca="1">IF($A11="","",IF(IF(AZ$2&lt;=$A$1,1,0),IF(AZ$4="休","",IF(COUNTIF(DATA!BA:BA,$A:$A)=0,"×","√")),""))</f>
        <v/>
      </c>
      <c r="BA11" s="34" t="str">
        <f ca="1">IF($A11="","",IF(IF(BA$2&lt;=$A$1,1,0),IF(BA$4="休","",IF(COUNTIF(DATA!BB:BB,$A:$A)=0,"×","√")),""))</f>
        <v/>
      </c>
      <c r="BB11" s="34" t="str">
        <f ca="1">IF($A11="","",IF(IF(BB$2&lt;=$A$1,1,0),IF(BB$4="休","",IF(COUNTIF(DATA!BC:BC,$A:$A)=0,"×","√")),""))</f>
        <v/>
      </c>
      <c r="BC11" s="34" t="str">
        <f ca="1">IF($A11="","",IF(IF(BC$2&lt;=$A$1,1,0),IF(BC$4="休","",IF(COUNTIF(DATA!BD:BD,$A:$A)=0,"×","√")),""))</f>
        <v/>
      </c>
      <c r="BD11" s="34" t="str">
        <f ca="1">IF($A11="","",IF(IF(BD$2&lt;=$A$1,1,0),IF(BD$4="休","",IF(COUNTIF(DATA!BE:BE,$A:$A)=0,"×","√")),""))</f>
        <v/>
      </c>
      <c r="BE11" s="34" t="str">
        <f ca="1">IF($A11="","",IF(IF(BE$2&lt;=$A$1,1,0),IF(BE$4="休","",IF(COUNTIF(DATA!BF:BF,$A:$A)=0,"×","√")),""))</f>
        <v/>
      </c>
      <c r="BF11" s="34" t="str">
        <f ca="1">IF($A11="","",IF(IF(BF$2&lt;=$A$1,1,0),IF(BF$4="休","",IF(COUNTIF(DATA!BG:BG,$A:$A)=0,"×","√")),""))</f>
        <v/>
      </c>
      <c r="BG11" s="34" t="str">
        <f ca="1">IF($A11="","",IF(IF(BG$2&lt;=$A$1,1,0),IF(BG$4="休","",IF(COUNTIF(DATA!BH:BH,$A:$A)=0,"×","√")),""))</f>
        <v/>
      </c>
      <c r="BH11" s="34" t="str">
        <f ca="1">IF($A11="","",IF(IF(BH$2&lt;=$A$1,1,0),IF(BH$4="休","",IF(COUNTIF(DATA!BI:BI,$A:$A)=0,"×","√")),""))</f>
        <v/>
      </c>
      <c r="BI11" s="34" t="str">
        <f ca="1">IF($A11="","",IF(IF(BI$2&lt;=$A$1,1,0),IF(BI$4="休","",IF(COUNTIF(DATA!BJ:BJ,$A:$A)=0,"×","√")),""))</f>
        <v/>
      </c>
      <c r="BJ11" s="34" t="str">
        <f ca="1">IF($A11="","",IF(IF(BJ$2&lt;=$A$1,1,0),IF(BJ$4="休","",IF(COUNTIF(DATA!BK:BK,$A:$A)=0,"×","√")),""))</f>
        <v/>
      </c>
      <c r="BK11" s="34" t="str">
        <f ca="1">IF($A11="","",IF(IF(BK$2&lt;=$A$1,1,0),IF(BK$4="休","",IF(COUNTIF(DATA!BL:BL,$A:$A)=0,"×","√")),""))</f>
        <v/>
      </c>
      <c r="BL11" s="34" t="str">
        <f ca="1">IF($A11="","",IF(IF(BL$2&lt;=$A$1,1,0),IF(BL$4="休","",IF(COUNTIF(DATA!BM:BM,$A:$A)=0,"×","√")),""))</f>
        <v/>
      </c>
      <c r="BM11" s="34" t="str">
        <f ca="1">IF($A11="","",IF(IF(BM$2&lt;=$A$1,1,0),IF(BM$4="休","",IF(COUNTIF(DATA!BN:BN,$A:$A)=0,"×","√")),""))</f>
        <v/>
      </c>
      <c r="BN11" s="34" t="str">
        <f ca="1">IF($A11="","",IF(IF(BN$2&lt;=$A$1,1,0),IF(BN$4="休","",IF(COUNTIF(DATA!BO:BO,$A:$A)=0,"×","√")),""))</f>
        <v/>
      </c>
      <c r="BO11" s="34" t="str">
        <f ca="1">IF($A11="","",IF(IF(BO$2&lt;=$A$1,1,0),IF(BO$4="休","",IF(COUNTIF(DATA!BP:BP,$A:$A)=0,"×","√")),""))</f>
        <v/>
      </c>
      <c r="BP11" s="34" t="str">
        <f ca="1">IF($A11="","",IF(IF(BP$2&lt;=$A$1,1,0),IF(BP$4="休","",IF(COUNTIF(DATA!BQ:BQ,$A:$A)=0,"×","√")),""))</f>
        <v/>
      </c>
      <c r="BQ11" s="34" t="str">
        <f ca="1">IF($A11="","",IF(IF(BQ$2&lt;=$A$1,1,0),IF(BQ$4="休","",IF(COUNTIF(DATA!BR:BR,$A:$A)=0,"×","√")),""))</f>
        <v/>
      </c>
      <c r="BR11" s="34" t="str">
        <f ca="1">IF($A11="","",IF(IF(BR$2&lt;=$A$1,1,0),IF(BR$4="休","",IF(COUNTIF(DATA!BS:BS,$A:$A)=0,"×","√")),""))</f>
        <v/>
      </c>
      <c r="BS11" s="34" t="str">
        <f ca="1">IF($A11="","",IF(IF(BS$2&lt;=$A$1,1,0),IF(BS$4="休","",IF(COUNTIF(DATA!BT:BT,$A:$A)=0,"×","√")),""))</f>
        <v/>
      </c>
      <c r="BT11" s="34" t="str">
        <f ca="1">IF($A11="","",IF(IF(BT$2&lt;=$A$1,1,0),IF(BT$4="休","",IF(COUNTIF(DATA!BU:BU,$A:$A)=0,"×","√")),""))</f>
        <v/>
      </c>
      <c r="BU11" s="34" t="str">
        <f ca="1">IF($A11="","",IF(IF(BU$2&lt;=$A$1,1,0),IF(BU$4="休","",IF(COUNTIF(DATA!BV:BV,$A:$A)=0,"×","√")),""))</f>
        <v/>
      </c>
      <c r="BV11" s="34" t="str">
        <f ca="1">IF($A11="","",IF(IF(BV$2&lt;=$A$1,1,0),IF(BV$4="休","",IF(COUNTIF(DATA!BW:BW,$A:$A)=0,"×","√")),""))</f>
        <v/>
      </c>
      <c r="BW11" s="34" t="str">
        <f ca="1">IF($A11="","",IF(IF(BW$2&lt;=$A$1,1,0),IF(BW$4="休","",IF(COUNTIF(DATA!BX:BX,$A:$A)=0,"×","√")),""))</f>
        <v/>
      </c>
      <c r="BX11" s="34" t="str">
        <f ca="1">IF($A11="","",IF(IF(BX$2&lt;=$A$1,1,0),IF(BX$4="休","",IF(COUNTIF(DATA!BY:BY,$A:$A)=0,"×","√")),""))</f>
        <v/>
      </c>
      <c r="BY11" s="34" t="str">
        <f ca="1">IF($A11="","",IF(IF(BY$2&lt;=$A$1,1,0),IF(BY$4="休","",IF(COUNTIF(DATA!BZ:BZ,$A:$A)=0,"×","√")),""))</f>
        <v/>
      </c>
      <c r="BZ11" s="34" t="str">
        <f ca="1">IF($A11="","",IF(IF(BZ$2&lt;=$A$1,1,0),IF(BZ$4="休","",IF(COUNTIF(DATA!CA:CA,$A:$A)=0,"×","√")),""))</f>
        <v/>
      </c>
      <c r="CA11" s="34" t="str">
        <f ca="1">IF($A11="","",IF(IF(CA$2&lt;=$A$1,1,0),IF(CA$4="休","",IF(COUNTIF(DATA!CB:CB,$A:$A)=0,"×","√")),""))</f>
        <v/>
      </c>
      <c r="CB11" s="34" t="str">
        <f ca="1">IF($A11="","",IF(IF(CB$2&lt;=$A$1,1,0),IF(CB$4="休","",IF(COUNTIF(DATA!CC:CC,$A:$A)=0,"×","√")),""))</f>
        <v/>
      </c>
      <c r="CC11" s="34" t="str">
        <f ca="1">IF($A11="","",IF(IF(CC$2&lt;=$A$1,1,0),IF(CC$4="休","",IF(COUNTIF(DATA!CD:CD,$A:$A)=0,"×","√")),""))</f>
        <v/>
      </c>
      <c r="CD11" s="34" t="str">
        <f ca="1">IF($A11="","",IF(IF(CD$2&lt;=$A$1,1,0),IF(CD$4="休","",IF(COUNTIF(DATA!CE:CE,$A:$A)=0,"×","√")),""))</f>
        <v/>
      </c>
      <c r="CE11" s="34" t="str">
        <f ca="1">IF($A11="","",IF(IF(CE$2&lt;=$A$1,1,0),IF(CE$4="休","",IF(COUNTIF(DATA!CF:CF,$A:$A)=0,"×","√")),""))</f>
        <v/>
      </c>
      <c r="CF11" s="34" t="str">
        <f ca="1">IF($A11="","",IF(IF(CF$2&lt;=$A$1,1,0),IF(CF$4="休","",IF(COUNTIF(DATA!CG:CG,$A:$A)=0,"×","√")),""))</f>
        <v/>
      </c>
      <c r="CG11" s="34" t="str">
        <f ca="1">IF($A11="","",IF(IF(CG$2&lt;=$A$1,1,0),IF(CG$4="休","",IF(COUNTIF(DATA!CH:CH,$A:$A)=0,"×","√")),""))</f>
        <v/>
      </c>
      <c r="CH11" s="34" t="str">
        <f ca="1">IF($A11="","",IF(IF(CH$2&lt;=$A$1,1,0),IF(CH$4="休","",IF(COUNTIF(DATA!CI:CI,$A:$A)=0,"×","√")),""))</f>
        <v/>
      </c>
      <c r="CI11" s="34" t="str">
        <f ca="1">IF($A11="","",IF(IF(CI$2&lt;=$A$1,1,0),IF(CI$4="休","",IF(COUNTIF(DATA!CJ:CJ,$A:$A)=0,"×","√")),""))</f>
        <v/>
      </c>
      <c r="CJ11" s="34" t="str">
        <f ca="1">IF($A11="","",IF(IF(CJ$2&lt;=$A$1,1,0),IF(CJ$4="休","",IF(COUNTIF(DATA!CK:CK,$A:$A)=0,"×","√")),""))</f>
        <v/>
      </c>
      <c r="CK11" s="34" t="str">
        <f ca="1">IF($A11="","",IF(IF(CK$2&lt;=$A$1,1,0),IF(CK$4="休","",IF(COUNTIF(DATA!CL:CL,$A:$A)=0,"×","√")),""))</f>
        <v/>
      </c>
      <c r="CL11" s="34" t="str">
        <f ca="1">IF($A11="","",IF(IF(CL$2&lt;=$A$1,1,0),IF(CL$4="休","",IF(COUNTIF(DATA!CM:CM,$A:$A)=0,"×","√")),""))</f>
        <v/>
      </c>
      <c r="CM11" s="34" t="str">
        <f ca="1">IF($A11="","",IF(IF(CM$2&lt;=$A$1,1,0),IF(CM$4="休","",IF(COUNTIF(DATA!CN:CN,$A:$A)=0,"×","√")),""))</f>
        <v/>
      </c>
      <c r="CN11" s="34" t="str">
        <f ca="1">IF($A11="","",IF(IF(CN$2&lt;=$A$1,1,0),IF(CN$4="休","",IF(COUNTIF(DATA!CO:CO,$A:$A)=0,"×","√")),""))</f>
        <v/>
      </c>
      <c r="CO11" s="34" t="str">
        <f ca="1">IF($A11="","",IF(IF(CO$2&lt;=$A$1,1,0),IF(CO$4="休","",IF(COUNTIF(DATA!CP:CP,$A:$A)=0,"×","√")),""))</f>
        <v/>
      </c>
      <c r="CP11" s="34" t="str">
        <f ca="1">IF($A11="","",IF(IF(CP$2&lt;=$A$1,1,0),IF(CP$4="休","",IF(COUNTIF(DATA!CQ:CQ,$A:$A)=0,"×","√")),""))</f>
        <v/>
      </c>
      <c r="CQ11" s="34" t="str">
        <f ca="1">IF($A11="","",IF(IF(CQ$2&lt;=$A$1,1,0),IF(CQ$4="休","",IF(COUNTIF(DATA!CR:CR,$A:$A)=0,"×","√")),""))</f>
        <v/>
      </c>
      <c r="CR11" s="34" t="str">
        <f ca="1">IF($A11="","",IF(IF(CR$2&lt;=$A$1,1,0),IF(CR$4="休","",IF(COUNTIF(DATA!CS:CS,$A:$A)=0,"×","√")),""))</f>
        <v/>
      </c>
    </row>
    <row r="12" s="28" customFormat="1" ht="18.75" spans="1:96">
      <c r="A12" s="34" t="str">
        <f>DATA!$A11&amp;""</f>
        <v>翁凯凯</v>
      </c>
      <c r="B12" s="34" t="str">
        <f ca="1">IF($A12="","",IF(IF(B$2&lt;=$A$1,1,0),IF(B$4="休","",IF(COUNTIF(DATA!C:C,$A:$A)=0,"×","√")),""))</f>
        <v>√</v>
      </c>
      <c r="C12" s="34" t="str">
        <f ca="1">IF($A12="","",IF(IF(C$2&lt;=$A$1,1,0),IF(C$4="休","",IF(COUNTIF(DATA!D:D,$A:$A)=0,"×","√")),""))</f>
        <v>√</v>
      </c>
      <c r="D12" s="34" t="str">
        <f ca="1">IF($A12="","",IF(IF(D$2&lt;=$A$1,1,0),IF(D$4="休","",IF(COUNTIF(DATA!E:E,$A:$A)=0,"×","√")),""))</f>
        <v>√</v>
      </c>
      <c r="E12" s="34" t="str">
        <f ca="1">IF($A12="","",IF(IF(E$2&lt;=$A$1,1,0),IF(E$4="休","",IF(COUNTIF(DATA!F:F,$A:$A)=0,"×","√")),""))</f>
        <v>√</v>
      </c>
      <c r="F12" s="34" t="str">
        <f ca="1">IF($A12="","",IF(IF(F$2&lt;=$A$1,1,0),IF(F$4="休","",IF(COUNTIF(DATA!G:G,$A:$A)=0,"×","√")),""))</f>
        <v>√</v>
      </c>
      <c r="G12" s="34" t="str">
        <f ca="1">IF($A12="","",IF(IF(G$2&lt;=$A$1,1,0),IF(G$4="休","",IF(COUNTIF(DATA!H:H,$A:$A)=0,"×","√")),""))</f>
        <v>√</v>
      </c>
      <c r="H12" s="34" t="str">
        <f ca="1">IF($A12="","",IF(IF(H$2&lt;=$A$1,1,0),IF(H$4="休","",IF(COUNTIF(DATA!I:I,$A:$A)=0,"×","√")),""))</f>
        <v>√</v>
      </c>
      <c r="I12" s="34" t="str">
        <f ca="1">IF($A12="","",IF(IF(I$2&lt;=$A$1,1,0),IF(I$4="休","",IF(COUNTIF(DATA!J:J,$A:$A)=0,"×","√")),""))</f>
        <v>√</v>
      </c>
      <c r="J12" s="34" t="str">
        <f ca="1">IF($A12="","",IF(IF(J$2&lt;=$A$1,1,0),IF(J$4="休","",IF(COUNTIF(DATA!K:K,$A:$A)=0,"×","√")),""))</f>
        <v>√</v>
      </c>
      <c r="K12" s="34" t="str">
        <f ca="1">IF($A12="","",IF(IF(K$2&lt;=$A$1,1,0),IF(K$4="休","",IF(COUNTIF(DATA!L:L,$A:$A)=0,"×","√")),""))</f>
        <v>√</v>
      </c>
      <c r="L12" s="34" t="str">
        <f ca="1">IF($A12="","",IF(IF(L$2&lt;=$A$1,1,0),IF(L$4="休","",IF(COUNTIF(DATA!M:M,$A:$A)=0,"×","√")),""))</f>
        <v>√</v>
      </c>
      <c r="M12" s="34" t="str">
        <f ca="1">IF($A12="","",IF(IF(M$2&lt;=$A$1,1,0),IF(M$4="休","",IF(COUNTIF(DATA!N:N,$A:$A)=0,"×","√")),""))</f>
        <v>√</v>
      </c>
      <c r="N12" s="34" t="str">
        <f ca="1">IF($A12="","",IF(IF(N$2&lt;=$A$1,1,0),IF(N$4="休","",IF(COUNTIF(DATA!O:O,$A:$A)=0,"×","√")),""))</f>
        <v>√</v>
      </c>
      <c r="O12" s="34" t="str">
        <f ca="1">IF($A12="","",IF(IF(O$2&lt;=$A$1,1,0),IF(O$4="休","",IF(COUNTIF(DATA!P:P,$A:$A)=0,"×","√")),""))</f>
        <v>×</v>
      </c>
      <c r="P12" s="34" t="str">
        <f ca="1">IF($A12="","",IF(IF(P$2&lt;=$A$1,1,0),IF(P$4="休","",IF(COUNTIF(DATA!Q:Q,$A:$A)=0,"×","√")),""))</f>
        <v/>
      </c>
      <c r="Q12" s="34" t="str">
        <f ca="1">IF($A12="","",IF(IF(Q$2&lt;=$A$1,1,0),IF(Q$4="休","",IF(COUNTIF(DATA!R:R,$A:$A)=0,"×","√")),""))</f>
        <v/>
      </c>
      <c r="R12" s="34" t="str">
        <f ca="1">IF($A12="","",IF(IF(R$2&lt;=$A$1,1,0),IF(R$4="休","",IF(COUNTIF(DATA!S:S,$A:$A)=0,"×","√")),""))</f>
        <v/>
      </c>
      <c r="S12" s="34" t="str">
        <f ca="1">IF($A12="","",IF(IF(S$2&lt;=$A$1,1,0),IF(S$4="休","",IF(COUNTIF(DATA!T:T,$A:$A)=0,"×","√")),""))</f>
        <v/>
      </c>
      <c r="T12" s="34" t="str">
        <f ca="1">IF($A12="","",IF(IF(T$2&lt;=$A$1,1,0),IF(T$4="休","",IF(COUNTIF(DATA!U:U,$A:$A)=0,"×","√")),""))</f>
        <v/>
      </c>
      <c r="U12" s="34" t="str">
        <f ca="1">IF($A12="","",IF(IF(U$2&lt;=$A$1,1,0),IF(U$4="休","",IF(COUNTIF(DATA!V:V,$A:$A)=0,"×","√")),""))</f>
        <v/>
      </c>
      <c r="V12" s="34" t="str">
        <f ca="1">IF($A12="","",IF(IF(V$2&lt;=$A$1,1,0),IF(V$4="休","",IF(COUNTIF(DATA!W:W,$A:$A)=0,"×","√")),""))</f>
        <v/>
      </c>
      <c r="W12" s="34" t="str">
        <f ca="1">IF($A12="","",IF(IF(W$2&lt;=$A$1,1,0),IF(W$4="休","",IF(COUNTIF(DATA!X:X,$A:$A)=0,"×","√")),""))</f>
        <v/>
      </c>
      <c r="X12" s="34" t="str">
        <f ca="1">IF($A12="","",IF(IF(X$2&lt;=$A$1,1,0),IF(X$4="休","",IF(COUNTIF(DATA!Y:Y,$A:$A)=0,"×","√")),""))</f>
        <v/>
      </c>
      <c r="Y12" s="34" t="str">
        <f ca="1">IF($A12="","",IF(IF(Y$2&lt;=$A$1,1,0),IF(Y$4="休","",IF(COUNTIF(DATA!Z:Z,$A:$A)=0,"×","√")),""))</f>
        <v/>
      </c>
      <c r="Z12" s="34" t="str">
        <f ca="1">IF($A12="","",IF(IF(Z$2&lt;=$A$1,1,0),IF(Z$4="休","",IF(COUNTIF(DATA!AA:AA,$A:$A)=0,"×","√")),""))</f>
        <v/>
      </c>
      <c r="AA12" s="34" t="str">
        <f ca="1">IF($A12="","",IF(IF(AA$2&lt;=$A$1,1,0),IF(AA$4="休","",IF(COUNTIF(DATA!AB:AB,$A:$A)=0,"×","√")),""))</f>
        <v/>
      </c>
      <c r="AB12" s="34" t="str">
        <f ca="1">IF($A12="","",IF(IF(AB$2&lt;=$A$1,1,0),IF(AB$4="休","",IF(COUNTIF(DATA!AC:AC,$A:$A)=0,"×","√")),""))</f>
        <v/>
      </c>
      <c r="AC12" s="34" t="str">
        <f ca="1">IF($A12="","",IF(IF(AC$2&lt;=$A$1,1,0),IF(AC$4="休","",IF(COUNTIF(DATA!AD:AD,$A:$A)=0,"×","√")),""))</f>
        <v/>
      </c>
      <c r="AD12" s="34" t="str">
        <f ca="1">IF($A12="","",IF(IF(AD$2&lt;=$A$1,1,0),IF(AD$4="休","",IF(COUNTIF(DATA!AE:AE,$A:$A)=0,"×","√")),""))</f>
        <v/>
      </c>
      <c r="AE12" s="34" t="str">
        <f ca="1">IF($A12="","",IF(IF(AE$2&lt;=$A$1,1,0),IF(AE$4="休","",IF(COUNTIF(DATA!AF:AF,$A:$A)=0,"×","√")),""))</f>
        <v/>
      </c>
      <c r="AF12" s="34" t="str">
        <f ca="1">IF($A12="","",IF(IF(AF$2&lt;=$A$1,1,0),IF(AF$4="休","",IF(COUNTIF(DATA!AG:AG,$A:$A)=0,"×","√")),""))</f>
        <v/>
      </c>
      <c r="AG12" s="34" t="str">
        <f ca="1">IF($A12="","",IF(IF(AG$2&lt;=$A$1,1,0),IF(AG$4="休","",IF(COUNTIF(DATA!AH:AH,$A:$A)=0,"×","√")),""))</f>
        <v/>
      </c>
      <c r="AH12" s="34" t="str">
        <f ca="1">IF($A12="","",IF(IF(AH$2&lt;=$A$1,1,0),IF(AH$4="休","",IF(COUNTIF(DATA!AI:AI,$A:$A)=0,"×","√")),""))</f>
        <v/>
      </c>
      <c r="AI12" s="34" t="str">
        <f ca="1">IF($A12="","",IF(IF(AI$2&lt;=$A$1,1,0),IF(AI$4="休","",IF(COUNTIF(DATA!AJ:AJ,$A:$A)=0,"×","√")),""))</f>
        <v/>
      </c>
      <c r="AJ12" s="34" t="str">
        <f ca="1">IF($A12="","",IF(IF(AJ$2&lt;=$A$1,1,0),IF(AJ$4="休","",IF(COUNTIF(DATA!AK:AK,$A:$A)=0,"×","√")),""))</f>
        <v/>
      </c>
      <c r="AK12" s="34" t="str">
        <f ca="1">IF($A12="","",IF(IF(AK$2&lt;=$A$1,1,0),IF(AK$4="休","",IF(COUNTIF(DATA!AL:AL,$A:$A)=0,"×","√")),""))</f>
        <v/>
      </c>
      <c r="AL12" s="34" t="str">
        <f ca="1">IF($A12="","",IF(IF(AL$2&lt;=$A$1,1,0),IF(AL$4="休","",IF(COUNTIF(DATA!AM:AM,$A:$A)=0,"×","√")),""))</f>
        <v/>
      </c>
      <c r="AM12" s="34" t="str">
        <f ca="1">IF($A12="","",IF(IF(AM$2&lt;=$A$1,1,0),IF(AM$4="休","",IF(COUNTIF(DATA!AN:AN,$A:$A)=0,"×","√")),""))</f>
        <v/>
      </c>
      <c r="AN12" s="34" t="str">
        <f ca="1">IF($A12="","",IF(IF(AN$2&lt;=$A$1,1,0),IF(AN$4="休","",IF(COUNTIF(DATA!AO:AO,$A:$A)=0,"×","√")),""))</f>
        <v/>
      </c>
      <c r="AO12" s="34" t="str">
        <f ca="1">IF($A12="","",IF(IF(AO$2&lt;=$A$1,1,0),IF(AO$4="休","",IF(COUNTIF(DATA!AP:AP,$A:$A)=0,"×","√")),""))</f>
        <v/>
      </c>
      <c r="AP12" s="34" t="str">
        <f ca="1">IF($A12="","",IF(IF(AP$2&lt;=$A$1,1,0),IF(AP$4="休","",IF(COUNTIF(DATA!AQ:AQ,$A:$A)=0,"×","√")),""))</f>
        <v/>
      </c>
      <c r="AQ12" s="34" t="str">
        <f ca="1">IF($A12="","",IF(IF(AQ$2&lt;=$A$1,1,0),IF(AQ$4="休","",IF(COUNTIF(DATA!AR:AR,$A:$A)=0,"×","√")),""))</f>
        <v/>
      </c>
      <c r="AR12" s="34" t="str">
        <f ca="1">IF($A12="","",IF(IF(AR$2&lt;=$A$1,1,0),IF(AR$4="休","",IF(COUNTIF(DATA!AS:AS,$A:$A)=0,"×","√")),""))</f>
        <v/>
      </c>
      <c r="AS12" s="34" t="str">
        <f ca="1">IF($A12="","",IF(IF(AS$2&lt;=$A$1,1,0),IF(AS$4="休","",IF(COUNTIF(DATA!AT:AT,$A:$A)=0,"×","√")),""))</f>
        <v/>
      </c>
      <c r="AT12" s="34" t="str">
        <f ca="1">IF($A12="","",IF(IF(AT$2&lt;=$A$1,1,0),IF(AT$4="休","",IF(COUNTIF(DATA!AU:AU,$A:$A)=0,"×","√")),""))</f>
        <v/>
      </c>
      <c r="AU12" s="34" t="str">
        <f ca="1">IF($A12="","",IF(IF(AU$2&lt;=$A$1,1,0),IF(AU$4="休","",IF(COUNTIF(DATA!AV:AV,$A:$A)=0,"×","√")),""))</f>
        <v/>
      </c>
      <c r="AV12" s="34" t="str">
        <f ca="1">IF($A12="","",IF(IF(AV$2&lt;=$A$1,1,0),IF(AV$4="休","",IF(COUNTIF(DATA!AW:AW,$A:$A)=0,"×","√")),""))</f>
        <v/>
      </c>
      <c r="AW12" s="34" t="str">
        <f ca="1">IF($A12="","",IF(IF(AW$2&lt;=$A$1,1,0),IF(AW$4="休","",IF(COUNTIF(DATA!AX:AX,$A:$A)=0,"×","√")),""))</f>
        <v/>
      </c>
      <c r="AX12" s="34" t="str">
        <f ca="1">IF($A12="","",IF(IF(AX$2&lt;=$A$1,1,0),IF(AX$4="休","",IF(COUNTIF(DATA!AY:AY,$A:$A)=0,"×","√")),""))</f>
        <v/>
      </c>
      <c r="AY12" s="34" t="str">
        <f ca="1">IF($A12="","",IF(IF(AY$2&lt;=$A$1,1,0),IF(AY$4="休","",IF(COUNTIF(DATA!AZ:AZ,$A:$A)=0,"×","√")),""))</f>
        <v/>
      </c>
      <c r="AZ12" s="34" t="str">
        <f ca="1">IF($A12="","",IF(IF(AZ$2&lt;=$A$1,1,0),IF(AZ$4="休","",IF(COUNTIF(DATA!BA:BA,$A:$A)=0,"×","√")),""))</f>
        <v/>
      </c>
      <c r="BA12" s="34" t="str">
        <f ca="1">IF($A12="","",IF(IF(BA$2&lt;=$A$1,1,0),IF(BA$4="休","",IF(COUNTIF(DATA!BB:BB,$A:$A)=0,"×","√")),""))</f>
        <v/>
      </c>
      <c r="BB12" s="34" t="str">
        <f ca="1">IF($A12="","",IF(IF(BB$2&lt;=$A$1,1,0),IF(BB$4="休","",IF(COUNTIF(DATA!BC:BC,$A:$A)=0,"×","√")),""))</f>
        <v/>
      </c>
      <c r="BC12" s="34" t="str">
        <f ca="1">IF($A12="","",IF(IF(BC$2&lt;=$A$1,1,0),IF(BC$4="休","",IF(COUNTIF(DATA!BD:BD,$A:$A)=0,"×","√")),""))</f>
        <v/>
      </c>
      <c r="BD12" s="34" t="str">
        <f ca="1">IF($A12="","",IF(IF(BD$2&lt;=$A$1,1,0),IF(BD$4="休","",IF(COUNTIF(DATA!BE:BE,$A:$A)=0,"×","√")),""))</f>
        <v/>
      </c>
      <c r="BE12" s="34" t="str">
        <f ca="1">IF($A12="","",IF(IF(BE$2&lt;=$A$1,1,0),IF(BE$4="休","",IF(COUNTIF(DATA!BF:BF,$A:$A)=0,"×","√")),""))</f>
        <v/>
      </c>
      <c r="BF12" s="34" t="str">
        <f ca="1">IF($A12="","",IF(IF(BF$2&lt;=$A$1,1,0),IF(BF$4="休","",IF(COUNTIF(DATA!BG:BG,$A:$A)=0,"×","√")),""))</f>
        <v/>
      </c>
      <c r="BG12" s="34" t="str">
        <f ca="1">IF($A12="","",IF(IF(BG$2&lt;=$A$1,1,0),IF(BG$4="休","",IF(COUNTIF(DATA!BH:BH,$A:$A)=0,"×","√")),""))</f>
        <v/>
      </c>
      <c r="BH12" s="34" t="str">
        <f ca="1">IF($A12="","",IF(IF(BH$2&lt;=$A$1,1,0),IF(BH$4="休","",IF(COUNTIF(DATA!BI:BI,$A:$A)=0,"×","√")),""))</f>
        <v/>
      </c>
      <c r="BI12" s="34" t="str">
        <f ca="1">IF($A12="","",IF(IF(BI$2&lt;=$A$1,1,0),IF(BI$4="休","",IF(COUNTIF(DATA!BJ:BJ,$A:$A)=0,"×","√")),""))</f>
        <v/>
      </c>
      <c r="BJ12" s="34" t="str">
        <f ca="1">IF($A12="","",IF(IF(BJ$2&lt;=$A$1,1,0),IF(BJ$4="休","",IF(COUNTIF(DATA!BK:BK,$A:$A)=0,"×","√")),""))</f>
        <v/>
      </c>
      <c r="BK12" s="34" t="str">
        <f ca="1">IF($A12="","",IF(IF(BK$2&lt;=$A$1,1,0),IF(BK$4="休","",IF(COUNTIF(DATA!BL:BL,$A:$A)=0,"×","√")),""))</f>
        <v/>
      </c>
      <c r="BL12" s="34" t="str">
        <f ca="1">IF($A12="","",IF(IF(BL$2&lt;=$A$1,1,0),IF(BL$4="休","",IF(COUNTIF(DATA!BM:BM,$A:$A)=0,"×","√")),""))</f>
        <v/>
      </c>
      <c r="BM12" s="34" t="str">
        <f ca="1">IF($A12="","",IF(IF(BM$2&lt;=$A$1,1,0),IF(BM$4="休","",IF(COUNTIF(DATA!BN:BN,$A:$A)=0,"×","√")),""))</f>
        <v/>
      </c>
      <c r="BN12" s="34" t="str">
        <f ca="1">IF($A12="","",IF(IF(BN$2&lt;=$A$1,1,0),IF(BN$4="休","",IF(COUNTIF(DATA!BO:BO,$A:$A)=0,"×","√")),""))</f>
        <v/>
      </c>
      <c r="BO12" s="34" t="str">
        <f ca="1">IF($A12="","",IF(IF(BO$2&lt;=$A$1,1,0),IF(BO$4="休","",IF(COUNTIF(DATA!BP:BP,$A:$A)=0,"×","√")),""))</f>
        <v/>
      </c>
      <c r="BP12" s="34" t="str">
        <f ca="1">IF($A12="","",IF(IF(BP$2&lt;=$A$1,1,0),IF(BP$4="休","",IF(COUNTIF(DATA!BQ:BQ,$A:$A)=0,"×","√")),""))</f>
        <v/>
      </c>
      <c r="BQ12" s="34" t="str">
        <f ca="1">IF($A12="","",IF(IF(BQ$2&lt;=$A$1,1,0),IF(BQ$4="休","",IF(COUNTIF(DATA!BR:BR,$A:$A)=0,"×","√")),""))</f>
        <v/>
      </c>
      <c r="BR12" s="34" t="str">
        <f ca="1">IF($A12="","",IF(IF(BR$2&lt;=$A$1,1,0),IF(BR$4="休","",IF(COUNTIF(DATA!BS:BS,$A:$A)=0,"×","√")),""))</f>
        <v/>
      </c>
      <c r="BS12" s="34" t="str">
        <f ca="1">IF($A12="","",IF(IF(BS$2&lt;=$A$1,1,0),IF(BS$4="休","",IF(COUNTIF(DATA!BT:BT,$A:$A)=0,"×","√")),""))</f>
        <v/>
      </c>
      <c r="BT12" s="34" t="str">
        <f ca="1">IF($A12="","",IF(IF(BT$2&lt;=$A$1,1,0),IF(BT$4="休","",IF(COUNTIF(DATA!BU:BU,$A:$A)=0,"×","√")),""))</f>
        <v/>
      </c>
      <c r="BU12" s="34" t="str">
        <f ca="1">IF($A12="","",IF(IF(BU$2&lt;=$A$1,1,0),IF(BU$4="休","",IF(COUNTIF(DATA!BV:BV,$A:$A)=0,"×","√")),""))</f>
        <v/>
      </c>
      <c r="BV12" s="34" t="str">
        <f ca="1">IF($A12="","",IF(IF(BV$2&lt;=$A$1,1,0),IF(BV$4="休","",IF(COUNTIF(DATA!BW:BW,$A:$A)=0,"×","√")),""))</f>
        <v/>
      </c>
      <c r="BW12" s="34" t="str">
        <f ca="1">IF($A12="","",IF(IF(BW$2&lt;=$A$1,1,0),IF(BW$4="休","",IF(COUNTIF(DATA!BX:BX,$A:$A)=0,"×","√")),""))</f>
        <v/>
      </c>
      <c r="BX12" s="34" t="str">
        <f ca="1">IF($A12="","",IF(IF(BX$2&lt;=$A$1,1,0),IF(BX$4="休","",IF(COUNTIF(DATA!BY:BY,$A:$A)=0,"×","√")),""))</f>
        <v/>
      </c>
      <c r="BY12" s="34" t="str">
        <f ca="1">IF($A12="","",IF(IF(BY$2&lt;=$A$1,1,0),IF(BY$4="休","",IF(COUNTIF(DATA!BZ:BZ,$A:$A)=0,"×","√")),""))</f>
        <v/>
      </c>
      <c r="BZ12" s="34" t="str">
        <f ca="1">IF($A12="","",IF(IF(BZ$2&lt;=$A$1,1,0),IF(BZ$4="休","",IF(COUNTIF(DATA!CA:CA,$A:$A)=0,"×","√")),""))</f>
        <v/>
      </c>
      <c r="CA12" s="34" t="str">
        <f ca="1">IF($A12="","",IF(IF(CA$2&lt;=$A$1,1,0),IF(CA$4="休","",IF(COUNTIF(DATA!CB:CB,$A:$A)=0,"×","√")),""))</f>
        <v/>
      </c>
      <c r="CB12" s="34" t="str">
        <f ca="1">IF($A12="","",IF(IF(CB$2&lt;=$A$1,1,0),IF(CB$4="休","",IF(COUNTIF(DATA!CC:CC,$A:$A)=0,"×","√")),""))</f>
        <v/>
      </c>
      <c r="CC12" s="34" t="str">
        <f ca="1">IF($A12="","",IF(IF(CC$2&lt;=$A$1,1,0),IF(CC$4="休","",IF(COUNTIF(DATA!CD:CD,$A:$A)=0,"×","√")),""))</f>
        <v/>
      </c>
      <c r="CD12" s="34" t="str">
        <f ca="1">IF($A12="","",IF(IF(CD$2&lt;=$A$1,1,0),IF(CD$4="休","",IF(COUNTIF(DATA!CE:CE,$A:$A)=0,"×","√")),""))</f>
        <v/>
      </c>
      <c r="CE12" s="34" t="str">
        <f ca="1">IF($A12="","",IF(IF(CE$2&lt;=$A$1,1,0),IF(CE$4="休","",IF(COUNTIF(DATA!CF:CF,$A:$A)=0,"×","√")),""))</f>
        <v/>
      </c>
      <c r="CF12" s="34" t="str">
        <f ca="1">IF($A12="","",IF(IF(CF$2&lt;=$A$1,1,0),IF(CF$4="休","",IF(COUNTIF(DATA!CG:CG,$A:$A)=0,"×","√")),""))</f>
        <v/>
      </c>
      <c r="CG12" s="34" t="str">
        <f ca="1">IF($A12="","",IF(IF(CG$2&lt;=$A$1,1,0),IF(CG$4="休","",IF(COUNTIF(DATA!CH:CH,$A:$A)=0,"×","√")),""))</f>
        <v/>
      </c>
      <c r="CH12" s="34" t="str">
        <f ca="1">IF($A12="","",IF(IF(CH$2&lt;=$A$1,1,0),IF(CH$4="休","",IF(COUNTIF(DATA!CI:CI,$A:$A)=0,"×","√")),""))</f>
        <v/>
      </c>
      <c r="CI12" s="34" t="str">
        <f ca="1">IF($A12="","",IF(IF(CI$2&lt;=$A$1,1,0),IF(CI$4="休","",IF(COUNTIF(DATA!CJ:CJ,$A:$A)=0,"×","√")),""))</f>
        <v/>
      </c>
      <c r="CJ12" s="34" t="str">
        <f ca="1">IF($A12="","",IF(IF(CJ$2&lt;=$A$1,1,0),IF(CJ$4="休","",IF(COUNTIF(DATA!CK:CK,$A:$A)=0,"×","√")),""))</f>
        <v/>
      </c>
      <c r="CK12" s="34" t="str">
        <f ca="1">IF($A12="","",IF(IF(CK$2&lt;=$A$1,1,0),IF(CK$4="休","",IF(COUNTIF(DATA!CL:CL,$A:$A)=0,"×","√")),""))</f>
        <v/>
      </c>
      <c r="CL12" s="34" t="str">
        <f ca="1">IF($A12="","",IF(IF(CL$2&lt;=$A$1,1,0),IF(CL$4="休","",IF(COUNTIF(DATA!CM:CM,$A:$A)=0,"×","√")),""))</f>
        <v/>
      </c>
      <c r="CM12" s="34" t="str">
        <f ca="1">IF($A12="","",IF(IF(CM$2&lt;=$A$1,1,0),IF(CM$4="休","",IF(COUNTIF(DATA!CN:CN,$A:$A)=0,"×","√")),""))</f>
        <v/>
      </c>
      <c r="CN12" s="34" t="str">
        <f ca="1">IF($A12="","",IF(IF(CN$2&lt;=$A$1,1,0),IF(CN$4="休","",IF(COUNTIF(DATA!CO:CO,$A:$A)=0,"×","√")),""))</f>
        <v/>
      </c>
      <c r="CO12" s="34" t="str">
        <f ca="1">IF($A12="","",IF(IF(CO$2&lt;=$A$1,1,0),IF(CO$4="休","",IF(COUNTIF(DATA!CP:CP,$A:$A)=0,"×","√")),""))</f>
        <v/>
      </c>
      <c r="CP12" s="34" t="str">
        <f ca="1">IF($A12="","",IF(IF(CP$2&lt;=$A$1,1,0),IF(CP$4="休","",IF(COUNTIF(DATA!CQ:CQ,$A:$A)=0,"×","√")),""))</f>
        <v/>
      </c>
      <c r="CQ12" s="34" t="str">
        <f ca="1">IF($A12="","",IF(IF(CQ$2&lt;=$A$1,1,0),IF(CQ$4="休","",IF(COUNTIF(DATA!CR:CR,$A:$A)=0,"×","√")),""))</f>
        <v/>
      </c>
      <c r="CR12" s="34" t="str">
        <f ca="1">IF($A12="","",IF(IF(CR$2&lt;=$A$1,1,0),IF(CR$4="休","",IF(COUNTIF(DATA!CS:CS,$A:$A)=0,"×","√")),""))</f>
        <v/>
      </c>
    </row>
    <row r="13" s="28" customFormat="1" ht="18.75" spans="1:96">
      <c r="A13" s="34" t="str">
        <f>DATA!$A12&amp;""</f>
        <v>黄锐</v>
      </c>
      <c r="B13" s="34" t="str">
        <f ca="1">IF($A13="","",IF(IF(B$2&lt;=$A$1,1,0),IF(B$4="休","",IF(COUNTIF(DATA!C:C,$A:$A)=0,"×","√")),""))</f>
        <v>√</v>
      </c>
      <c r="C13" s="34" t="str">
        <f ca="1">IF($A13="","",IF(IF(C$2&lt;=$A$1,1,0),IF(C$4="休","",IF(COUNTIF(DATA!D:D,$A:$A)=0,"×","√")),""))</f>
        <v>√</v>
      </c>
      <c r="D13" s="34" t="str">
        <f ca="1">IF($A13="","",IF(IF(D$2&lt;=$A$1,1,0),IF(D$4="休","",IF(COUNTIF(DATA!E:E,$A:$A)=0,"×","√")),""))</f>
        <v>√</v>
      </c>
      <c r="E13" s="34" t="str">
        <f ca="1">IF($A13="","",IF(IF(E$2&lt;=$A$1,1,0),IF(E$4="休","",IF(COUNTIF(DATA!F:F,$A:$A)=0,"×","√")),""))</f>
        <v>√</v>
      </c>
      <c r="F13" s="34" t="str">
        <f ca="1">IF($A13="","",IF(IF(F$2&lt;=$A$1,1,0),IF(F$4="休","",IF(COUNTIF(DATA!G:G,$A:$A)=0,"×","√")),""))</f>
        <v>√</v>
      </c>
      <c r="G13" s="34" t="str">
        <f ca="1">IF($A13="","",IF(IF(G$2&lt;=$A$1,1,0),IF(G$4="休","",IF(COUNTIF(DATA!H:H,$A:$A)=0,"×","√")),""))</f>
        <v>√</v>
      </c>
      <c r="H13" s="34" t="str">
        <f ca="1">IF($A13="","",IF(IF(H$2&lt;=$A$1,1,0),IF(H$4="休","",IF(COUNTIF(DATA!I:I,$A:$A)=0,"×","√")),""))</f>
        <v>√</v>
      </c>
      <c r="I13" s="34" t="str">
        <f ca="1">IF($A13="","",IF(IF(I$2&lt;=$A$1,1,0),IF(I$4="休","",IF(COUNTIF(DATA!J:J,$A:$A)=0,"×","√")),""))</f>
        <v>√</v>
      </c>
      <c r="J13" s="34" t="str">
        <f ca="1">IF($A13="","",IF(IF(J$2&lt;=$A$1,1,0),IF(J$4="休","",IF(COUNTIF(DATA!K:K,$A:$A)=0,"×","√")),""))</f>
        <v>√</v>
      </c>
      <c r="K13" s="34" t="str">
        <f ca="1">IF($A13="","",IF(IF(K$2&lt;=$A$1,1,0),IF(K$4="休","",IF(COUNTIF(DATA!L:L,$A:$A)=0,"×","√")),""))</f>
        <v>√</v>
      </c>
      <c r="L13" s="34" t="str">
        <f ca="1">IF($A13="","",IF(IF(L$2&lt;=$A$1,1,0),IF(L$4="休","",IF(COUNTIF(DATA!M:M,$A:$A)=0,"×","√")),""))</f>
        <v>√</v>
      </c>
      <c r="M13" s="34" t="str">
        <f ca="1">IF($A13="","",IF(IF(M$2&lt;=$A$1,1,0),IF(M$4="休","",IF(COUNTIF(DATA!N:N,$A:$A)=0,"×","√")),""))</f>
        <v>√</v>
      </c>
      <c r="N13" s="34" t="str">
        <f ca="1">IF($A13="","",IF(IF(N$2&lt;=$A$1,1,0),IF(N$4="休","",IF(COUNTIF(DATA!O:O,$A:$A)=0,"×","√")),""))</f>
        <v>√</v>
      </c>
      <c r="O13" s="34" t="str">
        <f ca="1">IF($A13="","",IF(IF(O$2&lt;=$A$1,1,0),IF(O$4="休","",IF(COUNTIF(DATA!P:P,$A:$A)=0,"×","√")),""))</f>
        <v>×</v>
      </c>
      <c r="P13" s="34" t="str">
        <f ca="1">IF($A13="","",IF(IF(P$2&lt;=$A$1,1,0),IF(P$4="休","",IF(COUNTIF(DATA!Q:Q,$A:$A)=0,"×","√")),""))</f>
        <v/>
      </c>
      <c r="Q13" s="34" t="str">
        <f ca="1">IF($A13="","",IF(IF(Q$2&lt;=$A$1,1,0),IF(Q$4="休","",IF(COUNTIF(DATA!R:R,$A:$A)=0,"×","√")),""))</f>
        <v/>
      </c>
      <c r="R13" s="34" t="str">
        <f ca="1">IF($A13="","",IF(IF(R$2&lt;=$A$1,1,0),IF(R$4="休","",IF(COUNTIF(DATA!S:S,$A:$A)=0,"×","√")),""))</f>
        <v/>
      </c>
      <c r="S13" s="34" t="str">
        <f ca="1">IF($A13="","",IF(IF(S$2&lt;=$A$1,1,0),IF(S$4="休","",IF(COUNTIF(DATA!T:T,$A:$A)=0,"×","√")),""))</f>
        <v/>
      </c>
      <c r="T13" s="34" t="str">
        <f ca="1">IF($A13="","",IF(IF(T$2&lt;=$A$1,1,0),IF(T$4="休","",IF(COUNTIF(DATA!U:U,$A:$A)=0,"×","√")),""))</f>
        <v/>
      </c>
      <c r="U13" s="34" t="str">
        <f ca="1">IF($A13="","",IF(IF(U$2&lt;=$A$1,1,0),IF(U$4="休","",IF(COUNTIF(DATA!V:V,$A:$A)=0,"×","√")),""))</f>
        <v/>
      </c>
      <c r="V13" s="34" t="str">
        <f ca="1">IF($A13="","",IF(IF(V$2&lt;=$A$1,1,0),IF(V$4="休","",IF(COUNTIF(DATA!W:W,$A:$A)=0,"×","√")),""))</f>
        <v/>
      </c>
      <c r="W13" s="34" t="str">
        <f ca="1">IF($A13="","",IF(IF(W$2&lt;=$A$1,1,0),IF(W$4="休","",IF(COUNTIF(DATA!X:X,$A:$A)=0,"×","√")),""))</f>
        <v/>
      </c>
      <c r="X13" s="34" t="str">
        <f ca="1">IF($A13="","",IF(IF(X$2&lt;=$A$1,1,0),IF(X$4="休","",IF(COUNTIF(DATA!Y:Y,$A:$A)=0,"×","√")),""))</f>
        <v/>
      </c>
      <c r="Y13" s="34" t="str">
        <f ca="1">IF($A13="","",IF(IF(Y$2&lt;=$A$1,1,0),IF(Y$4="休","",IF(COUNTIF(DATA!Z:Z,$A:$A)=0,"×","√")),""))</f>
        <v/>
      </c>
      <c r="Z13" s="34" t="str">
        <f ca="1">IF($A13="","",IF(IF(Z$2&lt;=$A$1,1,0),IF(Z$4="休","",IF(COUNTIF(DATA!AA:AA,$A:$A)=0,"×","√")),""))</f>
        <v/>
      </c>
      <c r="AA13" s="34" t="str">
        <f ca="1">IF($A13="","",IF(IF(AA$2&lt;=$A$1,1,0),IF(AA$4="休","",IF(COUNTIF(DATA!AB:AB,$A:$A)=0,"×","√")),""))</f>
        <v/>
      </c>
      <c r="AB13" s="34" t="str">
        <f ca="1">IF($A13="","",IF(IF(AB$2&lt;=$A$1,1,0),IF(AB$4="休","",IF(COUNTIF(DATA!AC:AC,$A:$A)=0,"×","√")),""))</f>
        <v/>
      </c>
      <c r="AC13" s="34" t="str">
        <f ca="1">IF($A13="","",IF(IF(AC$2&lt;=$A$1,1,0),IF(AC$4="休","",IF(COUNTIF(DATA!AD:AD,$A:$A)=0,"×","√")),""))</f>
        <v/>
      </c>
      <c r="AD13" s="34" t="str">
        <f ca="1">IF($A13="","",IF(IF(AD$2&lt;=$A$1,1,0),IF(AD$4="休","",IF(COUNTIF(DATA!AE:AE,$A:$A)=0,"×","√")),""))</f>
        <v/>
      </c>
      <c r="AE13" s="34" t="str">
        <f ca="1">IF($A13="","",IF(IF(AE$2&lt;=$A$1,1,0),IF(AE$4="休","",IF(COUNTIF(DATA!AF:AF,$A:$A)=0,"×","√")),""))</f>
        <v/>
      </c>
      <c r="AF13" s="34" t="str">
        <f ca="1">IF($A13="","",IF(IF(AF$2&lt;=$A$1,1,0),IF(AF$4="休","",IF(COUNTIF(DATA!AG:AG,$A:$A)=0,"×","√")),""))</f>
        <v/>
      </c>
      <c r="AG13" s="34" t="str">
        <f ca="1">IF($A13="","",IF(IF(AG$2&lt;=$A$1,1,0),IF(AG$4="休","",IF(COUNTIF(DATA!AH:AH,$A:$A)=0,"×","√")),""))</f>
        <v/>
      </c>
      <c r="AH13" s="34" t="str">
        <f ca="1">IF($A13="","",IF(IF(AH$2&lt;=$A$1,1,0),IF(AH$4="休","",IF(COUNTIF(DATA!AI:AI,$A:$A)=0,"×","√")),""))</f>
        <v/>
      </c>
      <c r="AI13" s="34" t="str">
        <f ca="1">IF($A13="","",IF(IF(AI$2&lt;=$A$1,1,0),IF(AI$4="休","",IF(COUNTIF(DATA!AJ:AJ,$A:$A)=0,"×","√")),""))</f>
        <v/>
      </c>
      <c r="AJ13" s="34" t="str">
        <f ca="1">IF($A13="","",IF(IF(AJ$2&lt;=$A$1,1,0),IF(AJ$4="休","",IF(COUNTIF(DATA!AK:AK,$A:$A)=0,"×","√")),""))</f>
        <v/>
      </c>
      <c r="AK13" s="34" t="str">
        <f ca="1">IF($A13="","",IF(IF(AK$2&lt;=$A$1,1,0),IF(AK$4="休","",IF(COUNTIF(DATA!AL:AL,$A:$A)=0,"×","√")),""))</f>
        <v/>
      </c>
      <c r="AL13" s="34" t="str">
        <f ca="1">IF($A13="","",IF(IF(AL$2&lt;=$A$1,1,0),IF(AL$4="休","",IF(COUNTIF(DATA!AM:AM,$A:$A)=0,"×","√")),""))</f>
        <v/>
      </c>
      <c r="AM13" s="34" t="str">
        <f ca="1">IF($A13="","",IF(IF(AM$2&lt;=$A$1,1,0),IF(AM$4="休","",IF(COUNTIF(DATA!AN:AN,$A:$A)=0,"×","√")),""))</f>
        <v/>
      </c>
      <c r="AN13" s="34" t="str">
        <f ca="1">IF($A13="","",IF(IF(AN$2&lt;=$A$1,1,0),IF(AN$4="休","",IF(COUNTIF(DATA!AO:AO,$A:$A)=0,"×","√")),""))</f>
        <v/>
      </c>
      <c r="AO13" s="34" t="str">
        <f ca="1">IF($A13="","",IF(IF(AO$2&lt;=$A$1,1,0),IF(AO$4="休","",IF(COUNTIF(DATA!AP:AP,$A:$A)=0,"×","√")),""))</f>
        <v/>
      </c>
      <c r="AP13" s="34" t="str">
        <f ca="1">IF($A13="","",IF(IF(AP$2&lt;=$A$1,1,0),IF(AP$4="休","",IF(COUNTIF(DATA!AQ:AQ,$A:$A)=0,"×","√")),""))</f>
        <v/>
      </c>
      <c r="AQ13" s="34" t="str">
        <f ca="1">IF($A13="","",IF(IF(AQ$2&lt;=$A$1,1,0),IF(AQ$4="休","",IF(COUNTIF(DATA!AR:AR,$A:$A)=0,"×","√")),""))</f>
        <v/>
      </c>
      <c r="AR13" s="34" t="str">
        <f ca="1">IF($A13="","",IF(IF(AR$2&lt;=$A$1,1,0),IF(AR$4="休","",IF(COUNTIF(DATA!AS:AS,$A:$A)=0,"×","√")),""))</f>
        <v/>
      </c>
      <c r="AS13" s="34" t="str">
        <f ca="1">IF($A13="","",IF(IF(AS$2&lt;=$A$1,1,0),IF(AS$4="休","",IF(COUNTIF(DATA!AT:AT,$A:$A)=0,"×","√")),""))</f>
        <v/>
      </c>
      <c r="AT13" s="34" t="str">
        <f ca="1">IF($A13="","",IF(IF(AT$2&lt;=$A$1,1,0),IF(AT$4="休","",IF(COUNTIF(DATA!AU:AU,$A:$A)=0,"×","√")),""))</f>
        <v/>
      </c>
      <c r="AU13" s="34" t="str">
        <f ca="1">IF($A13="","",IF(IF(AU$2&lt;=$A$1,1,0),IF(AU$4="休","",IF(COUNTIF(DATA!AV:AV,$A:$A)=0,"×","√")),""))</f>
        <v/>
      </c>
      <c r="AV13" s="34" t="str">
        <f ca="1">IF($A13="","",IF(IF(AV$2&lt;=$A$1,1,0),IF(AV$4="休","",IF(COUNTIF(DATA!AW:AW,$A:$A)=0,"×","√")),""))</f>
        <v/>
      </c>
      <c r="AW13" s="34" t="str">
        <f ca="1">IF($A13="","",IF(IF(AW$2&lt;=$A$1,1,0),IF(AW$4="休","",IF(COUNTIF(DATA!AX:AX,$A:$A)=0,"×","√")),""))</f>
        <v/>
      </c>
      <c r="AX13" s="34" t="str">
        <f ca="1">IF($A13="","",IF(IF(AX$2&lt;=$A$1,1,0),IF(AX$4="休","",IF(COUNTIF(DATA!AY:AY,$A:$A)=0,"×","√")),""))</f>
        <v/>
      </c>
      <c r="AY13" s="34" t="str">
        <f ca="1">IF($A13="","",IF(IF(AY$2&lt;=$A$1,1,0),IF(AY$4="休","",IF(COUNTIF(DATA!AZ:AZ,$A:$A)=0,"×","√")),""))</f>
        <v/>
      </c>
      <c r="AZ13" s="34" t="str">
        <f ca="1">IF($A13="","",IF(IF(AZ$2&lt;=$A$1,1,0),IF(AZ$4="休","",IF(COUNTIF(DATA!BA:BA,$A:$A)=0,"×","√")),""))</f>
        <v/>
      </c>
      <c r="BA13" s="34" t="str">
        <f ca="1">IF($A13="","",IF(IF(BA$2&lt;=$A$1,1,0),IF(BA$4="休","",IF(COUNTIF(DATA!BB:BB,$A:$A)=0,"×","√")),""))</f>
        <v/>
      </c>
      <c r="BB13" s="34" t="str">
        <f ca="1">IF($A13="","",IF(IF(BB$2&lt;=$A$1,1,0),IF(BB$4="休","",IF(COUNTIF(DATA!BC:BC,$A:$A)=0,"×","√")),""))</f>
        <v/>
      </c>
      <c r="BC13" s="34" t="str">
        <f ca="1">IF($A13="","",IF(IF(BC$2&lt;=$A$1,1,0),IF(BC$4="休","",IF(COUNTIF(DATA!BD:BD,$A:$A)=0,"×","√")),""))</f>
        <v/>
      </c>
      <c r="BD13" s="34" t="str">
        <f ca="1">IF($A13="","",IF(IF(BD$2&lt;=$A$1,1,0),IF(BD$4="休","",IF(COUNTIF(DATA!BE:BE,$A:$A)=0,"×","√")),""))</f>
        <v/>
      </c>
      <c r="BE13" s="34" t="str">
        <f ca="1">IF($A13="","",IF(IF(BE$2&lt;=$A$1,1,0),IF(BE$4="休","",IF(COUNTIF(DATA!BF:BF,$A:$A)=0,"×","√")),""))</f>
        <v/>
      </c>
      <c r="BF13" s="34" t="str">
        <f ca="1">IF($A13="","",IF(IF(BF$2&lt;=$A$1,1,0),IF(BF$4="休","",IF(COUNTIF(DATA!BG:BG,$A:$A)=0,"×","√")),""))</f>
        <v/>
      </c>
      <c r="BG13" s="34" t="str">
        <f ca="1">IF($A13="","",IF(IF(BG$2&lt;=$A$1,1,0),IF(BG$4="休","",IF(COUNTIF(DATA!BH:BH,$A:$A)=0,"×","√")),""))</f>
        <v/>
      </c>
      <c r="BH13" s="34" t="str">
        <f ca="1">IF($A13="","",IF(IF(BH$2&lt;=$A$1,1,0),IF(BH$4="休","",IF(COUNTIF(DATA!BI:BI,$A:$A)=0,"×","√")),""))</f>
        <v/>
      </c>
      <c r="BI13" s="34" t="str">
        <f ca="1">IF($A13="","",IF(IF(BI$2&lt;=$A$1,1,0),IF(BI$4="休","",IF(COUNTIF(DATA!BJ:BJ,$A:$A)=0,"×","√")),""))</f>
        <v/>
      </c>
      <c r="BJ13" s="34" t="str">
        <f ca="1">IF($A13="","",IF(IF(BJ$2&lt;=$A$1,1,0),IF(BJ$4="休","",IF(COUNTIF(DATA!BK:BK,$A:$A)=0,"×","√")),""))</f>
        <v/>
      </c>
      <c r="BK13" s="34" t="str">
        <f ca="1">IF($A13="","",IF(IF(BK$2&lt;=$A$1,1,0),IF(BK$4="休","",IF(COUNTIF(DATA!BL:BL,$A:$A)=0,"×","√")),""))</f>
        <v/>
      </c>
      <c r="BL13" s="34" t="str">
        <f ca="1">IF($A13="","",IF(IF(BL$2&lt;=$A$1,1,0),IF(BL$4="休","",IF(COUNTIF(DATA!BM:BM,$A:$A)=0,"×","√")),""))</f>
        <v/>
      </c>
      <c r="BM13" s="34" t="str">
        <f ca="1">IF($A13="","",IF(IF(BM$2&lt;=$A$1,1,0),IF(BM$4="休","",IF(COUNTIF(DATA!BN:BN,$A:$A)=0,"×","√")),""))</f>
        <v/>
      </c>
      <c r="BN13" s="34" t="str">
        <f ca="1">IF($A13="","",IF(IF(BN$2&lt;=$A$1,1,0),IF(BN$4="休","",IF(COUNTIF(DATA!BO:BO,$A:$A)=0,"×","√")),""))</f>
        <v/>
      </c>
      <c r="BO13" s="34" t="str">
        <f ca="1">IF($A13="","",IF(IF(BO$2&lt;=$A$1,1,0),IF(BO$4="休","",IF(COUNTIF(DATA!BP:BP,$A:$A)=0,"×","√")),""))</f>
        <v/>
      </c>
      <c r="BP13" s="34" t="str">
        <f ca="1">IF($A13="","",IF(IF(BP$2&lt;=$A$1,1,0),IF(BP$4="休","",IF(COUNTIF(DATA!BQ:BQ,$A:$A)=0,"×","√")),""))</f>
        <v/>
      </c>
      <c r="BQ13" s="34" t="str">
        <f ca="1">IF($A13="","",IF(IF(BQ$2&lt;=$A$1,1,0),IF(BQ$4="休","",IF(COUNTIF(DATA!BR:BR,$A:$A)=0,"×","√")),""))</f>
        <v/>
      </c>
      <c r="BR13" s="34" t="str">
        <f ca="1">IF($A13="","",IF(IF(BR$2&lt;=$A$1,1,0),IF(BR$4="休","",IF(COUNTIF(DATA!BS:BS,$A:$A)=0,"×","√")),""))</f>
        <v/>
      </c>
      <c r="BS13" s="34" t="str">
        <f ca="1">IF($A13="","",IF(IF(BS$2&lt;=$A$1,1,0),IF(BS$4="休","",IF(COUNTIF(DATA!BT:BT,$A:$A)=0,"×","√")),""))</f>
        <v/>
      </c>
      <c r="BT13" s="34" t="str">
        <f ca="1">IF($A13="","",IF(IF(BT$2&lt;=$A$1,1,0),IF(BT$4="休","",IF(COUNTIF(DATA!BU:BU,$A:$A)=0,"×","√")),""))</f>
        <v/>
      </c>
      <c r="BU13" s="34" t="str">
        <f ca="1">IF($A13="","",IF(IF(BU$2&lt;=$A$1,1,0),IF(BU$4="休","",IF(COUNTIF(DATA!BV:BV,$A:$A)=0,"×","√")),""))</f>
        <v/>
      </c>
      <c r="BV13" s="34" t="str">
        <f ca="1">IF($A13="","",IF(IF(BV$2&lt;=$A$1,1,0),IF(BV$4="休","",IF(COUNTIF(DATA!BW:BW,$A:$A)=0,"×","√")),""))</f>
        <v/>
      </c>
      <c r="BW13" s="34" t="str">
        <f ca="1">IF($A13="","",IF(IF(BW$2&lt;=$A$1,1,0),IF(BW$4="休","",IF(COUNTIF(DATA!BX:BX,$A:$A)=0,"×","√")),""))</f>
        <v/>
      </c>
      <c r="BX13" s="34" t="str">
        <f ca="1">IF($A13="","",IF(IF(BX$2&lt;=$A$1,1,0),IF(BX$4="休","",IF(COUNTIF(DATA!BY:BY,$A:$A)=0,"×","√")),""))</f>
        <v/>
      </c>
      <c r="BY13" s="34" t="str">
        <f ca="1">IF($A13="","",IF(IF(BY$2&lt;=$A$1,1,0),IF(BY$4="休","",IF(COUNTIF(DATA!BZ:BZ,$A:$A)=0,"×","√")),""))</f>
        <v/>
      </c>
      <c r="BZ13" s="34" t="str">
        <f ca="1">IF($A13="","",IF(IF(BZ$2&lt;=$A$1,1,0),IF(BZ$4="休","",IF(COUNTIF(DATA!CA:CA,$A:$A)=0,"×","√")),""))</f>
        <v/>
      </c>
      <c r="CA13" s="34" t="str">
        <f ca="1">IF($A13="","",IF(IF(CA$2&lt;=$A$1,1,0),IF(CA$4="休","",IF(COUNTIF(DATA!CB:CB,$A:$A)=0,"×","√")),""))</f>
        <v/>
      </c>
      <c r="CB13" s="34" t="str">
        <f ca="1">IF($A13="","",IF(IF(CB$2&lt;=$A$1,1,0),IF(CB$4="休","",IF(COUNTIF(DATA!CC:CC,$A:$A)=0,"×","√")),""))</f>
        <v/>
      </c>
      <c r="CC13" s="34" t="str">
        <f ca="1">IF($A13="","",IF(IF(CC$2&lt;=$A$1,1,0),IF(CC$4="休","",IF(COUNTIF(DATA!CD:CD,$A:$A)=0,"×","√")),""))</f>
        <v/>
      </c>
      <c r="CD13" s="34" t="str">
        <f ca="1">IF($A13="","",IF(IF(CD$2&lt;=$A$1,1,0),IF(CD$4="休","",IF(COUNTIF(DATA!CE:CE,$A:$A)=0,"×","√")),""))</f>
        <v/>
      </c>
      <c r="CE13" s="34" t="str">
        <f ca="1">IF($A13="","",IF(IF(CE$2&lt;=$A$1,1,0),IF(CE$4="休","",IF(COUNTIF(DATA!CF:CF,$A:$A)=0,"×","√")),""))</f>
        <v/>
      </c>
      <c r="CF13" s="34" t="str">
        <f ca="1">IF($A13="","",IF(IF(CF$2&lt;=$A$1,1,0),IF(CF$4="休","",IF(COUNTIF(DATA!CG:CG,$A:$A)=0,"×","√")),""))</f>
        <v/>
      </c>
      <c r="CG13" s="34" t="str">
        <f ca="1">IF($A13="","",IF(IF(CG$2&lt;=$A$1,1,0),IF(CG$4="休","",IF(COUNTIF(DATA!CH:CH,$A:$A)=0,"×","√")),""))</f>
        <v/>
      </c>
      <c r="CH13" s="34" t="str">
        <f ca="1">IF($A13="","",IF(IF(CH$2&lt;=$A$1,1,0),IF(CH$4="休","",IF(COUNTIF(DATA!CI:CI,$A:$A)=0,"×","√")),""))</f>
        <v/>
      </c>
      <c r="CI13" s="34" t="str">
        <f ca="1">IF($A13="","",IF(IF(CI$2&lt;=$A$1,1,0),IF(CI$4="休","",IF(COUNTIF(DATA!CJ:CJ,$A:$A)=0,"×","√")),""))</f>
        <v/>
      </c>
      <c r="CJ13" s="34" t="str">
        <f ca="1">IF($A13="","",IF(IF(CJ$2&lt;=$A$1,1,0),IF(CJ$4="休","",IF(COUNTIF(DATA!CK:CK,$A:$A)=0,"×","√")),""))</f>
        <v/>
      </c>
      <c r="CK13" s="34" t="str">
        <f ca="1">IF($A13="","",IF(IF(CK$2&lt;=$A$1,1,0),IF(CK$4="休","",IF(COUNTIF(DATA!CL:CL,$A:$A)=0,"×","√")),""))</f>
        <v/>
      </c>
      <c r="CL13" s="34" t="str">
        <f ca="1">IF($A13="","",IF(IF(CL$2&lt;=$A$1,1,0),IF(CL$4="休","",IF(COUNTIF(DATA!CM:CM,$A:$A)=0,"×","√")),""))</f>
        <v/>
      </c>
      <c r="CM13" s="34" t="str">
        <f ca="1">IF($A13="","",IF(IF(CM$2&lt;=$A$1,1,0),IF(CM$4="休","",IF(COUNTIF(DATA!CN:CN,$A:$A)=0,"×","√")),""))</f>
        <v/>
      </c>
      <c r="CN13" s="34" t="str">
        <f ca="1">IF($A13="","",IF(IF(CN$2&lt;=$A$1,1,0),IF(CN$4="休","",IF(COUNTIF(DATA!CO:CO,$A:$A)=0,"×","√")),""))</f>
        <v/>
      </c>
      <c r="CO13" s="34" t="str">
        <f ca="1">IF($A13="","",IF(IF(CO$2&lt;=$A$1,1,0),IF(CO$4="休","",IF(COUNTIF(DATA!CP:CP,$A:$A)=0,"×","√")),""))</f>
        <v/>
      </c>
      <c r="CP13" s="34" t="str">
        <f ca="1">IF($A13="","",IF(IF(CP$2&lt;=$A$1,1,0),IF(CP$4="休","",IF(COUNTIF(DATA!CQ:CQ,$A:$A)=0,"×","√")),""))</f>
        <v/>
      </c>
      <c r="CQ13" s="34" t="str">
        <f ca="1">IF($A13="","",IF(IF(CQ$2&lt;=$A$1,1,0),IF(CQ$4="休","",IF(COUNTIF(DATA!CR:CR,$A:$A)=0,"×","√")),""))</f>
        <v/>
      </c>
      <c r="CR13" s="34" t="str">
        <f ca="1">IF($A13="","",IF(IF(CR$2&lt;=$A$1,1,0),IF(CR$4="休","",IF(COUNTIF(DATA!CS:CS,$A:$A)=0,"×","√")),""))</f>
        <v/>
      </c>
    </row>
    <row r="14" s="28" customFormat="1" ht="18.75" spans="1:96">
      <c r="A14" s="34" t="str">
        <f>DATA!$A13&amp;""</f>
        <v>李文霞</v>
      </c>
      <c r="B14" s="34" t="str">
        <f ca="1">IF($A14="","",IF(IF(B$2&lt;=$A$1,1,0),IF(B$4="休","",IF(COUNTIF(DATA!C:C,$A:$A)=0,"×","√")),""))</f>
        <v>√</v>
      </c>
      <c r="C14" s="34" t="str">
        <f ca="1">IF($A14="","",IF(IF(C$2&lt;=$A$1,1,0),IF(C$4="休","",IF(COUNTIF(DATA!D:D,$A:$A)=0,"×","√")),""))</f>
        <v>√</v>
      </c>
      <c r="D14" s="34" t="str">
        <f ca="1">IF($A14="","",IF(IF(D$2&lt;=$A$1,1,0),IF(D$4="休","",IF(COUNTIF(DATA!E:E,$A:$A)=0,"×","√")),""))</f>
        <v>√</v>
      </c>
      <c r="E14" s="34" t="str">
        <f ca="1">IF($A14="","",IF(IF(E$2&lt;=$A$1,1,0),IF(E$4="休","",IF(COUNTIF(DATA!F:F,$A:$A)=0,"×","√")),""))</f>
        <v>√</v>
      </c>
      <c r="F14" s="34" t="str">
        <f ca="1">IF($A14="","",IF(IF(F$2&lt;=$A$1,1,0),IF(F$4="休","",IF(COUNTIF(DATA!G:G,$A:$A)=0,"×","√")),""))</f>
        <v>√</v>
      </c>
      <c r="G14" s="34" t="str">
        <f ca="1">IF($A14="","",IF(IF(G$2&lt;=$A$1,1,0),IF(G$4="休","",IF(COUNTIF(DATA!H:H,$A:$A)=0,"×","√")),""))</f>
        <v>√</v>
      </c>
      <c r="H14" s="34" t="str">
        <f ca="1">IF($A14="","",IF(IF(H$2&lt;=$A$1,1,0),IF(H$4="休","",IF(COUNTIF(DATA!I:I,$A:$A)=0,"×","√")),""))</f>
        <v>√</v>
      </c>
      <c r="I14" s="34" t="str">
        <f ca="1">IF($A14="","",IF(IF(I$2&lt;=$A$1,1,0),IF(I$4="休","",IF(COUNTIF(DATA!J:J,$A:$A)=0,"×","√")),""))</f>
        <v>√</v>
      </c>
      <c r="J14" s="34" t="str">
        <f ca="1">IF($A14="","",IF(IF(J$2&lt;=$A$1,1,0),IF(J$4="休","",IF(COUNTIF(DATA!K:K,$A:$A)=0,"×","√")),""))</f>
        <v>√</v>
      </c>
      <c r="K14" s="34" t="str">
        <f ca="1">IF($A14="","",IF(IF(K$2&lt;=$A$1,1,0),IF(K$4="休","",IF(COUNTIF(DATA!L:L,$A:$A)=0,"×","√")),""))</f>
        <v>√</v>
      </c>
      <c r="L14" s="34" t="str">
        <f ca="1">IF($A14="","",IF(IF(L$2&lt;=$A$1,1,0),IF(L$4="休","",IF(COUNTIF(DATA!M:M,$A:$A)=0,"×","√")),""))</f>
        <v>√</v>
      </c>
      <c r="M14" s="34" t="str">
        <f ca="1">IF($A14="","",IF(IF(M$2&lt;=$A$1,1,0),IF(M$4="休","",IF(COUNTIF(DATA!N:N,$A:$A)=0,"×","√")),""))</f>
        <v>√</v>
      </c>
      <c r="N14" s="34" t="str">
        <f ca="1">IF($A14="","",IF(IF(N$2&lt;=$A$1,1,0),IF(N$4="休","",IF(COUNTIF(DATA!O:O,$A:$A)=0,"×","√")),""))</f>
        <v>√</v>
      </c>
      <c r="O14" s="34" t="str">
        <f ca="1">IF($A14="","",IF(IF(O$2&lt;=$A$1,1,0),IF(O$4="休","",IF(COUNTIF(DATA!P:P,$A:$A)=0,"×","√")),""))</f>
        <v>×</v>
      </c>
      <c r="P14" s="34" t="str">
        <f ca="1">IF($A14="","",IF(IF(P$2&lt;=$A$1,1,0),IF(P$4="休","",IF(COUNTIF(DATA!Q:Q,$A:$A)=0,"×","√")),""))</f>
        <v/>
      </c>
      <c r="Q14" s="34" t="str">
        <f ca="1">IF($A14="","",IF(IF(Q$2&lt;=$A$1,1,0),IF(Q$4="休","",IF(COUNTIF(DATA!R:R,$A:$A)=0,"×","√")),""))</f>
        <v/>
      </c>
      <c r="R14" s="34" t="str">
        <f ca="1">IF($A14="","",IF(IF(R$2&lt;=$A$1,1,0),IF(R$4="休","",IF(COUNTIF(DATA!S:S,$A:$A)=0,"×","√")),""))</f>
        <v/>
      </c>
      <c r="S14" s="34" t="str">
        <f ca="1">IF($A14="","",IF(IF(S$2&lt;=$A$1,1,0),IF(S$4="休","",IF(COUNTIF(DATA!T:T,$A:$A)=0,"×","√")),""))</f>
        <v/>
      </c>
      <c r="T14" s="34" t="str">
        <f ca="1">IF($A14="","",IF(IF(T$2&lt;=$A$1,1,0),IF(T$4="休","",IF(COUNTIF(DATA!U:U,$A:$A)=0,"×","√")),""))</f>
        <v/>
      </c>
      <c r="U14" s="34" t="str">
        <f ca="1">IF($A14="","",IF(IF(U$2&lt;=$A$1,1,0),IF(U$4="休","",IF(COUNTIF(DATA!V:V,$A:$A)=0,"×","√")),""))</f>
        <v/>
      </c>
      <c r="V14" s="34" t="str">
        <f ca="1">IF($A14="","",IF(IF(V$2&lt;=$A$1,1,0),IF(V$4="休","",IF(COUNTIF(DATA!W:W,$A:$A)=0,"×","√")),""))</f>
        <v/>
      </c>
      <c r="W14" s="34" t="str">
        <f ca="1">IF($A14="","",IF(IF(W$2&lt;=$A$1,1,0),IF(W$4="休","",IF(COUNTIF(DATA!X:X,$A:$A)=0,"×","√")),""))</f>
        <v/>
      </c>
      <c r="X14" s="34" t="str">
        <f ca="1">IF($A14="","",IF(IF(X$2&lt;=$A$1,1,0),IF(X$4="休","",IF(COUNTIF(DATA!Y:Y,$A:$A)=0,"×","√")),""))</f>
        <v/>
      </c>
      <c r="Y14" s="34" t="str">
        <f ca="1">IF($A14="","",IF(IF(Y$2&lt;=$A$1,1,0),IF(Y$4="休","",IF(COUNTIF(DATA!Z:Z,$A:$A)=0,"×","√")),""))</f>
        <v/>
      </c>
      <c r="Z14" s="34" t="str">
        <f ca="1">IF($A14="","",IF(IF(Z$2&lt;=$A$1,1,0),IF(Z$4="休","",IF(COUNTIF(DATA!AA:AA,$A:$A)=0,"×","√")),""))</f>
        <v/>
      </c>
      <c r="AA14" s="34" t="str">
        <f ca="1">IF($A14="","",IF(IF(AA$2&lt;=$A$1,1,0),IF(AA$4="休","",IF(COUNTIF(DATA!AB:AB,$A:$A)=0,"×","√")),""))</f>
        <v/>
      </c>
      <c r="AB14" s="34" t="str">
        <f ca="1">IF($A14="","",IF(IF(AB$2&lt;=$A$1,1,0),IF(AB$4="休","",IF(COUNTIF(DATA!AC:AC,$A:$A)=0,"×","√")),""))</f>
        <v/>
      </c>
      <c r="AC14" s="34" t="str">
        <f ca="1">IF($A14="","",IF(IF(AC$2&lt;=$A$1,1,0),IF(AC$4="休","",IF(COUNTIF(DATA!AD:AD,$A:$A)=0,"×","√")),""))</f>
        <v/>
      </c>
      <c r="AD14" s="34" t="str">
        <f ca="1">IF($A14="","",IF(IF(AD$2&lt;=$A$1,1,0),IF(AD$4="休","",IF(COUNTIF(DATA!AE:AE,$A:$A)=0,"×","√")),""))</f>
        <v/>
      </c>
      <c r="AE14" s="34" t="str">
        <f ca="1">IF($A14="","",IF(IF(AE$2&lt;=$A$1,1,0),IF(AE$4="休","",IF(COUNTIF(DATA!AF:AF,$A:$A)=0,"×","√")),""))</f>
        <v/>
      </c>
      <c r="AF14" s="34" t="str">
        <f ca="1">IF($A14="","",IF(IF(AF$2&lt;=$A$1,1,0),IF(AF$4="休","",IF(COUNTIF(DATA!AG:AG,$A:$A)=0,"×","√")),""))</f>
        <v/>
      </c>
      <c r="AG14" s="34" t="str">
        <f ca="1">IF($A14="","",IF(IF(AG$2&lt;=$A$1,1,0),IF(AG$4="休","",IF(COUNTIF(DATA!AH:AH,$A:$A)=0,"×","√")),""))</f>
        <v/>
      </c>
      <c r="AH14" s="34" t="str">
        <f ca="1">IF($A14="","",IF(IF(AH$2&lt;=$A$1,1,0),IF(AH$4="休","",IF(COUNTIF(DATA!AI:AI,$A:$A)=0,"×","√")),""))</f>
        <v/>
      </c>
      <c r="AI14" s="34" t="str">
        <f ca="1">IF($A14="","",IF(IF(AI$2&lt;=$A$1,1,0),IF(AI$4="休","",IF(COUNTIF(DATA!AJ:AJ,$A:$A)=0,"×","√")),""))</f>
        <v/>
      </c>
      <c r="AJ14" s="34" t="str">
        <f ca="1">IF($A14="","",IF(IF(AJ$2&lt;=$A$1,1,0),IF(AJ$4="休","",IF(COUNTIF(DATA!AK:AK,$A:$A)=0,"×","√")),""))</f>
        <v/>
      </c>
      <c r="AK14" s="34" t="str">
        <f ca="1">IF($A14="","",IF(IF(AK$2&lt;=$A$1,1,0),IF(AK$4="休","",IF(COUNTIF(DATA!AL:AL,$A:$A)=0,"×","√")),""))</f>
        <v/>
      </c>
      <c r="AL14" s="34" t="str">
        <f ca="1">IF($A14="","",IF(IF(AL$2&lt;=$A$1,1,0),IF(AL$4="休","",IF(COUNTIF(DATA!AM:AM,$A:$A)=0,"×","√")),""))</f>
        <v/>
      </c>
      <c r="AM14" s="34" t="str">
        <f ca="1">IF($A14="","",IF(IF(AM$2&lt;=$A$1,1,0),IF(AM$4="休","",IF(COUNTIF(DATA!AN:AN,$A:$A)=0,"×","√")),""))</f>
        <v/>
      </c>
      <c r="AN14" s="34" t="str">
        <f ca="1">IF($A14="","",IF(IF(AN$2&lt;=$A$1,1,0),IF(AN$4="休","",IF(COUNTIF(DATA!AO:AO,$A:$A)=0,"×","√")),""))</f>
        <v/>
      </c>
      <c r="AO14" s="34" t="str">
        <f ca="1">IF($A14="","",IF(IF(AO$2&lt;=$A$1,1,0),IF(AO$4="休","",IF(COUNTIF(DATA!AP:AP,$A:$A)=0,"×","√")),""))</f>
        <v/>
      </c>
      <c r="AP14" s="34" t="str">
        <f ca="1">IF($A14="","",IF(IF(AP$2&lt;=$A$1,1,0),IF(AP$4="休","",IF(COUNTIF(DATA!AQ:AQ,$A:$A)=0,"×","√")),""))</f>
        <v/>
      </c>
      <c r="AQ14" s="34" t="str">
        <f ca="1">IF($A14="","",IF(IF(AQ$2&lt;=$A$1,1,0),IF(AQ$4="休","",IF(COUNTIF(DATA!AR:AR,$A:$A)=0,"×","√")),""))</f>
        <v/>
      </c>
      <c r="AR14" s="34" t="str">
        <f ca="1">IF($A14="","",IF(IF(AR$2&lt;=$A$1,1,0),IF(AR$4="休","",IF(COUNTIF(DATA!AS:AS,$A:$A)=0,"×","√")),""))</f>
        <v/>
      </c>
      <c r="AS14" s="34" t="str">
        <f ca="1">IF($A14="","",IF(IF(AS$2&lt;=$A$1,1,0),IF(AS$4="休","",IF(COUNTIF(DATA!AT:AT,$A:$A)=0,"×","√")),""))</f>
        <v/>
      </c>
      <c r="AT14" s="34" t="str">
        <f ca="1">IF($A14="","",IF(IF(AT$2&lt;=$A$1,1,0),IF(AT$4="休","",IF(COUNTIF(DATA!AU:AU,$A:$A)=0,"×","√")),""))</f>
        <v/>
      </c>
      <c r="AU14" s="34" t="str">
        <f ca="1">IF($A14="","",IF(IF(AU$2&lt;=$A$1,1,0),IF(AU$4="休","",IF(COUNTIF(DATA!AV:AV,$A:$A)=0,"×","√")),""))</f>
        <v/>
      </c>
      <c r="AV14" s="34" t="str">
        <f ca="1">IF($A14="","",IF(IF(AV$2&lt;=$A$1,1,0),IF(AV$4="休","",IF(COUNTIF(DATA!AW:AW,$A:$A)=0,"×","√")),""))</f>
        <v/>
      </c>
      <c r="AW14" s="34" t="str">
        <f ca="1">IF($A14="","",IF(IF(AW$2&lt;=$A$1,1,0),IF(AW$4="休","",IF(COUNTIF(DATA!AX:AX,$A:$A)=0,"×","√")),""))</f>
        <v/>
      </c>
      <c r="AX14" s="34" t="str">
        <f ca="1">IF($A14="","",IF(IF(AX$2&lt;=$A$1,1,0),IF(AX$4="休","",IF(COUNTIF(DATA!AY:AY,$A:$A)=0,"×","√")),""))</f>
        <v/>
      </c>
      <c r="AY14" s="34" t="str">
        <f ca="1">IF($A14="","",IF(IF(AY$2&lt;=$A$1,1,0),IF(AY$4="休","",IF(COUNTIF(DATA!AZ:AZ,$A:$A)=0,"×","√")),""))</f>
        <v/>
      </c>
      <c r="AZ14" s="34" t="str">
        <f ca="1">IF($A14="","",IF(IF(AZ$2&lt;=$A$1,1,0),IF(AZ$4="休","",IF(COUNTIF(DATA!BA:BA,$A:$A)=0,"×","√")),""))</f>
        <v/>
      </c>
      <c r="BA14" s="34" t="str">
        <f ca="1">IF($A14="","",IF(IF(BA$2&lt;=$A$1,1,0),IF(BA$4="休","",IF(COUNTIF(DATA!BB:BB,$A:$A)=0,"×","√")),""))</f>
        <v/>
      </c>
      <c r="BB14" s="34" t="str">
        <f ca="1">IF($A14="","",IF(IF(BB$2&lt;=$A$1,1,0),IF(BB$4="休","",IF(COUNTIF(DATA!BC:BC,$A:$A)=0,"×","√")),""))</f>
        <v/>
      </c>
      <c r="BC14" s="34" t="str">
        <f ca="1">IF($A14="","",IF(IF(BC$2&lt;=$A$1,1,0),IF(BC$4="休","",IF(COUNTIF(DATA!BD:BD,$A:$A)=0,"×","√")),""))</f>
        <v/>
      </c>
      <c r="BD14" s="34" t="str">
        <f ca="1">IF($A14="","",IF(IF(BD$2&lt;=$A$1,1,0),IF(BD$4="休","",IF(COUNTIF(DATA!BE:BE,$A:$A)=0,"×","√")),""))</f>
        <v/>
      </c>
      <c r="BE14" s="34" t="str">
        <f ca="1">IF($A14="","",IF(IF(BE$2&lt;=$A$1,1,0),IF(BE$4="休","",IF(COUNTIF(DATA!BF:BF,$A:$A)=0,"×","√")),""))</f>
        <v/>
      </c>
      <c r="BF14" s="34" t="str">
        <f ca="1">IF($A14="","",IF(IF(BF$2&lt;=$A$1,1,0),IF(BF$4="休","",IF(COUNTIF(DATA!BG:BG,$A:$A)=0,"×","√")),""))</f>
        <v/>
      </c>
      <c r="BG14" s="34" t="str">
        <f ca="1">IF($A14="","",IF(IF(BG$2&lt;=$A$1,1,0),IF(BG$4="休","",IF(COUNTIF(DATA!BH:BH,$A:$A)=0,"×","√")),""))</f>
        <v/>
      </c>
      <c r="BH14" s="34" t="str">
        <f ca="1">IF($A14="","",IF(IF(BH$2&lt;=$A$1,1,0),IF(BH$4="休","",IF(COUNTIF(DATA!BI:BI,$A:$A)=0,"×","√")),""))</f>
        <v/>
      </c>
      <c r="BI14" s="34" t="str">
        <f ca="1">IF($A14="","",IF(IF(BI$2&lt;=$A$1,1,0),IF(BI$4="休","",IF(COUNTIF(DATA!BJ:BJ,$A:$A)=0,"×","√")),""))</f>
        <v/>
      </c>
      <c r="BJ14" s="34" t="str">
        <f ca="1">IF($A14="","",IF(IF(BJ$2&lt;=$A$1,1,0),IF(BJ$4="休","",IF(COUNTIF(DATA!BK:BK,$A:$A)=0,"×","√")),""))</f>
        <v/>
      </c>
      <c r="BK14" s="34" t="str">
        <f ca="1">IF($A14="","",IF(IF(BK$2&lt;=$A$1,1,0),IF(BK$4="休","",IF(COUNTIF(DATA!BL:BL,$A:$A)=0,"×","√")),""))</f>
        <v/>
      </c>
      <c r="BL14" s="34" t="str">
        <f ca="1">IF($A14="","",IF(IF(BL$2&lt;=$A$1,1,0),IF(BL$4="休","",IF(COUNTIF(DATA!BM:BM,$A:$A)=0,"×","√")),""))</f>
        <v/>
      </c>
      <c r="BM14" s="34" t="str">
        <f ca="1">IF($A14="","",IF(IF(BM$2&lt;=$A$1,1,0),IF(BM$4="休","",IF(COUNTIF(DATA!BN:BN,$A:$A)=0,"×","√")),""))</f>
        <v/>
      </c>
      <c r="BN14" s="34" t="str">
        <f ca="1">IF($A14="","",IF(IF(BN$2&lt;=$A$1,1,0),IF(BN$4="休","",IF(COUNTIF(DATA!BO:BO,$A:$A)=0,"×","√")),""))</f>
        <v/>
      </c>
      <c r="BO14" s="34" t="str">
        <f ca="1">IF($A14="","",IF(IF(BO$2&lt;=$A$1,1,0),IF(BO$4="休","",IF(COUNTIF(DATA!BP:BP,$A:$A)=0,"×","√")),""))</f>
        <v/>
      </c>
      <c r="BP14" s="34" t="str">
        <f ca="1">IF($A14="","",IF(IF(BP$2&lt;=$A$1,1,0),IF(BP$4="休","",IF(COUNTIF(DATA!BQ:BQ,$A:$A)=0,"×","√")),""))</f>
        <v/>
      </c>
      <c r="BQ14" s="34" t="str">
        <f ca="1">IF($A14="","",IF(IF(BQ$2&lt;=$A$1,1,0),IF(BQ$4="休","",IF(COUNTIF(DATA!BR:BR,$A:$A)=0,"×","√")),""))</f>
        <v/>
      </c>
      <c r="BR14" s="34" t="str">
        <f ca="1">IF($A14="","",IF(IF(BR$2&lt;=$A$1,1,0),IF(BR$4="休","",IF(COUNTIF(DATA!BS:BS,$A:$A)=0,"×","√")),""))</f>
        <v/>
      </c>
      <c r="BS14" s="34" t="str">
        <f ca="1">IF($A14="","",IF(IF(BS$2&lt;=$A$1,1,0),IF(BS$4="休","",IF(COUNTIF(DATA!BT:BT,$A:$A)=0,"×","√")),""))</f>
        <v/>
      </c>
      <c r="BT14" s="34" t="str">
        <f ca="1">IF($A14="","",IF(IF(BT$2&lt;=$A$1,1,0),IF(BT$4="休","",IF(COUNTIF(DATA!BU:BU,$A:$A)=0,"×","√")),""))</f>
        <v/>
      </c>
      <c r="BU14" s="34" t="str">
        <f ca="1">IF($A14="","",IF(IF(BU$2&lt;=$A$1,1,0),IF(BU$4="休","",IF(COUNTIF(DATA!BV:BV,$A:$A)=0,"×","√")),""))</f>
        <v/>
      </c>
      <c r="BV14" s="34" t="str">
        <f ca="1">IF($A14="","",IF(IF(BV$2&lt;=$A$1,1,0),IF(BV$4="休","",IF(COUNTIF(DATA!BW:BW,$A:$A)=0,"×","√")),""))</f>
        <v/>
      </c>
      <c r="BW14" s="34" t="str">
        <f ca="1">IF($A14="","",IF(IF(BW$2&lt;=$A$1,1,0),IF(BW$4="休","",IF(COUNTIF(DATA!BX:BX,$A:$A)=0,"×","√")),""))</f>
        <v/>
      </c>
      <c r="BX14" s="34" t="str">
        <f ca="1">IF($A14="","",IF(IF(BX$2&lt;=$A$1,1,0),IF(BX$4="休","",IF(COUNTIF(DATA!BY:BY,$A:$A)=0,"×","√")),""))</f>
        <v/>
      </c>
      <c r="BY14" s="34" t="str">
        <f ca="1">IF($A14="","",IF(IF(BY$2&lt;=$A$1,1,0),IF(BY$4="休","",IF(COUNTIF(DATA!BZ:BZ,$A:$A)=0,"×","√")),""))</f>
        <v/>
      </c>
      <c r="BZ14" s="34" t="str">
        <f ca="1">IF($A14="","",IF(IF(BZ$2&lt;=$A$1,1,0),IF(BZ$4="休","",IF(COUNTIF(DATA!CA:CA,$A:$A)=0,"×","√")),""))</f>
        <v/>
      </c>
      <c r="CA14" s="34" t="str">
        <f ca="1">IF($A14="","",IF(IF(CA$2&lt;=$A$1,1,0),IF(CA$4="休","",IF(COUNTIF(DATA!CB:CB,$A:$A)=0,"×","√")),""))</f>
        <v/>
      </c>
      <c r="CB14" s="34" t="str">
        <f ca="1">IF($A14="","",IF(IF(CB$2&lt;=$A$1,1,0),IF(CB$4="休","",IF(COUNTIF(DATA!CC:CC,$A:$A)=0,"×","√")),""))</f>
        <v/>
      </c>
      <c r="CC14" s="34" t="str">
        <f ca="1">IF($A14="","",IF(IF(CC$2&lt;=$A$1,1,0),IF(CC$4="休","",IF(COUNTIF(DATA!CD:CD,$A:$A)=0,"×","√")),""))</f>
        <v/>
      </c>
      <c r="CD14" s="34" t="str">
        <f ca="1">IF($A14="","",IF(IF(CD$2&lt;=$A$1,1,0),IF(CD$4="休","",IF(COUNTIF(DATA!CE:CE,$A:$A)=0,"×","√")),""))</f>
        <v/>
      </c>
      <c r="CE14" s="34" t="str">
        <f ca="1">IF($A14="","",IF(IF(CE$2&lt;=$A$1,1,0),IF(CE$4="休","",IF(COUNTIF(DATA!CF:CF,$A:$A)=0,"×","√")),""))</f>
        <v/>
      </c>
      <c r="CF14" s="34" t="str">
        <f ca="1">IF($A14="","",IF(IF(CF$2&lt;=$A$1,1,0),IF(CF$4="休","",IF(COUNTIF(DATA!CG:CG,$A:$A)=0,"×","√")),""))</f>
        <v/>
      </c>
      <c r="CG14" s="34" t="str">
        <f ca="1">IF($A14="","",IF(IF(CG$2&lt;=$A$1,1,0),IF(CG$4="休","",IF(COUNTIF(DATA!CH:CH,$A:$A)=0,"×","√")),""))</f>
        <v/>
      </c>
      <c r="CH14" s="34" t="str">
        <f ca="1">IF($A14="","",IF(IF(CH$2&lt;=$A$1,1,0),IF(CH$4="休","",IF(COUNTIF(DATA!CI:CI,$A:$A)=0,"×","√")),""))</f>
        <v/>
      </c>
      <c r="CI14" s="34" t="str">
        <f ca="1">IF($A14="","",IF(IF(CI$2&lt;=$A$1,1,0),IF(CI$4="休","",IF(COUNTIF(DATA!CJ:CJ,$A:$A)=0,"×","√")),""))</f>
        <v/>
      </c>
      <c r="CJ14" s="34" t="str">
        <f ca="1">IF($A14="","",IF(IF(CJ$2&lt;=$A$1,1,0),IF(CJ$4="休","",IF(COUNTIF(DATA!CK:CK,$A:$A)=0,"×","√")),""))</f>
        <v/>
      </c>
      <c r="CK14" s="34" t="str">
        <f ca="1">IF($A14="","",IF(IF(CK$2&lt;=$A$1,1,0),IF(CK$4="休","",IF(COUNTIF(DATA!CL:CL,$A:$A)=0,"×","√")),""))</f>
        <v/>
      </c>
      <c r="CL14" s="34" t="str">
        <f ca="1">IF($A14="","",IF(IF(CL$2&lt;=$A$1,1,0),IF(CL$4="休","",IF(COUNTIF(DATA!CM:CM,$A:$A)=0,"×","√")),""))</f>
        <v/>
      </c>
      <c r="CM14" s="34" t="str">
        <f ca="1">IF($A14="","",IF(IF(CM$2&lt;=$A$1,1,0),IF(CM$4="休","",IF(COUNTIF(DATA!CN:CN,$A:$A)=0,"×","√")),""))</f>
        <v/>
      </c>
      <c r="CN14" s="34" t="str">
        <f ca="1">IF($A14="","",IF(IF(CN$2&lt;=$A$1,1,0),IF(CN$4="休","",IF(COUNTIF(DATA!CO:CO,$A:$A)=0,"×","√")),""))</f>
        <v/>
      </c>
      <c r="CO14" s="34" t="str">
        <f ca="1">IF($A14="","",IF(IF(CO$2&lt;=$A$1,1,0),IF(CO$4="休","",IF(COUNTIF(DATA!CP:CP,$A:$A)=0,"×","√")),""))</f>
        <v/>
      </c>
      <c r="CP14" s="34" t="str">
        <f ca="1">IF($A14="","",IF(IF(CP$2&lt;=$A$1,1,0),IF(CP$4="休","",IF(COUNTIF(DATA!CQ:CQ,$A:$A)=0,"×","√")),""))</f>
        <v/>
      </c>
      <c r="CQ14" s="34" t="str">
        <f ca="1">IF($A14="","",IF(IF(CQ$2&lt;=$A$1,1,0),IF(CQ$4="休","",IF(COUNTIF(DATA!CR:CR,$A:$A)=0,"×","√")),""))</f>
        <v/>
      </c>
      <c r="CR14" s="34" t="str">
        <f ca="1">IF($A14="","",IF(IF(CR$2&lt;=$A$1,1,0),IF(CR$4="休","",IF(COUNTIF(DATA!CS:CS,$A:$A)=0,"×","√")),""))</f>
        <v/>
      </c>
    </row>
    <row r="15" s="28" customFormat="1" ht="18.75" spans="1:96">
      <c r="A15" s="34" t="str">
        <f>DATA!$A14&amp;""</f>
        <v>舒成昌</v>
      </c>
      <c r="B15" s="34" t="str">
        <f ca="1">IF($A15="","",IF(IF(B$2&lt;=$A$1,1,0),IF(B$4="休","",IF(COUNTIF(DATA!C:C,$A:$A)=0,"×","√")),""))</f>
        <v>√</v>
      </c>
      <c r="C15" s="34" t="str">
        <f ca="1">IF($A15="","",IF(IF(C$2&lt;=$A$1,1,0),IF(C$4="休","",IF(COUNTIF(DATA!D:D,$A:$A)=0,"×","√")),""))</f>
        <v>√</v>
      </c>
      <c r="D15" s="34" t="str">
        <f ca="1">IF($A15="","",IF(IF(D$2&lt;=$A$1,1,0),IF(D$4="休","",IF(COUNTIF(DATA!E:E,$A:$A)=0,"×","√")),""))</f>
        <v>√</v>
      </c>
      <c r="E15" s="34" t="str">
        <f ca="1">IF($A15="","",IF(IF(E$2&lt;=$A$1,1,0),IF(E$4="休","",IF(COUNTIF(DATA!F:F,$A:$A)=0,"×","√")),""))</f>
        <v>√</v>
      </c>
      <c r="F15" s="34" t="str">
        <f ca="1">IF($A15="","",IF(IF(F$2&lt;=$A$1,1,0),IF(F$4="休","",IF(COUNTIF(DATA!G:G,$A:$A)=0,"×","√")),""))</f>
        <v>√</v>
      </c>
      <c r="G15" s="34" t="str">
        <f ca="1">IF($A15="","",IF(IF(G$2&lt;=$A$1,1,0),IF(G$4="休","",IF(COUNTIF(DATA!H:H,$A:$A)=0,"×","√")),""))</f>
        <v>√</v>
      </c>
      <c r="H15" s="34" t="str">
        <f ca="1">IF($A15="","",IF(IF(H$2&lt;=$A$1,1,0),IF(H$4="休","",IF(COUNTIF(DATA!I:I,$A:$A)=0,"×","√")),""))</f>
        <v>√</v>
      </c>
      <c r="I15" s="34" t="str">
        <f ca="1">IF($A15="","",IF(IF(I$2&lt;=$A$1,1,0),IF(I$4="休","",IF(COUNTIF(DATA!J:J,$A:$A)=0,"×","√")),""))</f>
        <v>√</v>
      </c>
      <c r="J15" s="34" t="str">
        <f ca="1">IF($A15="","",IF(IF(J$2&lt;=$A$1,1,0),IF(J$4="休","",IF(COUNTIF(DATA!K:K,$A:$A)=0,"×","√")),""))</f>
        <v>√</v>
      </c>
      <c r="K15" s="34" t="str">
        <f ca="1">IF($A15="","",IF(IF(K$2&lt;=$A$1,1,0),IF(K$4="休","",IF(COUNTIF(DATA!L:L,$A:$A)=0,"×","√")),""))</f>
        <v>√</v>
      </c>
      <c r="L15" s="34" t="str">
        <f ca="1">IF($A15="","",IF(IF(L$2&lt;=$A$1,1,0),IF(L$4="休","",IF(COUNTIF(DATA!M:M,$A:$A)=0,"×","√")),""))</f>
        <v>√</v>
      </c>
      <c r="M15" s="34" t="str">
        <f ca="1">IF($A15="","",IF(IF(M$2&lt;=$A$1,1,0),IF(M$4="休","",IF(COUNTIF(DATA!N:N,$A:$A)=0,"×","√")),""))</f>
        <v>√</v>
      </c>
      <c r="N15" s="34" t="str">
        <f ca="1">IF($A15="","",IF(IF(N$2&lt;=$A$1,1,0),IF(N$4="休","",IF(COUNTIF(DATA!O:O,$A:$A)=0,"×","√")),""))</f>
        <v>√</v>
      </c>
      <c r="O15" s="34" t="str">
        <f ca="1">IF($A15="","",IF(IF(O$2&lt;=$A$1,1,0),IF(O$4="休","",IF(COUNTIF(DATA!P:P,$A:$A)=0,"×","√")),""))</f>
        <v>×</v>
      </c>
      <c r="P15" s="34" t="str">
        <f ca="1">IF($A15="","",IF(IF(P$2&lt;=$A$1,1,0),IF(P$4="休","",IF(COUNTIF(DATA!Q:Q,$A:$A)=0,"×","√")),""))</f>
        <v/>
      </c>
      <c r="Q15" s="34" t="str">
        <f ca="1">IF($A15="","",IF(IF(Q$2&lt;=$A$1,1,0),IF(Q$4="休","",IF(COUNTIF(DATA!R:R,$A:$A)=0,"×","√")),""))</f>
        <v/>
      </c>
      <c r="R15" s="34" t="str">
        <f ca="1">IF($A15="","",IF(IF(R$2&lt;=$A$1,1,0),IF(R$4="休","",IF(COUNTIF(DATA!S:S,$A:$A)=0,"×","√")),""))</f>
        <v/>
      </c>
      <c r="S15" s="34" t="str">
        <f ca="1">IF($A15="","",IF(IF(S$2&lt;=$A$1,1,0),IF(S$4="休","",IF(COUNTIF(DATA!T:T,$A:$A)=0,"×","√")),""))</f>
        <v/>
      </c>
      <c r="T15" s="34" t="str">
        <f ca="1">IF($A15="","",IF(IF(T$2&lt;=$A$1,1,0),IF(T$4="休","",IF(COUNTIF(DATA!U:U,$A:$A)=0,"×","√")),""))</f>
        <v/>
      </c>
      <c r="U15" s="34" t="str">
        <f ca="1">IF($A15="","",IF(IF(U$2&lt;=$A$1,1,0),IF(U$4="休","",IF(COUNTIF(DATA!V:V,$A:$A)=0,"×","√")),""))</f>
        <v/>
      </c>
      <c r="V15" s="34" t="str">
        <f ca="1">IF($A15="","",IF(IF(V$2&lt;=$A$1,1,0),IF(V$4="休","",IF(COUNTIF(DATA!W:W,$A:$A)=0,"×","√")),""))</f>
        <v/>
      </c>
      <c r="W15" s="34" t="str">
        <f ca="1">IF($A15="","",IF(IF(W$2&lt;=$A$1,1,0),IF(W$4="休","",IF(COUNTIF(DATA!X:X,$A:$A)=0,"×","√")),""))</f>
        <v/>
      </c>
      <c r="X15" s="34" t="str">
        <f ca="1">IF($A15="","",IF(IF(X$2&lt;=$A$1,1,0),IF(X$4="休","",IF(COUNTIF(DATA!Y:Y,$A:$A)=0,"×","√")),""))</f>
        <v/>
      </c>
      <c r="Y15" s="34" t="str">
        <f ca="1">IF($A15="","",IF(IF(Y$2&lt;=$A$1,1,0),IF(Y$4="休","",IF(COUNTIF(DATA!Z:Z,$A:$A)=0,"×","√")),""))</f>
        <v/>
      </c>
      <c r="Z15" s="34" t="str">
        <f ca="1">IF($A15="","",IF(IF(Z$2&lt;=$A$1,1,0),IF(Z$4="休","",IF(COUNTIF(DATA!AA:AA,$A:$A)=0,"×","√")),""))</f>
        <v/>
      </c>
      <c r="AA15" s="34" t="str">
        <f ca="1">IF($A15="","",IF(IF(AA$2&lt;=$A$1,1,0),IF(AA$4="休","",IF(COUNTIF(DATA!AB:AB,$A:$A)=0,"×","√")),""))</f>
        <v/>
      </c>
      <c r="AB15" s="34" t="str">
        <f ca="1">IF($A15="","",IF(IF(AB$2&lt;=$A$1,1,0),IF(AB$4="休","",IF(COUNTIF(DATA!AC:AC,$A:$A)=0,"×","√")),""))</f>
        <v/>
      </c>
      <c r="AC15" s="34" t="str">
        <f ca="1">IF($A15="","",IF(IF(AC$2&lt;=$A$1,1,0),IF(AC$4="休","",IF(COUNTIF(DATA!AD:AD,$A:$A)=0,"×","√")),""))</f>
        <v/>
      </c>
      <c r="AD15" s="34" t="str">
        <f ca="1">IF($A15="","",IF(IF(AD$2&lt;=$A$1,1,0),IF(AD$4="休","",IF(COUNTIF(DATA!AE:AE,$A:$A)=0,"×","√")),""))</f>
        <v/>
      </c>
      <c r="AE15" s="34" t="str">
        <f ca="1">IF($A15="","",IF(IF(AE$2&lt;=$A$1,1,0),IF(AE$4="休","",IF(COUNTIF(DATA!AF:AF,$A:$A)=0,"×","√")),""))</f>
        <v/>
      </c>
      <c r="AF15" s="34" t="str">
        <f ca="1">IF($A15="","",IF(IF(AF$2&lt;=$A$1,1,0),IF(AF$4="休","",IF(COUNTIF(DATA!AG:AG,$A:$A)=0,"×","√")),""))</f>
        <v/>
      </c>
      <c r="AG15" s="34" t="str">
        <f ca="1">IF($A15="","",IF(IF(AG$2&lt;=$A$1,1,0),IF(AG$4="休","",IF(COUNTIF(DATA!AH:AH,$A:$A)=0,"×","√")),""))</f>
        <v/>
      </c>
      <c r="AH15" s="34" t="str">
        <f ca="1">IF($A15="","",IF(IF(AH$2&lt;=$A$1,1,0),IF(AH$4="休","",IF(COUNTIF(DATA!AI:AI,$A:$A)=0,"×","√")),""))</f>
        <v/>
      </c>
      <c r="AI15" s="34" t="str">
        <f ca="1">IF($A15="","",IF(IF(AI$2&lt;=$A$1,1,0),IF(AI$4="休","",IF(COUNTIF(DATA!AJ:AJ,$A:$A)=0,"×","√")),""))</f>
        <v/>
      </c>
      <c r="AJ15" s="34" t="str">
        <f ca="1">IF($A15="","",IF(IF(AJ$2&lt;=$A$1,1,0),IF(AJ$4="休","",IF(COUNTIF(DATA!AK:AK,$A:$A)=0,"×","√")),""))</f>
        <v/>
      </c>
      <c r="AK15" s="34" t="str">
        <f ca="1">IF($A15="","",IF(IF(AK$2&lt;=$A$1,1,0),IF(AK$4="休","",IF(COUNTIF(DATA!AL:AL,$A:$A)=0,"×","√")),""))</f>
        <v/>
      </c>
      <c r="AL15" s="34" t="str">
        <f ca="1">IF($A15="","",IF(IF(AL$2&lt;=$A$1,1,0),IF(AL$4="休","",IF(COUNTIF(DATA!AM:AM,$A:$A)=0,"×","√")),""))</f>
        <v/>
      </c>
      <c r="AM15" s="34" t="str">
        <f ca="1">IF($A15="","",IF(IF(AM$2&lt;=$A$1,1,0),IF(AM$4="休","",IF(COUNTIF(DATA!AN:AN,$A:$A)=0,"×","√")),""))</f>
        <v/>
      </c>
      <c r="AN15" s="34" t="str">
        <f ca="1">IF($A15="","",IF(IF(AN$2&lt;=$A$1,1,0),IF(AN$4="休","",IF(COUNTIF(DATA!AO:AO,$A:$A)=0,"×","√")),""))</f>
        <v/>
      </c>
      <c r="AO15" s="34" t="str">
        <f ca="1">IF($A15="","",IF(IF(AO$2&lt;=$A$1,1,0),IF(AO$4="休","",IF(COUNTIF(DATA!AP:AP,$A:$A)=0,"×","√")),""))</f>
        <v/>
      </c>
      <c r="AP15" s="34" t="str">
        <f ca="1">IF($A15="","",IF(IF(AP$2&lt;=$A$1,1,0),IF(AP$4="休","",IF(COUNTIF(DATA!AQ:AQ,$A:$A)=0,"×","√")),""))</f>
        <v/>
      </c>
      <c r="AQ15" s="34" t="str">
        <f ca="1">IF($A15="","",IF(IF(AQ$2&lt;=$A$1,1,0),IF(AQ$4="休","",IF(COUNTIF(DATA!AR:AR,$A:$A)=0,"×","√")),""))</f>
        <v/>
      </c>
      <c r="AR15" s="34" t="str">
        <f ca="1">IF($A15="","",IF(IF(AR$2&lt;=$A$1,1,0),IF(AR$4="休","",IF(COUNTIF(DATA!AS:AS,$A:$A)=0,"×","√")),""))</f>
        <v/>
      </c>
      <c r="AS15" s="34" t="str">
        <f ca="1">IF($A15="","",IF(IF(AS$2&lt;=$A$1,1,0),IF(AS$4="休","",IF(COUNTIF(DATA!AT:AT,$A:$A)=0,"×","√")),""))</f>
        <v/>
      </c>
      <c r="AT15" s="34" t="str">
        <f ca="1">IF($A15="","",IF(IF(AT$2&lt;=$A$1,1,0),IF(AT$4="休","",IF(COUNTIF(DATA!AU:AU,$A:$A)=0,"×","√")),""))</f>
        <v/>
      </c>
      <c r="AU15" s="34" t="str">
        <f ca="1">IF($A15="","",IF(IF(AU$2&lt;=$A$1,1,0),IF(AU$4="休","",IF(COUNTIF(DATA!AV:AV,$A:$A)=0,"×","√")),""))</f>
        <v/>
      </c>
      <c r="AV15" s="34" t="str">
        <f ca="1">IF($A15="","",IF(IF(AV$2&lt;=$A$1,1,0),IF(AV$4="休","",IF(COUNTIF(DATA!AW:AW,$A:$A)=0,"×","√")),""))</f>
        <v/>
      </c>
      <c r="AW15" s="34" t="str">
        <f ca="1">IF($A15="","",IF(IF(AW$2&lt;=$A$1,1,0),IF(AW$4="休","",IF(COUNTIF(DATA!AX:AX,$A:$A)=0,"×","√")),""))</f>
        <v/>
      </c>
      <c r="AX15" s="34" t="str">
        <f ca="1">IF($A15="","",IF(IF(AX$2&lt;=$A$1,1,0),IF(AX$4="休","",IF(COUNTIF(DATA!AY:AY,$A:$A)=0,"×","√")),""))</f>
        <v/>
      </c>
      <c r="AY15" s="34" t="str">
        <f ca="1">IF($A15="","",IF(IF(AY$2&lt;=$A$1,1,0),IF(AY$4="休","",IF(COUNTIF(DATA!AZ:AZ,$A:$A)=0,"×","√")),""))</f>
        <v/>
      </c>
      <c r="AZ15" s="34" t="str">
        <f ca="1">IF($A15="","",IF(IF(AZ$2&lt;=$A$1,1,0),IF(AZ$4="休","",IF(COUNTIF(DATA!BA:BA,$A:$A)=0,"×","√")),""))</f>
        <v/>
      </c>
      <c r="BA15" s="34" t="str">
        <f ca="1">IF($A15="","",IF(IF(BA$2&lt;=$A$1,1,0),IF(BA$4="休","",IF(COUNTIF(DATA!BB:BB,$A:$A)=0,"×","√")),""))</f>
        <v/>
      </c>
      <c r="BB15" s="34" t="str">
        <f ca="1">IF($A15="","",IF(IF(BB$2&lt;=$A$1,1,0),IF(BB$4="休","",IF(COUNTIF(DATA!BC:BC,$A:$A)=0,"×","√")),""))</f>
        <v/>
      </c>
      <c r="BC15" s="34" t="str">
        <f ca="1">IF($A15="","",IF(IF(BC$2&lt;=$A$1,1,0),IF(BC$4="休","",IF(COUNTIF(DATA!BD:BD,$A:$A)=0,"×","√")),""))</f>
        <v/>
      </c>
      <c r="BD15" s="34" t="str">
        <f ca="1">IF($A15="","",IF(IF(BD$2&lt;=$A$1,1,0),IF(BD$4="休","",IF(COUNTIF(DATA!BE:BE,$A:$A)=0,"×","√")),""))</f>
        <v/>
      </c>
      <c r="BE15" s="34" t="str">
        <f ca="1">IF($A15="","",IF(IF(BE$2&lt;=$A$1,1,0),IF(BE$4="休","",IF(COUNTIF(DATA!BF:BF,$A:$A)=0,"×","√")),""))</f>
        <v/>
      </c>
      <c r="BF15" s="34" t="str">
        <f ca="1">IF($A15="","",IF(IF(BF$2&lt;=$A$1,1,0),IF(BF$4="休","",IF(COUNTIF(DATA!BG:BG,$A:$A)=0,"×","√")),""))</f>
        <v/>
      </c>
      <c r="BG15" s="34" t="str">
        <f ca="1">IF($A15="","",IF(IF(BG$2&lt;=$A$1,1,0),IF(BG$4="休","",IF(COUNTIF(DATA!BH:BH,$A:$A)=0,"×","√")),""))</f>
        <v/>
      </c>
      <c r="BH15" s="34" t="str">
        <f ca="1">IF($A15="","",IF(IF(BH$2&lt;=$A$1,1,0),IF(BH$4="休","",IF(COUNTIF(DATA!BI:BI,$A:$A)=0,"×","√")),""))</f>
        <v/>
      </c>
      <c r="BI15" s="34" t="str">
        <f ca="1">IF($A15="","",IF(IF(BI$2&lt;=$A$1,1,0),IF(BI$4="休","",IF(COUNTIF(DATA!BJ:BJ,$A:$A)=0,"×","√")),""))</f>
        <v/>
      </c>
      <c r="BJ15" s="34" t="str">
        <f ca="1">IF($A15="","",IF(IF(BJ$2&lt;=$A$1,1,0),IF(BJ$4="休","",IF(COUNTIF(DATA!BK:BK,$A:$A)=0,"×","√")),""))</f>
        <v/>
      </c>
      <c r="BK15" s="34" t="str">
        <f ca="1">IF($A15="","",IF(IF(BK$2&lt;=$A$1,1,0),IF(BK$4="休","",IF(COUNTIF(DATA!BL:BL,$A:$A)=0,"×","√")),""))</f>
        <v/>
      </c>
      <c r="BL15" s="34" t="str">
        <f ca="1">IF($A15="","",IF(IF(BL$2&lt;=$A$1,1,0),IF(BL$4="休","",IF(COUNTIF(DATA!BM:BM,$A:$A)=0,"×","√")),""))</f>
        <v/>
      </c>
      <c r="BM15" s="34" t="str">
        <f ca="1">IF($A15="","",IF(IF(BM$2&lt;=$A$1,1,0),IF(BM$4="休","",IF(COUNTIF(DATA!BN:BN,$A:$A)=0,"×","√")),""))</f>
        <v/>
      </c>
      <c r="BN15" s="34" t="str">
        <f ca="1">IF($A15="","",IF(IF(BN$2&lt;=$A$1,1,0),IF(BN$4="休","",IF(COUNTIF(DATA!BO:BO,$A:$A)=0,"×","√")),""))</f>
        <v/>
      </c>
      <c r="BO15" s="34" t="str">
        <f ca="1">IF($A15="","",IF(IF(BO$2&lt;=$A$1,1,0),IF(BO$4="休","",IF(COUNTIF(DATA!BP:BP,$A:$A)=0,"×","√")),""))</f>
        <v/>
      </c>
      <c r="BP15" s="34" t="str">
        <f ca="1">IF($A15="","",IF(IF(BP$2&lt;=$A$1,1,0),IF(BP$4="休","",IF(COUNTIF(DATA!BQ:BQ,$A:$A)=0,"×","√")),""))</f>
        <v/>
      </c>
      <c r="BQ15" s="34" t="str">
        <f ca="1">IF($A15="","",IF(IF(BQ$2&lt;=$A$1,1,0),IF(BQ$4="休","",IF(COUNTIF(DATA!BR:BR,$A:$A)=0,"×","√")),""))</f>
        <v/>
      </c>
      <c r="BR15" s="34" t="str">
        <f ca="1">IF($A15="","",IF(IF(BR$2&lt;=$A$1,1,0),IF(BR$4="休","",IF(COUNTIF(DATA!BS:BS,$A:$A)=0,"×","√")),""))</f>
        <v/>
      </c>
      <c r="BS15" s="34" t="str">
        <f ca="1">IF($A15="","",IF(IF(BS$2&lt;=$A$1,1,0),IF(BS$4="休","",IF(COUNTIF(DATA!BT:BT,$A:$A)=0,"×","√")),""))</f>
        <v/>
      </c>
      <c r="BT15" s="34" t="str">
        <f ca="1">IF($A15="","",IF(IF(BT$2&lt;=$A$1,1,0),IF(BT$4="休","",IF(COUNTIF(DATA!BU:BU,$A:$A)=0,"×","√")),""))</f>
        <v/>
      </c>
      <c r="BU15" s="34" t="str">
        <f ca="1">IF($A15="","",IF(IF(BU$2&lt;=$A$1,1,0),IF(BU$4="休","",IF(COUNTIF(DATA!BV:BV,$A:$A)=0,"×","√")),""))</f>
        <v/>
      </c>
      <c r="BV15" s="34" t="str">
        <f ca="1">IF($A15="","",IF(IF(BV$2&lt;=$A$1,1,0),IF(BV$4="休","",IF(COUNTIF(DATA!BW:BW,$A:$A)=0,"×","√")),""))</f>
        <v/>
      </c>
      <c r="BW15" s="34" t="str">
        <f ca="1">IF($A15="","",IF(IF(BW$2&lt;=$A$1,1,0),IF(BW$4="休","",IF(COUNTIF(DATA!BX:BX,$A:$A)=0,"×","√")),""))</f>
        <v/>
      </c>
      <c r="BX15" s="34" t="str">
        <f ca="1">IF($A15="","",IF(IF(BX$2&lt;=$A$1,1,0),IF(BX$4="休","",IF(COUNTIF(DATA!BY:BY,$A:$A)=0,"×","√")),""))</f>
        <v/>
      </c>
      <c r="BY15" s="34" t="str">
        <f ca="1">IF($A15="","",IF(IF(BY$2&lt;=$A$1,1,0),IF(BY$4="休","",IF(COUNTIF(DATA!BZ:BZ,$A:$A)=0,"×","√")),""))</f>
        <v/>
      </c>
      <c r="BZ15" s="34" t="str">
        <f ca="1">IF($A15="","",IF(IF(BZ$2&lt;=$A$1,1,0),IF(BZ$4="休","",IF(COUNTIF(DATA!CA:CA,$A:$A)=0,"×","√")),""))</f>
        <v/>
      </c>
      <c r="CA15" s="34" t="str">
        <f ca="1">IF($A15="","",IF(IF(CA$2&lt;=$A$1,1,0),IF(CA$4="休","",IF(COUNTIF(DATA!CB:CB,$A:$A)=0,"×","√")),""))</f>
        <v/>
      </c>
      <c r="CB15" s="34" t="str">
        <f ca="1">IF($A15="","",IF(IF(CB$2&lt;=$A$1,1,0),IF(CB$4="休","",IF(COUNTIF(DATA!CC:CC,$A:$A)=0,"×","√")),""))</f>
        <v/>
      </c>
      <c r="CC15" s="34" t="str">
        <f ca="1">IF($A15="","",IF(IF(CC$2&lt;=$A$1,1,0),IF(CC$4="休","",IF(COUNTIF(DATA!CD:CD,$A:$A)=0,"×","√")),""))</f>
        <v/>
      </c>
      <c r="CD15" s="34" t="str">
        <f ca="1">IF($A15="","",IF(IF(CD$2&lt;=$A$1,1,0),IF(CD$4="休","",IF(COUNTIF(DATA!CE:CE,$A:$A)=0,"×","√")),""))</f>
        <v/>
      </c>
      <c r="CE15" s="34" t="str">
        <f ca="1">IF($A15="","",IF(IF(CE$2&lt;=$A$1,1,0),IF(CE$4="休","",IF(COUNTIF(DATA!CF:CF,$A:$A)=0,"×","√")),""))</f>
        <v/>
      </c>
      <c r="CF15" s="34" t="str">
        <f ca="1">IF($A15="","",IF(IF(CF$2&lt;=$A$1,1,0),IF(CF$4="休","",IF(COUNTIF(DATA!CG:CG,$A:$A)=0,"×","√")),""))</f>
        <v/>
      </c>
      <c r="CG15" s="34" t="str">
        <f ca="1">IF($A15="","",IF(IF(CG$2&lt;=$A$1,1,0),IF(CG$4="休","",IF(COUNTIF(DATA!CH:CH,$A:$A)=0,"×","√")),""))</f>
        <v/>
      </c>
      <c r="CH15" s="34" t="str">
        <f ca="1">IF($A15="","",IF(IF(CH$2&lt;=$A$1,1,0),IF(CH$4="休","",IF(COUNTIF(DATA!CI:CI,$A:$A)=0,"×","√")),""))</f>
        <v/>
      </c>
      <c r="CI15" s="34" t="str">
        <f ca="1">IF($A15="","",IF(IF(CI$2&lt;=$A$1,1,0),IF(CI$4="休","",IF(COUNTIF(DATA!CJ:CJ,$A:$A)=0,"×","√")),""))</f>
        <v/>
      </c>
      <c r="CJ15" s="34" t="str">
        <f ca="1">IF($A15="","",IF(IF(CJ$2&lt;=$A$1,1,0),IF(CJ$4="休","",IF(COUNTIF(DATA!CK:CK,$A:$A)=0,"×","√")),""))</f>
        <v/>
      </c>
      <c r="CK15" s="34" t="str">
        <f ca="1">IF($A15="","",IF(IF(CK$2&lt;=$A$1,1,0),IF(CK$4="休","",IF(COUNTIF(DATA!CL:CL,$A:$A)=0,"×","√")),""))</f>
        <v/>
      </c>
      <c r="CL15" s="34" t="str">
        <f ca="1">IF($A15="","",IF(IF(CL$2&lt;=$A$1,1,0),IF(CL$4="休","",IF(COUNTIF(DATA!CM:CM,$A:$A)=0,"×","√")),""))</f>
        <v/>
      </c>
      <c r="CM15" s="34" t="str">
        <f ca="1">IF($A15="","",IF(IF(CM$2&lt;=$A$1,1,0),IF(CM$4="休","",IF(COUNTIF(DATA!CN:CN,$A:$A)=0,"×","√")),""))</f>
        <v/>
      </c>
      <c r="CN15" s="34" t="str">
        <f ca="1">IF($A15="","",IF(IF(CN$2&lt;=$A$1,1,0),IF(CN$4="休","",IF(COUNTIF(DATA!CO:CO,$A:$A)=0,"×","√")),""))</f>
        <v/>
      </c>
      <c r="CO15" s="34" t="str">
        <f ca="1">IF($A15="","",IF(IF(CO$2&lt;=$A$1,1,0),IF(CO$4="休","",IF(COUNTIF(DATA!CP:CP,$A:$A)=0,"×","√")),""))</f>
        <v/>
      </c>
      <c r="CP15" s="34" t="str">
        <f ca="1">IF($A15="","",IF(IF(CP$2&lt;=$A$1,1,0),IF(CP$4="休","",IF(COUNTIF(DATA!CQ:CQ,$A:$A)=0,"×","√")),""))</f>
        <v/>
      </c>
      <c r="CQ15" s="34" t="str">
        <f ca="1">IF($A15="","",IF(IF(CQ$2&lt;=$A$1,1,0),IF(CQ$4="休","",IF(COUNTIF(DATA!CR:CR,$A:$A)=0,"×","√")),""))</f>
        <v/>
      </c>
      <c r="CR15" s="34" t="str">
        <f ca="1">IF($A15="","",IF(IF(CR$2&lt;=$A$1,1,0),IF(CR$4="休","",IF(COUNTIF(DATA!CS:CS,$A:$A)=0,"×","√")),""))</f>
        <v/>
      </c>
    </row>
    <row r="16" s="28" customFormat="1" ht="18.75" spans="1:96">
      <c r="A16" s="34" t="str">
        <f>DATA!$A15&amp;""</f>
        <v>刘腾</v>
      </c>
      <c r="B16" s="34" t="str">
        <f ca="1">IF($A16="","",IF(IF(B$2&lt;=$A$1,1,0),IF(B$4="休","",IF(COUNTIF(DATA!C:C,$A:$A)=0,"×","√")),""))</f>
        <v>√</v>
      </c>
      <c r="C16" s="34" t="str">
        <f ca="1">IF($A16="","",IF(IF(C$2&lt;=$A$1,1,0),IF(C$4="休","",IF(COUNTIF(DATA!D:D,$A:$A)=0,"×","√")),""))</f>
        <v>√</v>
      </c>
      <c r="D16" s="34" t="str">
        <f ca="1">IF($A16="","",IF(IF(D$2&lt;=$A$1,1,0),IF(D$4="休","",IF(COUNTIF(DATA!E:E,$A:$A)=0,"×","√")),""))</f>
        <v>√</v>
      </c>
      <c r="E16" s="34" t="str">
        <f ca="1">IF($A16="","",IF(IF(E$2&lt;=$A$1,1,0),IF(E$4="休","",IF(COUNTIF(DATA!F:F,$A:$A)=0,"×","√")),""))</f>
        <v>√</v>
      </c>
      <c r="F16" s="34" t="str">
        <f ca="1">IF($A16="","",IF(IF(F$2&lt;=$A$1,1,0),IF(F$4="休","",IF(COUNTIF(DATA!G:G,$A:$A)=0,"×","√")),""))</f>
        <v>√</v>
      </c>
      <c r="G16" s="34" t="str">
        <f ca="1">IF($A16="","",IF(IF(G$2&lt;=$A$1,1,0),IF(G$4="休","",IF(COUNTIF(DATA!H:H,$A:$A)=0,"×","√")),""))</f>
        <v>√</v>
      </c>
      <c r="H16" s="34" t="str">
        <f ca="1">IF($A16="","",IF(IF(H$2&lt;=$A$1,1,0),IF(H$4="休","",IF(COUNTIF(DATA!I:I,$A:$A)=0,"×","√")),""))</f>
        <v>√</v>
      </c>
      <c r="I16" s="34" t="str">
        <f ca="1">IF($A16="","",IF(IF(I$2&lt;=$A$1,1,0),IF(I$4="休","",IF(COUNTIF(DATA!J:J,$A:$A)=0,"×","√")),""))</f>
        <v>√</v>
      </c>
      <c r="J16" s="34" t="str">
        <f ca="1">IF($A16="","",IF(IF(J$2&lt;=$A$1,1,0),IF(J$4="休","",IF(COUNTIF(DATA!K:K,$A:$A)=0,"×","√")),""))</f>
        <v>√</v>
      </c>
      <c r="K16" s="34" t="str">
        <f ca="1">IF($A16="","",IF(IF(K$2&lt;=$A$1,1,0),IF(K$4="休","",IF(COUNTIF(DATA!L:L,$A:$A)=0,"×","√")),""))</f>
        <v>√</v>
      </c>
      <c r="L16" s="34" t="str">
        <f ca="1">IF($A16="","",IF(IF(L$2&lt;=$A$1,1,0),IF(L$4="休","",IF(COUNTIF(DATA!M:M,$A:$A)=0,"×","√")),""))</f>
        <v>√</v>
      </c>
      <c r="M16" s="34" t="str">
        <f ca="1">IF($A16="","",IF(IF(M$2&lt;=$A$1,1,0),IF(M$4="休","",IF(COUNTIF(DATA!N:N,$A:$A)=0,"×","√")),""))</f>
        <v>√</v>
      </c>
      <c r="N16" s="34" t="str">
        <f ca="1">IF($A16="","",IF(IF(N$2&lt;=$A$1,1,0),IF(N$4="休","",IF(COUNTIF(DATA!O:O,$A:$A)=0,"×","√")),""))</f>
        <v>√</v>
      </c>
      <c r="O16" s="34" t="str">
        <f ca="1">IF($A16="","",IF(IF(O$2&lt;=$A$1,1,0),IF(O$4="休","",IF(COUNTIF(DATA!P:P,$A:$A)=0,"×","√")),""))</f>
        <v>×</v>
      </c>
      <c r="P16" s="34" t="str">
        <f ca="1">IF($A16="","",IF(IF(P$2&lt;=$A$1,1,0),IF(P$4="休","",IF(COUNTIF(DATA!Q:Q,$A:$A)=0,"×","√")),""))</f>
        <v/>
      </c>
      <c r="Q16" s="34" t="str">
        <f ca="1">IF($A16="","",IF(IF(Q$2&lt;=$A$1,1,0),IF(Q$4="休","",IF(COUNTIF(DATA!R:R,$A:$A)=0,"×","√")),""))</f>
        <v/>
      </c>
      <c r="R16" s="34" t="str">
        <f ca="1">IF($A16="","",IF(IF(R$2&lt;=$A$1,1,0),IF(R$4="休","",IF(COUNTIF(DATA!S:S,$A:$A)=0,"×","√")),""))</f>
        <v/>
      </c>
      <c r="S16" s="34" t="str">
        <f ca="1">IF($A16="","",IF(IF(S$2&lt;=$A$1,1,0),IF(S$4="休","",IF(COUNTIF(DATA!T:T,$A:$A)=0,"×","√")),""))</f>
        <v/>
      </c>
      <c r="T16" s="34" t="str">
        <f ca="1">IF($A16="","",IF(IF(T$2&lt;=$A$1,1,0),IF(T$4="休","",IF(COUNTIF(DATA!U:U,$A:$A)=0,"×","√")),""))</f>
        <v/>
      </c>
      <c r="U16" s="34" t="str">
        <f ca="1">IF($A16="","",IF(IF(U$2&lt;=$A$1,1,0),IF(U$4="休","",IF(COUNTIF(DATA!V:V,$A:$A)=0,"×","√")),""))</f>
        <v/>
      </c>
      <c r="V16" s="34" t="str">
        <f ca="1">IF($A16="","",IF(IF(V$2&lt;=$A$1,1,0),IF(V$4="休","",IF(COUNTIF(DATA!W:W,$A:$A)=0,"×","√")),""))</f>
        <v/>
      </c>
      <c r="W16" s="34" t="str">
        <f ca="1">IF($A16="","",IF(IF(W$2&lt;=$A$1,1,0),IF(W$4="休","",IF(COUNTIF(DATA!X:X,$A:$A)=0,"×","√")),""))</f>
        <v/>
      </c>
      <c r="X16" s="34" t="str">
        <f ca="1">IF($A16="","",IF(IF(X$2&lt;=$A$1,1,0),IF(X$4="休","",IF(COUNTIF(DATA!Y:Y,$A:$A)=0,"×","√")),""))</f>
        <v/>
      </c>
      <c r="Y16" s="34" t="str">
        <f ca="1">IF($A16="","",IF(IF(Y$2&lt;=$A$1,1,0),IF(Y$4="休","",IF(COUNTIF(DATA!Z:Z,$A:$A)=0,"×","√")),""))</f>
        <v/>
      </c>
      <c r="Z16" s="34" t="str">
        <f ca="1">IF($A16="","",IF(IF(Z$2&lt;=$A$1,1,0),IF(Z$4="休","",IF(COUNTIF(DATA!AA:AA,$A:$A)=0,"×","√")),""))</f>
        <v/>
      </c>
      <c r="AA16" s="34" t="str">
        <f ca="1">IF($A16="","",IF(IF(AA$2&lt;=$A$1,1,0),IF(AA$4="休","",IF(COUNTIF(DATA!AB:AB,$A:$A)=0,"×","√")),""))</f>
        <v/>
      </c>
      <c r="AB16" s="34" t="str">
        <f ca="1">IF($A16="","",IF(IF(AB$2&lt;=$A$1,1,0),IF(AB$4="休","",IF(COUNTIF(DATA!AC:AC,$A:$A)=0,"×","√")),""))</f>
        <v/>
      </c>
      <c r="AC16" s="34" t="str">
        <f ca="1">IF($A16="","",IF(IF(AC$2&lt;=$A$1,1,0),IF(AC$4="休","",IF(COUNTIF(DATA!AD:AD,$A:$A)=0,"×","√")),""))</f>
        <v/>
      </c>
      <c r="AD16" s="34" t="str">
        <f ca="1">IF($A16="","",IF(IF(AD$2&lt;=$A$1,1,0),IF(AD$4="休","",IF(COUNTIF(DATA!AE:AE,$A:$A)=0,"×","√")),""))</f>
        <v/>
      </c>
      <c r="AE16" s="34" t="str">
        <f ca="1">IF($A16="","",IF(IF(AE$2&lt;=$A$1,1,0),IF(AE$4="休","",IF(COUNTIF(DATA!AF:AF,$A:$A)=0,"×","√")),""))</f>
        <v/>
      </c>
      <c r="AF16" s="34" t="str">
        <f ca="1">IF($A16="","",IF(IF(AF$2&lt;=$A$1,1,0),IF(AF$4="休","",IF(COUNTIF(DATA!AG:AG,$A:$A)=0,"×","√")),""))</f>
        <v/>
      </c>
      <c r="AG16" s="34" t="str">
        <f ca="1">IF($A16="","",IF(IF(AG$2&lt;=$A$1,1,0),IF(AG$4="休","",IF(COUNTIF(DATA!AH:AH,$A:$A)=0,"×","√")),""))</f>
        <v/>
      </c>
      <c r="AH16" s="34" t="str">
        <f ca="1">IF($A16="","",IF(IF(AH$2&lt;=$A$1,1,0),IF(AH$4="休","",IF(COUNTIF(DATA!AI:AI,$A:$A)=0,"×","√")),""))</f>
        <v/>
      </c>
      <c r="AI16" s="34" t="str">
        <f ca="1">IF($A16="","",IF(IF(AI$2&lt;=$A$1,1,0),IF(AI$4="休","",IF(COUNTIF(DATA!AJ:AJ,$A:$A)=0,"×","√")),""))</f>
        <v/>
      </c>
      <c r="AJ16" s="34" t="str">
        <f ca="1">IF($A16="","",IF(IF(AJ$2&lt;=$A$1,1,0),IF(AJ$4="休","",IF(COUNTIF(DATA!AK:AK,$A:$A)=0,"×","√")),""))</f>
        <v/>
      </c>
      <c r="AK16" s="34" t="str">
        <f ca="1">IF($A16="","",IF(IF(AK$2&lt;=$A$1,1,0),IF(AK$4="休","",IF(COUNTIF(DATA!AL:AL,$A:$A)=0,"×","√")),""))</f>
        <v/>
      </c>
      <c r="AL16" s="34" t="str">
        <f ca="1">IF($A16="","",IF(IF(AL$2&lt;=$A$1,1,0),IF(AL$4="休","",IF(COUNTIF(DATA!AM:AM,$A:$A)=0,"×","√")),""))</f>
        <v/>
      </c>
      <c r="AM16" s="34" t="str">
        <f ca="1">IF($A16="","",IF(IF(AM$2&lt;=$A$1,1,0),IF(AM$4="休","",IF(COUNTIF(DATA!AN:AN,$A:$A)=0,"×","√")),""))</f>
        <v/>
      </c>
      <c r="AN16" s="34" t="str">
        <f ca="1">IF($A16="","",IF(IF(AN$2&lt;=$A$1,1,0),IF(AN$4="休","",IF(COUNTIF(DATA!AO:AO,$A:$A)=0,"×","√")),""))</f>
        <v/>
      </c>
      <c r="AO16" s="34" t="str">
        <f ca="1">IF($A16="","",IF(IF(AO$2&lt;=$A$1,1,0),IF(AO$4="休","",IF(COUNTIF(DATA!AP:AP,$A:$A)=0,"×","√")),""))</f>
        <v/>
      </c>
      <c r="AP16" s="34" t="str">
        <f ca="1">IF($A16="","",IF(IF(AP$2&lt;=$A$1,1,0),IF(AP$4="休","",IF(COUNTIF(DATA!AQ:AQ,$A:$A)=0,"×","√")),""))</f>
        <v/>
      </c>
      <c r="AQ16" s="34" t="str">
        <f ca="1">IF($A16="","",IF(IF(AQ$2&lt;=$A$1,1,0),IF(AQ$4="休","",IF(COUNTIF(DATA!AR:AR,$A:$A)=0,"×","√")),""))</f>
        <v/>
      </c>
      <c r="AR16" s="34" t="str">
        <f ca="1">IF($A16="","",IF(IF(AR$2&lt;=$A$1,1,0),IF(AR$4="休","",IF(COUNTIF(DATA!AS:AS,$A:$A)=0,"×","√")),""))</f>
        <v/>
      </c>
      <c r="AS16" s="34" t="str">
        <f ca="1">IF($A16="","",IF(IF(AS$2&lt;=$A$1,1,0),IF(AS$4="休","",IF(COUNTIF(DATA!AT:AT,$A:$A)=0,"×","√")),""))</f>
        <v/>
      </c>
      <c r="AT16" s="34" t="str">
        <f ca="1">IF($A16="","",IF(IF(AT$2&lt;=$A$1,1,0),IF(AT$4="休","",IF(COUNTIF(DATA!AU:AU,$A:$A)=0,"×","√")),""))</f>
        <v/>
      </c>
      <c r="AU16" s="34" t="str">
        <f ca="1">IF($A16="","",IF(IF(AU$2&lt;=$A$1,1,0),IF(AU$4="休","",IF(COUNTIF(DATA!AV:AV,$A:$A)=0,"×","√")),""))</f>
        <v/>
      </c>
      <c r="AV16" s="34" t="str">
        <f ca="1">IF($A16="","",IF(IF(AV$2&lt;=$A$1,1,0),IF(AV$4="休","",IF(COUNTIF(DATA!AW:AW,$A:$A)=0,"×","√")),""))</f>
        <v/>
      </c>
      <c r="AW16" s="34" t="str">
        <f ca="1">IF($A16="","",IF(IF(AW$2&lt;=$A$1,1,0),IF(AW$4="休","",IF(COUNTIF(DATA!AX:AX,$A:$A)=0,"×","√")),""))</f>
        <v/>
      </c>
      <c r="AX16" s="34" t="str">
        <f ca="1">IF($A16="","",IF(IF(AX$2&lt;=$A$1,1,0),IF(AX$4="休","",IF(COUNTIF(DATA!AY:AY,$A:$A)=0,"×","√")),""))</f>
        <v/>
      </c>
      <c r="AY16" s="34" t="str">
        <f ca="1">IF($A16="","",IF(IF(AY$2&lt;=$A$1,1,0),IF(AY$4="休","",IF(COUNTIF(DATA!AZ:AZ,$A:$A)=0,"×","√")),""))</f>
        <v/>
      </c>
      <c r="AZ16" s="34" t="str">
        <f ca="1">IF($A16="","",IF(IF(AZ$2&lt;=$A$1,1,0),IF(AZ$4="休","",IF(COUNTIF(DATA!BA:BA,$A:$A)=0,"×","√")),""))</f>
        <v/>
      </c>
      <c r="BA16" s="34" t="str">
        <f ca="1">IF($A16="","",IF(IF(BA$2&lt;=$A$1,1,0),IF(BA$4="休","",IF(COUNTIF(DATA!BB:BB,$A:$A)=0,"×","√")),""))</f>
        <v/>
      </c>
      <c r="BB16" s="34" t="str">
        <f ca="1">IF($A16="","",IF(IF(BB$2&lt;=$A$1,1,0),IF(BB$4="休","",IF(COUNTIF(DATA!BC:BC,$A:$A)=0,"×","√")),""))</f>
        <v/>
      </c>
      <c r="BC16" s="34" t="str">
        <f ca="1">IF($A16="","",IF(IF(BC$2&lt;=$A$1,1,0),IF(BC$4="休","",IF(COUNTIF(DATA!BD:BD,$A:$A)=0,"×","√")),""))</f>
        <v/>
      </c>
      <c r="BD16" s="34" t="str">
        <f ca="1">IF($A16="","",IF(IF(BD$2&lt;=$A$1,1,0),IF(BD$4="休","",IF(COUNTIF(DATA!BE:BE,$A:$A)=0,"×","√")),""))</f>
        <v/>
      </c>
      <c r="BE16" s="34" t="str">
        <f ca="1">IF($A16="","",IF(IF(BE$2&lt;=$A$1,1,0),IF(BE$4="休","",IF(COUNTIF(DATA!BF:BF,$A:$A)=0,"×","√")),""))</f>
        <v/>
      </c>
      <c r="BF16" s="34" t="str">
        <f ca="1">IF($A16="","",IF(IF(BF$2&lt;=$A$1,1,0),IF(BF$4="休","",IF(COUNTIF(DATA!BG:BG,$A:$A)=0,"×","√")),""))</f>
        <v/>
      </c>
      <c r="BG16" s="34" t="str">
        <f ca="1">IF($A16="","",IF(IF(BG$2&lt;=$A$1,1,0),IF(BG$4="休","",IF(COUNTIF(DATA!BH:BH,$A:$A)=0,"×","√")),""))</f>
        <v/>
      </c>
      <c r="BH16" s="34" t="str">
        <f ca="1">IF($A16="","",IF(IF(BH$2&lt;=$A$1,1,0),IF(BH$4="休","",IF(COUNTIF(DATA!BI:BI,$A:$A)=0,"×","√")),""))</f>
        <v/>
      </c>
      <c r="BI16" s="34" t="str">
        <f ca="1">IF($A16="","",IF(IF(BI$2&lt;=$A$1,1,0),IF(BI$4="休","",IF(COUNTIF(DATA!BJ:BJ,$A:$A)=0,"×","√")),""))</f>
        <v/>
      </c>
      <c r="BJ16" s="34" t="str">
        <f ca="1">IF($A16="","",IF(IF(BJ$2&lt;=$A$1,1,0),IF(BJ$4="休","",IF(COUNTIF(DATA!BK:BK,$A:$A)=0,"×","√")),""))</f>
        <v/>
      </c>
      <c r="BK16" s="34" t="str">
        <f ca="1">IF($A16="","",IF(IF(BK$2&lt;=$A$1,1,0),IF(BK$4="休","",IF(COUNTIF(DATA!BL:BL,$A:$A)=0,"×","√")),""))</f>
        <v/>
      </c>
      <c r="BL16" s="34" t="str">
        <f ca="1">IF($A16="","",IF(IF(BL$2&lt;=$A$1,1,0),IF(BL$4="休","",IF(COUNTIF(DATA!BM:BM,$A:$A)=0,"×","√")),""))</f>
        <v/>
      </c>
      <c r="BM16" s="34" t="str">
        <f ca="1">IF($A16="","",IF(IF(BM$2&lt;=$A$1,1,0),IF(BM$4="休","",IF(COUNTIF(DATA!BN:BN,$A:$A)=0,"×","√")),""))</f>
        <v/>
      </c>
      <c r="BN16" s="34" t="str">
        <f ca="1">IF($A16="","",IF(IF(BN$2&lt;=$A$1,1,0),IF(BN$4="休","",IF(COUNTIF(DATA!BO:BO,$A:$A)=0,"×","√")),""))</f>
        <v/>
      </c>
      <c r="BO16" s="34" t="str">
        <f ca="1">IF($A16="","",IF(IF(BO$2&lt;=$A$1,1,0),IF(BO$4="休","",IF(COUNTIF(DATA!BP:BP,$A:$A)=0,"×","√")),""))</f>
        <v/>
      </c>
      <c r="BP16" s="34" t="str">
        <f ca="1">IF($A16="","",IF(IF(BP$2&lt;=$A$1,1,0),IF(BP$4="休","",IF(COUNTIF(DATA!BQ:BQ,$A:$A)=0,"×","√")),""))</f>
        <v/>
      </c>
      <c r="BQ16" s="34" t="str">
        <f ca="1">IF($A16="","",IF(IF(BQ$2&lt;=$A$1,1,0),IF(BQ$4="休","",IF(COUNTIF(DATA!BR:BR,$A:$A)=0,"×","√")),""))</f>
        <v/>
      </c>
      <c r="BR16" s="34" t="str">
        <f ca="1">IF($A16="","",IF(IF(BR$2&lt;=$A$1,1,0),IF(BR$4="休","",IF(COUNTIF(DATA!BS:BS,$A:$A)=0,"×","√")),""))</f>
        <v/>
      </c>
      <c r="BS16" s="34" t="str">
        <f ca="1">IF($A16="","",IF(IF(BS$2&lt;=$A$1,1,0),IF(BS$4="休","",IF(COUNTIF(DATA!BT:BT,$A:$A)=0,"×","√")),""))</f>
        <v/>
      </c>
      <c r="BT16" s="34" t="str">
        <f ca="1">IF($A16="","",IF(IF(BT$2&lt;=$A$1,1,0),IF(BT$4="休","",IF(COUNTIF(DATA!BU:BU,$A:$A)=0,"×","√")),""))</f>
        <v/>
      </c>
      <c r="BU16" s="34" t="str">
        <f ca="1">IF($A16="","",IF(IF(BU$2&lt;=$A$1,1,0),IF(BU$4="休","",IF(COUNTIF(DATA!BV:BV,$A:$A)=0,"×","√")),""))</f>
        <v/>
      </c>
      <c r="BV16" s="34" t="str">
        <f ca="1">IF($A16="","",IF(IF(BV$2&lt;=$A$1,1,0),IF(BV$4="休","",IF(COUNTIF(DATA!BW:BW,$A:$A)=0,"×","√")),""))</f>
        <v/>
      </c>
      <c r="BW16" s="34" t="str">
        <f ca="1">IF($A16="","",IF(IF(BW$2&lt;=$A$1,1,0),IF(BW$4="休","",IF(COUNTIF(DATA!BX:BX,$A:$A)=0,"×","√")),""))</f>
        <v/>
      </c>
      <c r="BX16" s="34" t="str">
        <f ca="1">IF($A16="","",IF(IF(BX$2&lt;=$A$1,1,0),IF(BX$4="休","",IF(COUNTIF(DATA!BY:BY,$A:$A)=0,"×","√")),""))</f>
        <v/>
      </c>
      <c r="BY16" s="34" t="str">
        <f ca="1">IF($A16="","",IF(IF(BY$2&lt;=$A$1,1,0),IF(BY$4="休","",IF(COUNTIF(DATA!BZ:BZ,$A:$A)=0,"×","√")),""))</f>
        <v/>
      </c>
      <c r="BZ16" s="34" t="str">
        <f ca="1">IF($A16="","",IF(IF(BZ$2&lt;=$A$1,1,0),IF(BZ$4="休","",IF(COUNTIF(DATA!CA:CA,$A:$A)=0,"×","√")),""))</f>
        <v/>
      </c>
      <c r="CA16" s="34" t="str">
        <f ca="1">IF($A16="","",IF(IF(CA$2&lt;=$A$1,1,0),IF(CA$4="休","",IF(COUNTIF(DATA!CB:CB,$A:$A)=0,"×","√")),""))</f>
        <v/>
      </c>
      <c r="CB16" s="34" t="str">
        <f ca="1">IF($A16="","",IF(IF(CB$2&lt;=$A$1,1,0),IF(CB$4="休","",IF(COUNTIF(DATA!CC:CC,$A:$A)=0,"×","√")),""))</f>
        <v/>
      </c>
      <c r="CC16" s="34" t="str">
        <f ca="1">IF($A16="","",IF(IF(CC$2&lt;=$A$1,1,0),IF(CC$4="休","",IF(COUNTIF(DATA!CD:CD,$A:$A)=0,"×","√")),""))</f>
        <v/>
      </c>
      <c r="CD16" s="34" t="str">
        <f ca="1">IF($A16="","",IF(IF(CD$2&lt;=$A$1,1,0),IF(CD$4="休","",IF(COUNTIF(DATA!CE:CE,$A:$A)=0,"×","√")),""))</f>
        <v/>
      </c>
      <c r="CE16" s="34" t="str">
        <f ca="1">IF($A16="","",IF(IF(CE$2&lt;=$A$1,1,0),IF(CE$4="休","",IF(COUNTIF(DATA!CF:CF,$A:$A)=0,"×","√")),""))</f>
        <v/>
      </c>
      <c r="CF16" s="34" t="str">
        <f ca="1">IF($A16="","",IF(IF(CF$2&lt;=$A$1,1,0),IF(CF$4="休","",IF(COUNTIF(DATA!CG:CG,$A:$A)=0,"×","√")),""))</f>
        <v/>
      </c>
      <c r="CG16" s="34" t="str">
        <f ca="1">IF($A16="","",IF(IF(CG$2&lt;=$A$1,1,0),IF(CG$4="休","",IF(COUNTIF(DATA!CH:CH,$A:$A)=0,"×","√")),""))</f>
        <v/>
      </c>
      <c r="CH16" s="34" t="str">
        <f ca="1">IF($A16="","",IF(IF(CH$2&lt;=$A$1,1,0),IF(CH$4="休","",IF(COUNTIF(DATA!CI:CI,$A:$A)=0,"×","√")),""))</f>
        <v/>
      </c>
      <c r="CI16" s="34" t="str">
        <f ca="1">IF($A16="","",IF(IF(CI$2&lt;=$A$1,1,0),IF(CI$4="休","",IF(COUNTIF(DATA!CJ:CJ,$A:$A)=0,"×","√")),""))</f>
        <v/>
      </c>
      <c r="CJ16" s="34" t="str">
        <f ca="1">IF($A16="","",IF(IF(CJ$2&lt;=$A$1,1,0),IF(CJ$4="休","",IF(COUNTIF(DATA!CK:CK,$A:$A)=0,"×","√")),""))</f>
        <v/>
      </c>
      <c r="CK16" s="34" t="str">
        <f ca="1">IF($A16="","",IF(IF(CK$2&lt;=$A$1,1,0),IF(CK$4="休","",IF(COUNTIF(DATA!CL:CL,$A:$A)=0,"×","√")),""))</f>
        <v/>
      </c>
      <c r="CL16" s="34" t="str">
        <f ca="1">IF($A16="","",IF(IF(CL$2&lt;=$A$1,1,0),IF(CL$4="休","",IF(COUNTIF(DATA!CM:CM,$A:$A)=0,"×","√")),""))</f>
        <v/>
      </c>
      <c r="CM16" s="34" t="str">
        <f ca="1">IF($A16="","",IF(IF(CM$2&lt;=$A$1,1,0),IF(CM$4="休","",IF(COUNTIF(DATA!CN:CN,$A:$A)=0,"×","√")),""))</f>
        <v/>
      </c>
      <c r="CN16" s="34" t="str">
        <f ca="1">IF($A16="","",IF(IF(CN$2&lt;=$A$1,1,0),IF(CN$4="休","",IF(COUNTIF(DATA!CO:CO,$A:$A)=0,"×","√")),""))</f>
        <v/>
      </c>
      <c r="CO16" s="34" t="str">
        <f ca="1">IF($A16="","",IF(IF(CO$2&lt;=$A$1,1,0),IF(CO$4="休","",IF(COUNTIF(DATA!CP:CP,$A:$A)=0,"×","√")),""))</f>
        <v/>
      </c>
      <c r="CP16" s="34" t="str">
        <f ca="1">IF($A16="","",IF(IF(CP$2&lt;=$A$1,1,0),IF(CP$4="休","",IF(COUNTIF(DATA!CQ:CQ,$A:$A)=0,"×","√")),""))</f>
        <v/>
      </c>
      <c r="CQ16" s="34" t="str">
        <f ca="1">IF($A16="","",IF(IF(CQ$2&lt;=$A$1,1,0),IF(CQ$4="休","",IF(COUNTIF(DATA!CR:CR,$A:$A)=0,"×","√")),""))</f>
        <v/>
      </c>
      <c r="CR16" s="34" t="str">
        <f ca="1">IF($A16="","",IF(IF(CR$2&lt;=$A$1,1,0),IF(CR$4="休","",IF(COUNTIF(DATA!CS:CS,$A:$A)=0,"×","√")),""))</f>
        <v/>
      </c>
    </row>
    <row r="17" s="28" customFormat="1" ht="18.75" spans="1:96">
      <c r="A17" s="34" t="str">
        <f>DATA!$A16&amp;""</f>
        <v>项康乐</v>
      </c>
      <c r="B17" s="34" t="str">
        <f ca="1">IF($A17="","",IF(IF(B$2&lt;=$A$1,1,0),IF(B$4="休","",IF(COUNTIF(DATA!C:C,$A:$A)=0,"×","√")),""))</f>
        <v>√</v>
      </c>
      <c r="C17" s="34" t="str">
        <f ca="1">IF($A17="","",IF(IF(C$2&lt;=$A$1,1,0),IF(C$4="休","",IF(COUNTIF(DATA!D:D,$A:$A)=0,"×","√")),""))</f>
        <v>√</v>
      </c>
      <c r="D17" s="34" t="str">
        <f ca="1">IF($A17="","",IF(IF(D$2&lt;=$A$1,1,0),IF(D$4="休","",IF(COUNTIF(DATA!E:E,$A:$A)=0,"×","√")),""))</f>
        <v>√</v>
      </c>
      <c r="E17" s="34" t="str">
        <f ca="1">IF($A17="","",IF(IF(E$2&lt;=$A$1,1,0),IF(E$4="休","",IF(COUNTIF(DATA!F:F,$A:$A)=0,"×","√")),""))</f>
        <v>√</v>
      </c>
      <c r="F17" s="34" t="str">
        <f ca="1">IF($A17="","",IF(IF(F$2&lt;=$A$1,1,0),IF(F$4="休","",IF(COUNTIF(DATA!G:G,$A:$A)=0,"×","√")),""))</f>
        <v>√</v>
      </c>
      <c r="G17" s="34" t="str">
        <f ca="1">IF($A17="","",IF(IF(G$2&lt;=$A$1,1,0),IF(G$4="休","",IF(COUNTIF(DATA!H:H,$A:$A)=0,"×","√")),""))</f>
        <v>√</v>
      </c>
      <c r="H17" s="34" t="str">
        <f ca="1">IF($A17="","",IF(IF(H$2&lt;=$A$1,1,0),IF(H$4="休","",IF(COUNTIF(DATA!I:I,$A:$A)=0,"×","√")),""))</f>
        <v>√</v>
      </c>
      <c r="I17" s="34" t="str">
        <f ca="1">IF($A17="","",IF(IF(I$2&lt;=$A$1,1,0),IF(I$4="休","",IF(COUNTIF(DATA!J:J,$A:$A)=0,"×","√")),""))</f>
        <v>√</v>
      </c>
      <c r="J17" s="34" t="str">
        <f ca="1">IF($A17="","",IF(IF(J$2&lt;=$A$1,1,0),IF(J$4="休","",IF(COUNTIF(DATA!K:K,$A:$A)=0,"×","√")),""))</f>
        <v>√</v>
      </c>
      <c r="K17" s="34" t="str">
        <f ca="1">IF($A17="","",IF(IF(K$2&lt;=$A$1,1,0),IF(K$4="休","",IF(COUNTIF(DATA!L:L,$A:$A)=0,"×","√")),""))</f>
        <v>√</v>
      </c>
      <c r="L17" s="34" t="str">
        <f ca="1">IF($A17="","",IF(IF(L$2&lt;=$A$1,1,0),IF(L$4="休","",IF(COUNTIF(DATA!M:M,$A:$A)=0,"×","√")),""))</f>
        <v>√</v>
      </c>
      <c r="M17" s="34" t="str">
        <f ca="1">IF($A17="","",IF(IF(M$2&lt;=$A$1,1,0),IF(M$4="休","",IF(COUNTIF(DATA!N:N,$A:$A)=0,"×","√")),""))</f>
        <v>√</v>
      </c>
      <c r="N17" s="34" t="str">
        <f ca="1">IF($A17="","",IF(IF(N$2&lt;=$A$1,1,0),IF(N$4="休","",IF(COUNTIF(DATA!O:O,$A:$A)=0,"×","√")),""))</f>
        <v>√</v>
      </c>
      <c r="O17" s="34" t="str">
        <f ca="1">IF($A17="","",IF(IF(O$2&lt;=$A$1,1,0),IF(O$4="休","",IF(COUNTIF(DATA!P:P,$A:$A)=0,"×","√")),""))</f>
        <v>×</v>
      </c>
      <c r="P17" s="34" t="str">
        <f ca="1">IF($A17="","",IF(IF(P$2&lt;=$A$1,1,0),IF(P$4="休","",IF(COUNTIF(DATA!Q:Q,$A:$A)=0,"×","√")),""))</f>
        <v/>
      </c>
      <c r="Q17" s="34" t="str">
        <f ca="1">IF($A17="","",IF(IF(Q$2&lt;=$A$1,1,0),IF(Q$4="休","",IF(COUNTIF(DATA!R:R,$A:$A)=0,"×","√")),""))</f>
        <v/>
      </c>
      <c r="R17" s="34" t="str">
        <f ca="1">IF($A17="","",IF(IF(R$2&lt;=$A$1,1,0),IF(R$4="休","",IF(COUNTIF(DATA!S:S,$A:$A)=0,"×","√")),""))</f>
        <v/>
      </c>
      <c r="S17" s="34" t="str">
        <f ca="1">IF($A17="","",IF(IF(S$2&lt;=$A$1,1,0),IF(S$4="休","",IF(COUNTIF(DATA!T:T,$A:$A)=0,"×","√")),""))</f>
        <v/>
      </c>
      <c r="T17" s="34" t="str">
        <f ca="1">IF($A17="","",IF(IF(T$2&lt;=$A$1,1,0),IF(T$4="休","",IF(COUNTIF(DATA!U:U,$A:$A)=0,"×","√")),""))</f>
        <v/>
      </c>
      <c r="U17" s="34" t="str">
        <f ca="1">IF($A17="","",IF(IF(U$2&lt;=$A$1,1,0),IF(U$4="休","",IF(COUNTIF(DATA!V:V,$A:$A)=0,"×","√")),""))</f>
        <v/>
      </c>
      <c r="V17" s="34" t="str">
        <f ca="1">IF($A17="","",IF(IF(V$2&lt;=$A$1,1,0),IF(V$4="休","",IF(COUNTIF(DATA!W:W,$A:$A)=0,"×","√")),""))</f>
        <v/>
      </c>
      <c r="W17" s="34" t="str">
        <f ca="1">IF($A17="","",IF(IF(W$2&lt;=$A$1,1,0),IF(W$4="休","",IF(COUNTIF(DATA!X:X,$A:$A)=0,"×","√")),""))</f>
        <v/>
      </c>
      <c r="X17" s="34" t="str">
        <f ca="1">IF($A17="","",IF(IF(X$2&lt;=$A$1,1,0),IF(X$4="休","",IF(COUNTIF(DATA!Y:Y,$A:$A)=0,"×","√")),""))</f>
        <v/>
      </c>
      <c r="Y17" s="34" t="str">
        <f ca="1">IF($A17="","",IF(IF(Y$2&lt;=$A$1,1,0),IF(Y$4="休","",IF(COUNTIF(DATA!Z:Z,$A:$A)=0,"×","√")),""))</f>
        <v/>
      </c>
      <c r="Z17" s="34" t="str">
        <f ca="1">IF($A17="","",IF(IF(Z$2&lt;=$A$1,1,0),IF(Z$4="休","",IF(COUNTIF(DATA!AA:AA,$A:$A)=0,"×","√")),""))</f>
        <v/>
      </c>
      <c r="AA17" s="34" t="str">
        <f ca="1">IF($A17="","",IF(IF(AA$2&lt;=$A$1,1,0),IF(AA$4="休","",IF(COUNTIF(DATA!AB:AB,$A:$A)=0,"×","√")),""))</f>
        <v/>
      </c>
      <c r="AB17" s="34" t="str">
        <f ca="1">IF($A17="","",IF(IF(AB$2&lt;=$A$1,1,0),IF(AB$4="休","",IF(COUNTIF(DATA!AC:AC,$A:$A)=0,"×","√")),""))</f>
        <v/>
      </c>
      <c r="AC17" s="34" t="str">
        <f ca="1">IF($A17="","",IF(IF(AC$2&lt;=$A$1,1,0),IF(AC$4="休","",IF(COUNTIF(DATA!AD:AD,$A:$A)=0,"×","√")),""))</f>
        <v/>
      </c>
      <c r="AD17" s="34" t="str">
        <f ca="1">IF($A17="","",IF(IF(AD$2&lt;=$A$1,1,0),IF(AD$4="休","",IF(COUNTIF(DATA!AE:AE,$A:$A)=0,"×","√")),""))</f>
        <v/>
      </c>
      <c r="AE17" s="34" t="str">
        <f ca="1">IF($A17="","",IF(IF(AE$2&lt;=$A$1,1,0),IF(AE$4="休","",IF(COUNTIF(DATA!AF:AF,$A:$A)=0,"×","√")),""))</f>
        <v/>
      </c>
      <c r="AF17" s="34" t="str">
        <f ca="1">IF($A17="","",IF(IF(AF$2&lt;=$A$1,1,0),IF(AF$4="休","",IF(COUNTIF(DATA!AG:AG,$A:$A)=0,"×","√")),""))</f>
        <v/>
      </c>
      <c r="AG17" s="34" t="str">
        <f ca="1">IF($A17="","",IF(IF(AG$2&lt;=$A$1,1,0),IF(AG$4="休","",IF(COUNTIF(DATA!AH:AH,$A:$A)=0,"×","√")),""))</f>
        <v/>
      </c>
      <c r="AH17" s="34" t="str">
        <f ca="1">IF($A17="","",IF(IF(AH$2&lt;=$A$1,1,0),IF(AH$4="休","",IF(COUNTIF(DATA!AI:AI,$A:$A)=0,"×","√")),""))</f>
        <v/>
      </c>
      <c r="AI17" s="34" t="str">
        <f ca="1">IF($A17="","",IF(IF(AI$2&lt;=$A$1,1,0),IF(AI$4="休","",IF(COUNTIF(DATA!AJ:AJ,$A:$A)=0,"×","√")),""))</f>
        <v/>
      </c>
      <c r="AJ17" s="34" t="str">
        <f ca="1">IF($A17="","",IF(IF(AJ$2&lt;=$A$1,1,0),IF(AJ$4="休","",IF(COUNTIF(DATA!AK:AK,$A:$A)=0,"×","√")),""))</f>
        <v/>
      </c>
      <c r="AK17" s="34" t="str">
        <f ca="1">IF($A17="","",IF(IF(AK$2&lt;=$A$1,1,0),IF(AK$4="休","",IF(COUNTIF(DATA!AL:AL,$A:$A)=0,"×","√")),""))</f>
        <v/>
      </c>
      <c r="AL17" s="34" t="str">
        <f ca="1">IF($A17="","",IF(IF(AL$2&lt;=$A$1,1,0),IF(AL$4="休","",IF(COUNTIF(DATA!AM:AM,$A:$A)=0,"×","√")),""))</f>
        <v/>
      </c>
      <c r="AM17" s="34" t="str">
        <f ca="1">IF($A17="","",IF(IF(AM$2&lt;=$A$1,1,0),IF(AM$4="休","",IF(COUNTIF(DATA!AN:AN,$A:$A)=0,"×","√")),""))</f>
        <v/>
      </c>
      <c r="AN17" s="34" t="str">
        <f ca="1">IF($A17="","",IF(IF(AN$2&lt;=$A$1,1,0),IF(AN$4="休","",IF(COUNTIF(DATA!AO:AO,$A:$A)=0,"×","√")),""))</f>
        <v/>
      </c>
      <c r="AO17" s="34" t="str">
        <f ca="1">IF($A17="","",IF(IF(AO$2&lt;=$A$1,1,0),IF(AO$4="休","",IF(COUNTIF(DATA!AP:AP,$A:$A)=0,"×","√")),""))</f>
        <v/>
      </c>
      <c r="AP17" s="34" t="str">
        <f ca="1">IF($A17="","",IF(IF(AP$2&lt;=$A$1,1,0),IF(AP$4="休","",IF(COUNTIF(DATA!AQ:AQ,$A:$A)=0,"×","√")),""))</f>
        <v/>
      </c>
      <c r="AQ17" s="34" t="str">
        <f ca="1">IF($A17="","",IF(IF(AQ$2&lt;=$A$1,1,0),IF(AQ$4="休","",IF(COUNTIF(DATA!AR:AR,$A:$A)=0,"×","√")),""))</f>
        <v/>
      </c>
      <c r="AR17" s="34" t="str">
        <f ca="1">IF($A17="","",IF(IF(AR$2&lt;=$A$1,1,0),IF(AR$4="休","",IF(COUNTIF(DATA!AS:AS,$A:$A)=0,"×","√")),""))</f>
        <v/>
      </c>
      <c r="AS17" s="34" t="str">
        <f ca="1">IF($A17="","",IF(IF(AS$2&lt;=$A$1,1,0),IF(AS$4="休","",IF(COUNTIF(DATA!AT:AT,$A:$A)=0,"×","√")),""))</f>
        <v/>
      </c>
      <c r="AT17" s="34" t="str">
        <f ca="1">IF($A17="","",IF(IF(AT$2&lt;=$A$1,1,0),IF(AT$4="休","",IF(COUNTIF(DATA!AU:AU,$A:$A)=0,"×","√")),""))</f>
        <v/>
      </c>
      <c r="AU17" s="34" t="str">
        <f ca="1">IF($A17="","",IF(IF(AU$2&lt;=$A$1,1,0),IF(AU$4="休","",IF(COUNTIF(DATA!AV:AV,$A:$A)=0,"×","√")),""))</f>
        <v/>
      </c>
      <c r="AV17" s="34" t="str">
        <f ca="1">IF($A17="","",IF(IF(AV$2&lt;=$A$1,1,0),IF(AV$4="休","",IF(COUNTIF(DATA!AW:AW,$A:$A)=0,"×","√")),""))</f>
        <v/>
      </c>
      <c r="AW17" s="34" t="str">
        <f ca="1">IF($A17="","",IF(IF(AW$2&lt;=$A$1,1,0),IF(AW$4="休","",IF(COUNTIF(DATA!AX:AX,$A:$A)=0,"×","√")),""))</f>
        <v/>
      </c>
      <c r="AX17" s="34" t="str">
        <f ca="1">IF($A17="","",IF(IF(AX$2&lt;=$A$1,1,0),IF(AX$4="休","",IF(COUNTIF(DATA!AY:AY,$A:$A)=0,"×","√")),""))</f>
        <v/>
      </c>
      <c r="AY17" s="34" t="str">
        <f ca="1">IF($A17="","",IF(IF(AY$2&lt;=$A$1,1,0),IF(AY$4="休","",IF(COUNTIF(DATA!AZ:AZ,$A:$A)=0,"×","√")),""))</f>
        <v/>
      </c>
      <c r="AZ17" s="34" t="str">
        <f ca="1">IF($A17="","",IF(IF(AZ$2&lt;=$A$1,1,0),IF(AZ$4="休","",IF(COUNTIF(DATA!BA:BA,$A:$A)=0,"×","√")),""))</f>
        <v/>
      </c>
      <c r="BA17" s="34" t="str">
        <f ca="1">IF($A17="","",IF(IF(BA$2&lt;=$A$1,1,0),IF(BA$4="休","",IF(COUNTIF(DATA!BB:BB,$A:$A)=0,"×","√")),""))</f>
        <v/>
      </c>
      <c r="BB17" s="34" t="str">
        <f ca="1">IF($A17="","",IF(IF(BB$2&lt;=$A$1,1,0),IF(BB$4="休","",IF(COUNTIF(DATA!BC:BC,$A:$A)=0,"×","√")),""))</f>
        <v/>
      </c>
      <c r="BC17" s="34" t="str">
        <f ca="1">IF($A17="","",IF(IF(BC$2&lt;=$A$1,1,0),IF(BC$4="休","",IF(COUNTIF(DATA!BD:BD,$A:$A)=0,"×","√")),""))</f>
        <v/>
      </c>
      <c r="BD17" s="34" t="str">
        <f ca="1">IF($A17="","",IF(IF(BD$2&lt;=$A$1,1,0),IF(BD$4="休","",IF(COUNTIF(DATA!BE:BE,$A:$A)=0,"×","√")),""))</f>
        <v/>
      </c>
      <c r="BE17" s="34" t="str">
        <f ca="1">IF($A17="","",IF(IF(BE$2&lt;=$A$1,1,0),IF(BE$4="休","",IF(COUNTIF(DATA!BF:BF,$A:$A)=0,"×","√")),""))</f>
        <v/>
      </c>
      <c r="BF17" s="34" t="str">
        <f ca="1">IF($A17="","",IF(IF(BF$2&lt;=$A$1,1,0),IF(BF$4="休","",IF(COUNTIF(DATA!BG:BG,$A:$A)=0,"×","√")),""))</f>
        <v/>
      </c>
      <c r="BG17" s="34" t="str">
        <f ca="1">IF($A17="","",IF(IF(BG$2&lt;=$A$1,1,0),IF(BG$4="休","",IF(COUNTIF(DATA!BH:BH,$A:$A)=0,"×","√")),""))</f>
        <v/>
      </c>
      <c r="BH17" s="34" t="str">
        <f ca="1">IF($A17="","",IF(IF(BH$2&lt;=$A$1,1,0),IF(BH$4="休","",IF(COUNTIF(DATA!BI:BI,$A:$A)=0,"×","√")),""))</f>
        <v/>
      </c>
      <c r="BI17" s="34" t="str">
        <f ca="1">IF($A17="","",IF(IF(BI$2&lt;=$A$1,1,0),IF(BI$4="休","",IF(COUNTIF(DATA!BJ:BJ,$A:$A)=0,"×","√")),""))</f>
        <v/>
      </c>
      <c r="BJ17" s="34" t="str">
        <f ca="1">IF($A17="","",IF(IF(BJ$2&lt;=$A$1,1,0),IF(BJ$4="休","",IF(COUNTIF(DATA!BK:BK,$A:$A)=0,"×","√")),""))</f>
        <v/>
      </c>
      <c r="BK17" s="34" t="str">
        <f ca="1">IF($A17="","",IF(IF(BK$2&lt;=$A$1,1,0),IF(BK$4="休","",IF(COUNTIF(DATA!BL:BL,$A:$A)=0,"×","√")),""))</f>
        <v/>
      </c>
      <c r="BL17" s="34" t="str">
        <f ca="1">IF($A17="","",IF(IF(BL$2&lt;=$A$1,1,0),IF(BL$4="休","",IF(COUNTIF(DATA!BM:BM,$A:$A)=0,"×","√")),""))</f>
        <v/>
      </c>
      <c r="BM17" s="34" t="str">
        <f ca="1">IF($A17="","",IF(IF(BM$2&lt;=$A$1,1,0),IF(BM$4="休","",IF(COUNTIF(DATA!BN:BN,$A:$A)=0,"×","√")),""))</f>
        <v/>
      </c>
      <c r="BN17" s="34" t="str">
        <f ca="1">IF($A17="","",IF(IF(BN$2&lt;=$A$1,1,0),IF(BN$4="休","",IF(COUNTIF(DATA!BO:BO,$A:$A)=0,"×","√")),""))</f>
        <v/>
      </c>
      <c r="BO17" s="34" t="str">
        <f ca="1">IF($A17="","",IF(IF(BO$2&lt;=$A$1,1,0),IF(BO$4="休","",IF(COUNTIF(DATA!BP:BP,$A:$A)=0,"×","√")),""))</f>
        <v/>
      </c>
      <c r="BP17" s="34" t="str">
        <f ca="1">IF($A17="","",IF(IF(BP$2&lt;=$A$1,1,0),IF(BP$4="休","",IF(COUNTIF(DATA!BQ:BQ,$A:$A)=0,"×","√")),""))</f>
        <v/>
      </c>
      <c r="BQ17" s="34" t="str">
        <f ca="1">IF($A17="","",IF(IF(BQ$2&lt;=$A$1,1,0),IF(BQ$4="休","",IF(COUNTIF(DATA!BR:BR,$A:$A)=0,"×","√")),""))</f>
        <v/>
      </c>
      <c r="BR17" s="34" t="str">
        <f ca="1">IF($A17="","",IF(IF(BR$2&lt;=$A$1,1,0),IF(BR$4="休","",IF(COUNTIF(DATA!BS:BS,$A:$A)=0,"×","√")),""))</f>
        <v/>
      </c>
      <c r="BS17" s="34" t="str">
        <f ca="1">IF($A17="","",IF(IF(BS$2&lt;=$A$1,1,0),IF(BS$4="休","",IF(COUNTIF(DATA!BT:BT,$A:$A)=0,"×","√")),""))</f>
        <v/>
      </c>
      <c r="BT17" s="34" t="str">
        <f ca="1">IF($A17="","",IF(IF(BT$2&lt;=$A$1,1,0),IF(BT$4="休","",IF(COUNTIF(DATA!BU:BU,$A:$A)=0,"×","√")),""))</f>
        <v/>
      </c>
      <c r="BU17" s="34" t="str">
        <f ca="1">IF($A17="","",IF(IF(BU$2&lt;=$A$1,1,0),IF(BU$4="休","",IF(COUNTIF(DATA!BV:BV,$A:$A)=0,"×","√")),""))</f>
        <v/>
      </c>
      <c r="BV17" s="34" t="str">
        <f ca="1">IF($A17="","",IF(IF(BV$2&lt;=$A$1,1,0),IF(BV$4="休","",IF(COUNTIF(DATA!BW:BW,$A:$A)=0,"×","√")),""))</f>
        <v/>
      </c>
      <c r="BW17" s="34" t="str">
        <f ca="1">IF($A17="","",IF(IF(BW$2&lt;=$A$1,1,0),IF(BW$4="休","",IF(COUNTIF(DATA!BX:BX,$A:$A)=0,"×","√")),""))</f>
        <v/>
      </c>
      <c r="BX17" s="34" t="str">
        <f ca="1">IF($A17="","",IF(IF(BX$2&lt;=$A$1,1,0),IF(BX$4="休","",IF(COUNTIF(DATA!BY:BY,$A:$A)=0,"×","√")),""))</f>
        <v/>
      </c>
      <c r="BY17" s="34" t="str">
        <f ca="1">IF($A17="","",IF(IF(BY$2&lt;=$A$1,1,0),IF(BY$4="休","",IF(COUNTIF(DATA!BZ:BZ,$A:$A)=0,"×","√")),""))</f>
        <v/>
      </c>
      <c r="BZ17" s="34" t="str">
        <f ca="1">IF($A17="","",IF(IF(BZ$2&lt;=$A$1,1,0),IF(BZ$4="休","",IF(COUNTIF(DATA!CA:CA,$A:$A)=0,"×","√")),""))</f>
        <v/>
      </c>
      <c r="CA17" s="34" t="str">
        <f ca="1">IF($A17="","",IF(IF(CA$2&lt;=$A$1,1,0),IF(CA$4="休","",IF(COUNTIF(DATA!CB:CB,$A:$A)=0,"×","√")),""))</f>
        <v/>
      </c>
      <c r="CB17" s="34" t="str">
        <f ca="1">IF($A17="","",IF(IF(CB$2&lt;=$A$1,1,0),IF(CB$4="休","",IF(COUNTIF(DATA!CC:CC,$A:$A)=0,"×","√")),""))</f>
        <v/>
      </c>
      <c r="CC17" s="34" t="str">
        <f ca="1">IF($A17="","",IF(IF(CC$2&lt;=$A$1,1,0),IF(CC$4="休","",IF(COUNTIF(DATA!CD:CD,$A:$A)=0,"×","√")),""))</f>
        <v/>
      </c>
      <c r="CD17" s="34" t="str">
        <f ca="1">IF($A17="","",IF(IF(CD$2&lt;=$A$1,1,0),IF(CD$4="休","",IF(COUNTIF(DATA!CE:CE,$A:$A)=0,"×","√")),""))</f>
        <v/>
      </c>
      <c r="CE17" s="34" t="str">
        <f ca="1">IF($A17="","",IF(IF(CE$2&lt;=$A$1,1,0),IF(CE$4="休","",IF(COUNTIF(DATA!CF:CF,$A:$A)=0,"×","√")),""))</f>
        <v/>
      </c>
      <c r="CF17" s="34" t="str">
        <f ca="1">IF($A17="","",IF(IF(CF$2&lt;=$A$1,1,0),IF(CF$4="休","",IF(COUNTIF(DATA!CG:CG,$A:$A)=0,"×","√")),""))</f>
        <v/>
      </c>
      <c r="CG17" s="34" t="str">
        <f ca="1">IF($A17="","",IF(IF(CG$2&lt;=$A$1,1,0),IF(CG$4="休","",IF(COUNTIF(DATA!CH:CH,$A:$A)=0,"×","√")),""))</f>
        <v/>
      </c>
      <c r="CH17" s="34" t="str">
        <f ca="1">IF($A17="","",IF(IF(CH$2&lt;=$A$1,1,0),IF(CH$4="休","",IF(COUNTIF(DATA!CI:CI,$A:$A)=0,"×","√")),""))</f>
        <v/>
      </c>
      <c r="CI17" s="34" t="str">
        <f ca="1">IF($A17="","",IF(IF(CI$2&lt;=$A$1,1,0),IF(CI$4="休","",IF(COUNTIF(DATA!CJ:CJ,$A:$A)=0,"×","√")),""))</f>
        <v/>
      </c>
      <c r="CJ17" s="34" t="str">
        <f ca="1">IF($A17="","",IF(IF(CJ$2&lt;=$A$1,1,0),IF(CJ$4="休","",IF(COUNTIF(DATA!CK:CK,$A:$A)=0,"×","√")),""))</f>
        <v/>
      </c>
      <c r="CK17" s="34" t="str">
        <f ca="1">IF($A17="","",IF(IF(CK$2&lt;=$A$1,1,0),IF(CK$4="休","",IF(COUNTIF(DATA!CL:CL,$A:$A)=0,"×","√")),""))</f>
        <v/>
      </c>
      <c r="CL17" s="34" t="str">
        <f ca="1">IF($A17="","",IF(IF(CL$2&lt;=$A$1,1,0),IF(CL$4="休","",IF(COUNTIF(DATA!CM:CM,$A:$A)=0,"×","√")),""))</f>
        <v/>
      </c>
      <c r="CM17" s="34" t="str">
        <f ca="1">IF($A17="","",IF(IF(CM$2&lt;=$A$1,1,0),IF(CM$4="休","",IF(COUNTIF(DATA!CN:CN,$A:$A)=0,"×","√")),""))</f>
        <v/>
      </c>
      <c r="CN17" s="34" t="str">
        <f ca="1">IF($A17="","",IF(IF(CN$2&lt;=$A$1,1,0),IF(CN$4="休","",IF(COUNTIF(DATA!CO:CO,$A:$A)=0,"×","√")),""))</f>
        <v/>
      </c>
      <c r="CO17" s="34" t="str">
        <f ca="1">IF($A17="","",IF(IF(CO$2&lt;=$A$1,1,0),IF(CO$4="休","",IF(COUNTIF(DATA!CP:CP,$A:$A)=0,"×","√")),""))</f>
        <v/>
      </c>
      <c r="CP17" s="34" t="str">
        <f ca="1">IF($A17="","",IF(IF(CP$2&lt;=$A$1,1,0),IF(CP$4="休","",IF(COUNTIF(DATA!CQ:CQ,$A:$A)=0,"×","√")),""))</f>
        <v/>
      </c>
      <c r="CQ17" s="34" t="str">
        <f ca="1">IF($A17="","",IF(IF(CQ$2&lt;=$A$1,1,0),IF(CQ$4="休","",IF(COUNTIF(DATA!CR:CR,$A:$A)=0,"×","√")),""))</f>
        <v/>
      </c>
      <c r="CR17" s="34" t="str">
        <f ca="1">IF($A17="","",IF(IF(CR$2&lt;=$A$1,1,0),IF(CR$4="休","",IF(COUNTIF(DATA!CS:CS,$A:$A)=0,"×","√")),""))</f>
        <v/>
      </c>
    </row>
    <row r="18" s="28" customFormat="1" ht="18.75" spans="1:96">
      <c r="A18" s="34" t="str">
        <f>DATA!$A17&amp;""</f>
        <v>朱磊</v>
      </c>
      <c r="B18" s="34" t="str">
        <f ca="1">IF($A18="","",IF(IF(B$2&lt;=$A$1,1,0),IF(B$4="休","",IF(COUNTIF(DATA!C:C,$A:$A)=0,"×","√")),""))</f>
        <v>√</v>
      </c>
      <c r="C18" s="34" t="str">
        <f ca="1">IF($A18="","",IF(IF(C$2&lt;=$A$1,1,0),IF(C$4="休","",IF(COUNTIF(DATA!D:D,$A:$A)=0,"×","√")),""))</f>
        <v>√</v>
      </c>
      <c r="D18" s="34" t="str">
        <f ca="1">IF($A18="","",IF(IF(D$2&lt;=$A$1,1,0),IF(D$4="休","",IF(COUNTIF(DATA!E:E,$A:$A)=0,"×","√")),""))</f>
        <v>√</v>
      </c>
      <c r="E18" s="34" t="str">
        <f ca="1">IF($A18="","",IF(IF(E$2&lt;=$A$1,1,0),IF(E$4="休","",IF(COUNTIF(DATA!F:F,$A:$A)=0,"×","√")),""))</f>
        <v>√</v>
      </c>
      <c r="F18" s="34" t="str">
        <f ca="1">IF($A18="","",IF(IF(F$2&lt;=$A$1,1,0),IF(F$4="休","",IF(COUNTIF(DATA!G:G,$A:$A)=0,"×","√")),""))</f>
        <v>√</v>
      </c>
      <c r="G18" s="34" t="str">
        <f ca="1">IF($A18="","",IF(IF(G$2&lt;=$A$1,1,0),IF(G$4="休","",IF(COUNTIF(DATA!H:H,$A:$A)=0,"×","√")),""))</f>
        <v>√</v>
      </c>
      <c r="H18" s="34" t="str">
        <f ca="1">IF($A18="","",IF(IF(H$2&lt;=$A$1,1,0),IF(H$4="休","",IF(COUNTIF(DATA!I:I,$A:$A)=0,"×","√")),""))</f>
        <v>√</v>
      </c>
      <c r="I18" s="34" t="str">
        <f ca="1">IF($A18="","",IF(IF(I$2&lt;=$A$1,1,0),IF(I$4="休","",IF(COUNTIF(DATA!J:J,$A:$A)=0,"×","√")),""))</f>
        <v>√</v>
      </c>
      <c r="J18" s="34" t="str">
        <f ca="1">IF($A18="","",IF(IF(J$2&lt;=$A$1,1,0),IF(J$4="休","",IF(COUNTIF(DATA!K:K,$A:$A)=0,"×","√")),""))</f>
        <v>√</v>
      </c>
      <c r="K18" s="34" t="str">
        <f ca="1">IF($A18="","",IF(IF(K$2&lt;=$A$1,1,0),IF(K$4="休","",IF(COUNTIF(DATA!L:L,$A:$A)=0,"×","√")),""))</f>
        <v>√</v>
      </c>
      <c r="L18" s="34" t="str">
        <f ca="1">IF($A18="","",IF(IF(L$2&lt;=$A$1,1,0),IF(L$4="休","",IF(COUNTIF(DATA!M:M,$A:$A)=0,"×","√")),""))</f>
        <v>√</v>
      </c>
      <c r="M18" s="34" t="str">
        <f ca="1">IF($A18="","",IF(IF(M$2&lt;=$A$1,1,0),IF(M$4="休","",IF(COUNTIF(DATA!N:N,$A:$A)=0,"×","√")),""))</f>
        <v>√</v>
      </c>
      <c r="N18" s="34" t="str">
        <f ca="1">IF($A18="","",IF(IF(N$2&lt;=$A$1,1,0),IF(N$4="休","",IF(COUNTIF(DATA!O:O,$A:$A)=0,"×","√")),""))</f>
        <v>√</v>
      </c>
      <c r="O18" s="34" t="str">
        <f ca="1">IF($A18="","",IF(IF(O$2&lt;=$A$1,1,0),IF(O$4="休","",IF(COUNTIF(DATA!P:P,$A:$A)=0,"×","√")),""))</f>
        <v>×</v>
      </c>
      <c r="P18" s="34" t="str">
        <f ca="1">IF($A18="","",IF(IF(P$2&lt;=$A$1,1,0),IF(P$4="休","",IF(COUNTIF(DATA!Q:Q,$A:$A)=0,"×","√")),""))</f>
        <v/>
      </c>
      <c r="Q18" s="34" t="str">
        <f ca="1">IF($A18="","",IF(IF(Q$2&lt;=$A$1,1,0),IF(Q$4="休","",IF(COUNTIF(DATA!R:R,$A:$A)=0,"×","√")),""))</f>
        <v/>
      </c>
      <c r="R18" s="34" t="str">
        <f ca="1">IF($A18="","",IF(IF(R$2&lt;=$A$1,1,0),IF(R$4="休","",IF(COUNTIF(DATA!S:S,$A:$A)=0,"×","√")),""))</f>
        <v/>
      </c>
      <c r="S18" s="34" t="str">
        <f ca="1">IF($A18="","",IF(IF(S$2&lt;=$A$1,1,0),IF(S$4="休","",IF(COUNTIF(DATA!T:T,$A:$A)=0,"×","√")),""))</f>
        <v/>
      </c>
      <c r="T18" s="34" t="str">
        <f ca="1">IF($A18="","",IF(IF(T$2&lt;=$A$1,1,0),IF(T$4="休","",IF(COUNTIF(DATA!U:U,$A:$A)=0,"×","√")),""))</f>
        <v/>
      </c>
      <c r="U18" s="34" t="str">
        <f ca="1">IF($A18="","",IF(IF(U$2&lt;=$A$1,1,0),IF(U$4="休","",IF(COUNTIF(DATA!V:V,$A:$A)=0,"×","√")),""))</f>
        <v/>
      </c>
      <c r="V18" s="34" t="str">
        <f ca="1">IF($A18="","",IF(IF(V$2&lt;=$A$1,1,0),IF(V$4="休","",IF(COUNTIF(DATA!W:W,$A:$A)=0,"×","√")),""))</f>
        <v/>
      </c>
      <c r="W18" s="34" t="str">
        <f ca="1">IF($A18="","",IF(IF(W$2&lt;=$A$1,1,0),IF(W$4="休","",IF(COUNTIF(DATA!X:X,$A:$A)=0,"×","√")),""))</f>
        <v/>
      </c>
      <c r="X18" s="34" t="str">
        <f ca="1">IF($A18="","",IF(IF(X$2&lt;=$A$1,1,0),IF(X$4="休","",IF(COUNTIF(DATA!Y:Y,$A:$A)=0,"×","√")),""))</f>
        <v/>
      </c>
      <c r="Y18" s="34" t="str">
        <f ca="1">IF($A18="","",IF(IF(Y$2&lt;=$A$1,1,0),IF(Y$4="休","",IF(COUNTIF(DATA!Z:Z,$A:$A)=0,"×","√")),""))</f>
        <v/>
      </c>
      <c r="Z18" s="34" t="str">
        <f ca="1">IF($A18="","",IF(IF(Z$2&lt;=$A$1,1,0),IF(Z$4="休","",IF(COUNTIF(DATA!AA:AA,$A:$A)=0,"×","√")),""))</f>
        <v/>
      </c>
      <c r="AA18" s="34" t="str">
        <f ca="1">IF($A18="","",IF(IF(AA$2&lt;=$A$1,1,0),IF(AA$4="休","",IF(COUNTIF(DATA!AB:AB,$A:$A)=0,"×","√")),""))</f>
        <v/>
      </c>
      <c r="AB18" s="34" t="str">
        <f ca="1">IF($A18="","",IF(IF(AB$2&lt;=$A$1,1,0),IF(AB$4="休","",IF(COUNTIF(DATA!AC:AC,$A:$A)=0,"×","√")),""))</f>
        <v/>
      </c>
      <c r="AC18" s="34" t="str">
        <f ca="1">IF($A18="","",IF(IF(AC$2&lt;=$A$1,1,0),IF(AC$4="休","",IF(COUNTIF(DATA!AD:AD,$A:$A)=0,"×","√")),""))</f>
        <v/>
      </c>
      <c r="AD18" s="34" t="str">
        <f ca="1">IF($A18="","",IF(IF(AD$2&lt;=$A$1,1,0),IF(AD$4="休","",IF(COUNTIF(DATA!AE:AE,$A:$A)=0,"×","√")),""))</f>
        <v/>
      </c>
      <c r="AE18" s="34" t="str">
        <f ca="1">IF($A18="","",IF(IF(AE$2&lt;=$A$1,1,0),IF(AE$4="休","",IF(COUNTIF(DATA!AF:AF,$A:$A)=0,"×","√")),""))</f>
        <v/>
      </c>
      <c r="AF18" s="34" t="str">
        <f ca="1">IF($A18="","",IF(IF(AF$2&lt;=$A$1,1,0),IF(AF$4="休","",IF(COUNTIF(DATA!AG:AG,$A:$A)=0,"×","√")),""))</f>
        <v/>
      </c>
      <c r="AG18" s="34" t="str">
        <f ca="1">IF($A18="","",IF(IF(AG$2&lt;=$A$1,1,0),IF(AG$4="休","",IF(COUNTIF(DATA!AH:AH,$A:$A)=0,"×","√")),""))</f>
        <v/>
      </c>
      <c r="AH18" s="34" t="str">
        <f ca="1">IF($A18="","",IF(IF(AH$2&lt;=$A$1,1,0),IF(AH$4="休","",IF(COUNTIF(DATA!AI:AI,$A:$A)=0,"×","√")),""))</f>
        <v/>
      </c>
      <c r="AI18" s="34" t="str">
        <f ca="1">IF($A18="","",IF(IF(AI$2&lt;=$A$1,1,0),IF(AI$4="休","",IF(COUNTIF(DATA!AJ:AJ,$A:$A)=0,"×","√")),""))</f>
        <v/>
      </c>
      <c r="AJ18" s="34" t="str">
        <f ca="1">IF($A18="","",IF(IF(AJ$2&lt;=$A$1,1,0),IF(AJ$4="休","",IF(COUNTIF(DATA!AK:AK,$A:$A)=0,"×","√")),""))</f>
        <v/>
      </c>
      <c r="AK18" s="34" t="str">
        <f ca="1">IF($A18="","",IF(IF(AK$2&lt;=$A$1,1,0),IF(AK$4="休","",IF(COUNTIF(DATA!AL:AL,$A:$A)=0,"×","√")),""))</f>
        <v/>
      </c>
      <c r="AL18" s="34" t="str">
        <f ca="1">IF($A18="","",IF(IF(AL$2&lt;=$A$1,1,0),IF(AL$4="休","",IF(COUNTIF(DATA!AM:AM,$A:$A)=0,"×","√")),""))</f>
        <v/>
      </c>
      <c r="AM18" s="34" t="str">
        <f ca="1">IF($A18="","",IF(IF(AM$2&lt;=$A$1,1,0),IF(AM$4="休","",IF(COUNTIF(DATA!AN:AN,$A:$A)=0,"×","√")),""))</f>
        <v/>
      </c>
      <c r="AN18" s="34" t="str">
        <f ca="1">IF($A18="","",IF(IF(AN$2&lt;=$A$1,1,0),IF(AN$4="休","",IF(COUNTIF(DATA!AO:AO,$A:$A)=0,"×","√")),""))</f>
        <v/>
      </c>
      <c r="AO18" s="34" t="str">
        <f ca="1">IF($A18="","",IF(IF(AO$2&lt;=$A$1,1,0),IF(AO$4="休","",IF(COUNTIF(DATA!AP:AP,$A:$A)=0,"×","√")),""))</f>
        <v/>
      </c>
      <c r="AP18" s="34" t="str">
        <f ca="1">IF($A18="","",IF(IF(AP$2&lt;=$A$1,1,0),IF(AP$4="休","",IF(COUNTIF(DATA!AQ:AQ,$A:$A)=0,"×","√")),""))</f>
        <v/>
      </c>
      <c r="AQ18" s="34" t="str">
        <f ca="1">IF($A18="","",IF(IF(AQ$2&lt;=$A$1,1,0),IF(AQ$4="休","",IF(COUNTIF(DATA!AR:AR,$A:$A)=0,"×","√")),""))</f>
        <v/>
      </c>
      <c r="AR18" s="34" t="str">
        <f ca="1">IF($A18="","",IF(IF(AR$2&lt;=$A$1,1,0),IF(AR$4="休","",IF(COUNTIF(DATA!AS:AS,$A:$A)=0,"×","√")),""))</f>
        <v/>
      </c>
      <c r="AS18" s="34" t="str">
        <f ca="1">IF($A18="","",IF(IF(AS$2&lt;=$A$1,1,0),IF(AS$4="休","",IF(COUNTIF(DATA!AT:AT,$A:$A)=0,"×","√")),""))</f>
        <v/>
      </c>
      <c r="AT18" s="34" t="str">
        <f ca="1">IF($A18="","",IF(IF(AT$2&lt;=$A$1,1,0),IF(AT$4="休","",IF(COUNTIF(DATA!AU:AU,$A:$A)=0,"×","√")),""))</f>
        <v/>
      </c>
      <c r="AU18" s="34" t="str">
        <f ca="1">IF($A18="","",IF(IF(AU$2&lt;=$A$1,1,0),IF(AU$4="休","",IF(COUNTIF(DATA!AV:AV,$A:$A)=0,"×","√")),""))</f>
        <v/>
      </c>
      <c r="AV18" s="34" t="str">
        <f ca="1">IF($A18="","",IF(IF(AV$2&lt;=$A$1,1,0),IF(AV$4="休","",IF(COUNTIF(DATA!AW:AW,$A:$A)=0,"×","√")),""))</f>
        <v/>
      </c>
      <c r="AW18" s="34" t="str">
        <f ca="1">IF($A18="","",IF(IF(AW$2&lt;=$A$1,1,0),IF(AW$4="休","",IF(COUNTIF(DATA!AX:AX,$A:$A)=0,"×","√")),""))</f>
        <v/>
      </c>
      <c r="AX18" s="34" t="str">
        <f ca="1">IF($A18="","",IF(IF(AX$2&lt;=$A$1,1,0),IF(AX$4="休","",IF(COUNTIF(DATA!AY:AY,$A:$A)=0,"×","√")),""))</f>
        <v/>
      </c>
      <c r="AY18" s="34" t="str">
        <f ca="1">IF($A18="","",IF(IF(AY$2&lt;=$A$1,1,0),IF(AY$4="休","",IF(COUNTIF(DATA!AZ:AZ,$A:$A)=0,"×","√")),""))</f>
        <v/>
      </c>
      <c r="AZ18" s="34" t="str">
        <f ca="1">IF($A18="","",IF(IF(AZ$2&lt;=$A$1,1,0),IF(AZ$4="休","",IF(COUNTIF(DATA!BA:BA,$A:$A)=0,"×","√")),""))</f>
        <v/>
      </c>
      <c r="BA18" s="34" t="str">
        <f ca="1">IF($A18="","",IF(IF(BA$2&lt;=$A$1,1,0),IF(BA$4="休","",IF(COUNTIF(DATA!BB:BB,$A:$A)=0,"×","√")),""))</f>
        <v/>
      </c>
      <c r="BB18" s="34" t="str">
        <f ca="1">IF($A18="","",IF(IF(BB$2&lt;=$A$1,1,0),IF(BB$4="休","",IF(COUNTIF(DATA!BC:BC,$A:$A)=0,"×","√")),""))</f>
        <v/>
      </c>
      <c r="BC18" s="34" t="str">
        <f ca="1">IF($A18="","",IF(IF(BC$2&lt;=$A$1,1,0),IF(BC$4="休","",IF(COUNTIF(DATA!BD:BD,$A:$A)=0,"×","√")),""))</f>
        <v/>
      </c>
      <c r="BD18" s="34" t="str">
        <f ca="1">IF($A18="","",IF(IF(BD$2&lt;=$A$1,1,0),IF(BD$4="休","",IF(COUNTIF(DATA!BE:BE,$A:$A)=0,"×","√")),""))</f>
        <v/>
      </c>
      <c r="BE18" s="34" t="str">
        <f ca="1">IF($A18="","",IF(IF(BE$2&lt;=$A$1,1,0),IF(BE$4="休","",IF(COUNTIF(DATA!BF:BF,$A:$A)=0,"×","√")),""))</f>
        <v/>
      </c>
      <c r="BF18" s="34" t="str">
        <f ca="1">IF($A18="","",IF(IF(BF$2&lt;=$A$1,1,0),IF(BF$4="休","",IF(COUNTIF(DATA!BG:BG,$A:$A)=0,"×","√")),""))</f>
        <v/>
      </c>
      <c r="BG18" s="34" t="str">
        <f ca="1">IF($A18="","",IF(IF(BG$2&lt;=$A$1,1,0),IF(BG$4="休","",IF(COUNTIF(DATA!BH:BH,$A:$A)=0,"×","√")),""))</f>
        <v/>
      </c>
      <c r="BH18" s="34" t="str">
        <f ca="1">IF($A18="","",IF(IF(BH$2&lt;=$A$1,1,0),IF(BH$4="休","",IF(COUNTIF(DATA!BI:BI,$A:$A)=0,"×","√")),""))</f>
        <v/>
      </c>
      <c r="BI18" s="34" t="str">
        <f ca="1">IF($A18="","",IF(IF(BI$2&lt;=$A$1,1,0),IF(BI$4="休","",IF(COUNTIF(DATA!BJ:BJ,$A:$A)=0,"×","√")),""))</f>
        <v/>
      </c>
      <c r="BJ18" s="34" t="str">
        <f ca="1">IF($A18="","",IF(IF(BJ$2&lt;=$A$1,1,0),IF(BJ$4="休","",IF(COUNTIF(DATA!BK:BK,$A:$A)=0,"×","√")),""))</f>
        <v/>
      </c>
      <c r="BK18" s="34" t="str">
        <f ca="1">IF($A18="","",IF(IF(BK$2&lt;=$A$1,1,0),IF(BK$4="休","",IF(COUNTIF(DATA!BL:BL,$A:$A)=0,"×","√")),""))</f>
        <v/>
      </c>
      <c r="BL18" s="34" t="str">
        <f ca="1">IF($A18="","",IF(IF(BL$2&lt;=$A$1,1,0),IF(BL$4="休","",IF(COUNTIF(DATA!BM:BM,$A:$A)=0,"×","√")),""))</f>
        <v/>
      </c>
      <c r="BM18" s="34" t="str">
        <f ca="1">IF($A18="","",IF(IF(BM$2&lt;=$A$1,1,0),IF(BM$4="休","",IF(COUNTIF(DATA!BN:BN,$A:$A)=0,"×","√")),""))</f>
        <v/>
      </c>
      <c r="BN18" s="34" t="str">
        <f ca="1">IF($A18="","",IF(IF(BN$2&lt;=$A$1,1,0),IF(BN$4="休","",IF(COUNTIF(DATA!BO:BO,$A:$A)=0,"×","√")),""))</f>
        <v/>
      </c>
      <c r="BO18" s="34" t="str">
        <f ca="1">IF($A18="","",IF(IF(BO$2&lt;=$A$1,1,0),IF(BO$4="休","",IF(COUNTIF(DATA!BP:BP,$A:$A)=0,"×","√")),""))</f>
        <v/>
      </c>
      <c r="BP18" s="34" t="str">
        <f ca="1">IF($A18="","",IF(IF(BP$2&lt;=$A$1,1,0),IF(BP$4="休","",IF(COUNTIF(DATA!BQ:BQ,$A:$A)=0,"×","√")),""))</f>
        <v/>
      </c>
      <c r="BQ18" s="34" t="str">
        <f ca="1">IF($A18="","",IF(IF(BQ$2&lt;=$A$1,1,0),IF(BQ$4="休","",IF(COUNTIF(DATA!BR:BR,$A:$A)=0,"×","√")),""))</f>
        <v/>
      </c>
      <c r="BR18" s="34" t="str">
        <f ca="1">IF($A18="","",IF(IF(BR$2&lt;=$A$1,1,0),IF(BR$4="休","",IF(COUNTIF(DATA!BS:BS,$A:$A)=0,"×","√")),""))</f>
        <v/>
      </c>
      <c r="BS18" s="34" t="str">
        <f ca="1">IF($A18="","",IF(IF(BS$2&lt;=$A$1,1,0),IF(BS$4="休","",IF(COUNTIF(DATA!BT:BT,$A:$A)=0,"×","√")),""))</f>
        <v/>
      </c>
      <c r="BT18" s="34" t="str">
        <f ca="1">IF($A18="","",IF(IF(BT$2&lt;=$A$1,1,0),IF(BT$4="休","",IF(COUNTIF(DATA!BU:BU,$A:$A)=0,"×","√")),""))</f>
        <v/>
      </c>
      <c r="BU18" s="34" t="str">
        <f ca="1">IF($A18="","",IF(IF(BU$2&lt;=$A$1,1,0),IF(BU$4="休","",IF(COUNTIF(DATA!BV:BV,$A:$A)=0,"×","√")),""))</f>
        <v/>
      </c>
      <c r="BV18" s="34" t="str">
        <f ca="1">IF($A18="","",IF(IF(BV$2&lt;=$A$1,1,0),IF(BV$4="休","",IF(COUNTIF(DATA!BW:BW,$A:$A)=0,"×","√")),""))</f>
        <v/>
      </c>
      <c r="BW18" s="34" t="str">
        <f ca="1">IF($A18="","",IF(IF(BW$2&lt;=$A$1,1,0),IF(BW$4="休","",IF(COUNTIF(DATA!BX:BX,$A:$A)=0,"×","√")),""))</f>
        <v/>
      </c>
      <c r="BX18" s="34" t="str">
        <f ca="1">IF($A18="","",IF(IF(BX$2&lt;=$A$1,1,0),IF(BX$4="休","",IF(COUNTIF(DATA!BY:BY,$A:$A)=0,"×","√")),""))</f>
        <v/>
      </c>
      <c r="BY18" s="34" t="str">
        <f ca="1">IF($A18="","",IF(IF(BY$2&lt;=$A$1,1,0),IF(BY$4="休","",IF(COUNTIF(DATA!BZ:BZ,$A:$A)=0,"×","√")),""))</f>
        <v/>
      </c>
      <c r="BZ18" s="34" t="str">
        <f ca="1">IF($A18="","",IF(IF(BZ$2&lt;=$A$1,1,0),IF(BZ$4="休","",IF(COUNTIF(DATA!CA:CA,$A:$A)=0,"×","√")),""))</f>
        <v/>
      </c>
      <c r="CA18" s="34" t="str">
        <f ca="1">IF($A18="","",IF(IF(CA$2&lt;=$A$1,1,0),IF(CA$4="休","",IF(COUNTIF(DATA!CB:CB,$A:$A)=0,"×","√")),""))</f>
        <v/>
      </c>
      <c r="CB18" s="34" t="str">
        <f ca="1">IF($A18="","",IF(IF(CB$2&lt;=$A$1,1,0),IF(CB$4="休","",IF(COUNTIF(DATA!CC:CC,$A:$A)=0,"×","√")),""))</f>
        <v/>
      </c>
      <c r="CC18" s="34" t="str">
        <f ca="1">IF($A18="","",IF(IF(CC$2&lt;=$A$1,1,0),IF(CC$4="休","",IF(COUNTIF(DATA!CD:CD,$A:$A)=0,"×","√")),""))</f>
        <v/>
      </c>
      <c r="CD18" s="34" t="str">
        <f ca="1">IF($A18="","",IF(IF(CD$2&lt;=$A$1,1,0),IF(CD$4="休","",IF(COUNTIF(DATA!CE:CE,$A:$A)=0,"×","√")),""))</f>
        <v/>
      </c>
      <c r="CE18" s="34" t="str">
        <f ca="1">IF($A18="","",IF(IF(CE$2&lt;=$A$1,1,0),IF(CE$4="休","",IF(COUNTIF(DATA!CF:CF,$A:$A)=0,"×","√")),""))</f>
        <v/>
      </c>
      <c r="CF18" s="34" t="str">
        <f ca="1">IF($A18="","",IF(IF(CF$2&lt;=$A$1,1,0),IF(CF$4="休","",IF(COUNTIF(DATA!CG:CG,$A:$A)=0,"×","√")),""))</f>
        <v/>
      </c>
      <c r="CG18" s="34" t="str">
        <f ca="1">IF($A18="","",IF(IF(CG$2&lt;=$A$1,1,0),IF(CG$4="休","",IF(COUNTIF(DATA!CH:CH,$A:$A)=0,"×","√")),""))</f>
        <v/>
      </c>
      <c r="CH18" s="34" t="str">
        <f ca="1">IF($A18="","",IF(IF(CH$2&lt;=$A$1,1,0),IF(CH$4="休","",IF(COUNTIF(DATA!CI:CI,$A:$A)=0,"×","√")),""))</f>
        <v/>
      </c>
      <c r="CI18" s="34" t="str">
        <f ca="1">IF($A18="","",IF(IF(CI$2&lt;=$A$1,1,0),IF(CI$4="休","",IF(COUNTIF(DATA!CJ:CJ,$A:$A)=0,"×","√")),""))</f>
        <v/>
      </c>
      <c r="CJ18" s="34" t="str">
        <f ca="1">IF($A18="","",IF(IF(CJ$2&lt;=$A$1,1,0),IF(CJ$4="休","",IF(COUNTIF(DATA!CK:CK,$A:$A)=0,"×","√")),""))</f>
        <v/>
      </c>
      <c r="CK18" s="34" t="str">
        <f ca="1">IF($A18="","",IF(IF(CK$2&lt;=$A$1,1,0),IF(CK$4="休","",IF(COUNTIF(DATA!CL:CL,$A:$A)=0,"×","√")),""))</f>
        <v/>
      </c>
      <c r="CL18" s="34" t="str">
        <f ca="1">IF($A18="","",IF(IF(CL$2&lt;=$A$1,1,0),IF(CL$4="休","",IF(COUNTIF(DATA!CM:CM,$A:$A)=0,"×","√")),""))</f>
        <v/>
      </c>
      <c r="CM18" s="34" t="str">
        <f ca="1">IF($A18="","",IF(IF(CM$2&lt;=$A$1,1,0),IF(CM$4="休","",IF(COUNTIF(DATA!CN:CN,$A:$A)=0,"×","√")),""))</f>
        <v/>
      </c>
      <c r="CN18" s="34" t="str">
        <f ca="1">IF($A18="","",IF(IF(CN$2&lt;=$A$1,1,0),IF(CN$4="休","",IF(COUNTIF(DATA!CO:CO,$A:$A)=0,"×","√")),""))</f>
        <v/>
      </c>
      <c r="CO18" s="34" t="str">
        <f ca="1">IF($A18="","",IF(IF(CO$2&lt;=$A$1,1,0),IF(CO$4="休","",IF(COUNTIF(DATA!CP:CP,$A:$A)=0,"×","√")),""))</f>
        <v/>
      </c>
      <c r="CP18" s="34" t="str">
        <f ca="1">IF($A18="","",IF(IF(CP$2&lt;=$A$1,1,0),IF(CP$4="休","",IF(COUNTIF(DATA!CQ:CQ,$A:$A)=0,"×","√")),""))</f>
        <v/>
      </c>
      <c r="CQ18" s="34" t="str">
        <f ca="1">IF($A18="","",IF(IF(CQ$2&lt;=$A$1,1,0),IF(CQ$4="休","",IF(COUNTIF(DATA!CR:CR,$A:$A)=0,"×","√")),""))</f>
        <v/>
      </c>
      <c r="CR18" s="34" t="str">
        <f ca="1">IF($A18="","",IF(IF(CR$2&lt;=$A$1,1,0),IF(CR$4="休","",IF(COUNTIF(DATA!CS:CS,$A:$A)=0,"×","√")),""))</f>
        <v/>
      </c>
    </row>
    <row r="19" s="28" customFormat="1" ht="18.75" spans="1:96">
      <c r="A19" s="34" t="str">
        <f>DATA!$A18&amp;""</f>
        <v>乔坤</v>
      </c>
      <c r="B19" s="34" t="str">
        <f ca="1">IF($A19="","",IF(IF(B$2&lt;=$A$1,1,0),IF(B$4="休","",IF(COUNTIF(DATA!C:C,$A:$A)=0,"×","√")),""))</f>
        <v>√</v>
      </c>
      <c r="C19" s="34" t="str">
        <f ca="1">IF($A19="","",IF(IF(C$2&lt;=$A$1,1,0),IF(C$4="休","",IF(COUNTIF(DATA!D:D,$A:$A)=0,"×","√")),""))</f>
        <v>√</v>
      </c>
      <c r="D19" s="34" t="str">
        <f ca="1">IF($A19="","",IF(IF(D$2&lt;=$A$1,1,0),IF(D$4="休","",IF(COUNTIF(DATA!E:E,$A:$A)=0,"×","√")),""))</f>
        <v>√</v>
      </c>
      <c r="E19" s="34" t="str">
        <f ca="1">IF($A19="","",IF(IF(E$2&lt;=$A$1,1,0),IF(E$4="休","",IF(COUNTIF(DATA!F:F,$A:$A)=0,"×","√")),""))</f>
        <v>√</v>
      </c>
      <c r="F19" s="34" t="str">
        <f ca="1">IF($A19="","",IF(IF(F$2&lt;=$A$1,1,0),IF(F$4="休","",IF(COUNTIF(DATA!G:G,$A:$A)=0,"×","√")),""))</f>
        <v>√</v>
      </c>
      <c r="G19" s="34" t="str">
        <f ca="1">IF($A19="","",IF(IF(G$2&lt;=$A$1,1,0),IF(G$4="休","",IF(COUNTIF(DATA!H:H,$A:$A)=0,"×","√")),""))</f>
        <v>√</v>
      </c>
      <c r="H19" s="34" t="str">
        <f ca="1">IF($A19="","",IF(IF(H$2&lt;=$A$1,1,0),IF(H$4="休","",IF(COUNTIF(DATA!I:I,$A:$A)=0,"×","√")),""))</f>
        <v>√</v>
      </c>
      <c r="I19" s="34" t="str">
        <f ca="1">IF($A19="","",IF(IF(I$2&lt;=$A$1,1,0),IF(I$4="休","",IF(COUNTIF(DATA!J:J,$A:$A)=0,"×","√")),""))</f>
        <v>√</v>
      </c>
      <c r="J19" s="34" t="str">
        <f ca="1">IF($A19="","",IF(IF(J$2&lt;=$A$1,1,0),IF(J$4="休","",IF(COUNTIF(DATA!K:K,$A:$A)=0,"×","√")),""))</f>
        <v>√</v>
      </c>
      <c r="K19" s="34" t="str">
        <f ca="1">IF($A19="","",IF(IF(K$2&lt;=$A$1,1,0),IF(K$4="休","",IF(COUNTIF(DATA!L:L,$A:$A)=0,"×","√")),""))</f>
        <v>√</v>
      </c>
      <c r="L19" s="34" t="str">
        <f ca="1">IF($A19="","",IF(IF(L$2&lt;=$A$1,1,0),IF(L$4="休","",IF(COUNTIF(DATA!M:M,$A:$A)=0,"×","√")),""))</f>
        <v>√</v>
      </c>
      <c r="M19" s="34" t="str">
        <f ca="1">IF($A19="","",IF(IF(M$2&lt;=$A$1,1,0),IF(M$4="休","",IF(COUNTIF(DATA!N:N,$A:$A)=0,"×","√")),""))</f>
        <v>√</v>
      </c>
      <c r="N19" s="34" t="str">
        <f ca="1">IF($A19="","",IF(IF(N$2&lt;=$A$1,1,0),IF(N$4="休","",IF(COUNTIF(DATA!O:O,$A:$A)=0,"×","√")),""))</f>
        <v>√</v>
      </c>
      <c r="O19" s="34" t="str">
        <f ca="1">IF($A19="","",IF(IF(O$2&lt;=$A$1,1,0),IF(O$4="休","",IF(COUNTIF(DATA!P:P,$A:$A)=0,"×","√")),""))</f>
        <v>×</v>
      </c>
      <c r="P19" s="34" t="str">
        <f ca="1">IF($A19="","",IF(IF(P$2&lt;=$A$1,1,0),IF(P$4="休","",IF(COUNTIF(DATA!Q:Q,$A:$A)=0,"×","√")),""))</f>
        <v/>
      </c>
      <c r="Q19" s="34" t="str">
        <f ca="1">IF($A19="","",IF(IF(Q$2&lt;=$A$1,1,0),IF(Q$4="休","",IF(COUNTIF(DATA!R:R,$A:$A)=0,"×","√")),""))</f>
        <v/>
      </c>
      <c r="R19" s="34" t="str">
        <f ca="1">IF($A19="","",IF(IF(R$2&lt;=$A$1,1,0),IF(R$4="休","",IF(COUNTIF(DATA!S:S,$A:$A)=0,"×","√")),""))</f>
        <v/>
      </c>
      <c r="S19" s="34" t="str">
        <f ca="1">IF($A19="","",IF(IF(S$2&lt;=$A$1,1,0),IF(S$4="休","",IF(COUNTIF(DATA!T:T,$A:$A)=0,"×","√")),""))</f>
        <v/>
      </c>
      <c r="T19" s="34" t="str">
        <f ca="1">IF($A19="","",IF(IF(T$2&lt;=$A$1,1,0),IF(T$4="休","",IF(COUNTIF(DATA!U:U,$A:$A)=0,"×","√")),""))</f>
        <v/>
      </c>
      <c r="U19" s="34" t="str">
        <f ca="1">IF($A19="","",IF(IF(U$2&lt;=$A$1,1,0),IF(U$4="休","",IF(COUNTIF(DATA!V:V,$A:$A)=0,"×","√")),""))</f>
        <v/>
      </c>
      <c r="V19" s="34" t="str">
        <f ca="1">IF($A19="","",IF(IF(V$2&lt;=$A$1,1,0),IF(V$4="休","",IF(COUNTIF(DATA!W:W,$A:$A)=0,"×","√")),""))</f>
        <v/>
      </c>
      <c r="W19" s="34" t="str">
        <f ca="1">IF($A19="","",IF(IF(W$2&lt;=$A$1,1,0),IF(W$4="休","",IF(COUNTIF(DATA!X:X,$A:$A)=0,"×","√")),""))</f>
        <v/>
      </c>
      <c r="X19" s="34" t="str">
        <f ca="1">IF($A19="","",IF(IF(X$2&lt;=$A$1,1,0),IF(X$4="休","",IF(COUNTIF(DATA!Y:Y,$A:$A)=0,"×","√")),""))</f>
        <v/>
      </c>
      <c r="Y19" s="34" t="str">
        <f ca="1">IF($A19="","",IF(IF(Y$2&lt;=$A$1,1,0),IF(Y$4="休","",IF(COUNTIF(DATA!Z:Z,$A:$A)=0,"×","√")),""))</f>
        <v/>
      </c>
      <c r="Z19" s="34" t="str">
        <f ca="1">IF($A19="","",IF(IF(Z$2&lt;=$A$1,1,0),IF(Z$4="休","",IF(COUNTIF(DATA!AA:AA,$A:$A)=0,"×","√")),""))</f>
        <v/>
      </c>
      <c r="AA19" s="34" t="str">
        <f ca="1">IF($A19="","",IF(IF(AA$2&lt;=$A$1,1,0),IF(AA$4="休","",IF(COUNTIF(DATA!AB:AB,$A:$A)=0,"×","√")),""))</f>
        <v/>
      </c>
      <c r="AB19" s="34" t="str">
        <f ca="1">IF($A19="","",IF(IF(AB$2&lt;=$A$1,1,0),IF(AB$4="休","",IF(COUNTIF(DATA!AC:AC,$A:$A)=0,"×","√")),""))</f>
        <v/>
      </c>
      <c r="AC19" s="34" t="str">
        <f ca="1">IF($A19="","",IF(IF(AC$2&lt;=$A$1,1,0),IF(AC$4="休","",IF(COUNTIF(DATA!AD:AD,$A:$A)=0,"×","√")),""))</f>
        <v/>
      </c>
      <c r="AD19" s="34" t="str">
        <f ca="1">IF($A19="","",IF(IF(AD$2&lt;=$A$1,1,0),IF(AD$4="休","",IF(COUNTIF(DATA!AE:AE,$A:$A)=0,"×","√")),""))</f>
        <v/>
      </c>
      <c r="AE19" s="34" t="str">
        <f ca="1">IF($A19="","",IF(IF(AE$2&lt;=$A$1,1,0),IF(AE$4="休","",IF(COUNTIF(DATA!AF:AF,$A:$A)=0,"×","√")),""))</f>
        <v/>
      </c>
      <c r="AF19" s="34" t="str">
        <f ca="1">IF($A19="","",IF(IF(AF$2&lt;=$A$1,1,0),IF(AF$4="休","",IF(COUNTIF(DATA!AG:AG,$A:$A)=0,"×","√")),""))</f>
        <v/>
      </c>
      <c r="AG19" s="34" t="str">
        <f ca="1">IF($A19="","",IF(IF(AG$2&lt;=$A$1,1,0),IF(AG$4="休","",IF(COUNTIF(DATA!AH:AH,$A:$A)=0,"×","√")),""))</f>
        <v/>
      </c>
      <c r="AH19" s="34" t="str">
        <f ca="1">IF($A19="","",IF(IF(AH$2&lt;=$A$1,1,0),IF(AH$4="休","",IF(COUNTIF(DATA!AI:AI,$A:$A)=0,"×","√")),""))</f>
        <v/>
      </c>
      <c r="AI19" s="34" t="str">
        <f ca="1">IF($A19="","",IF(IF(AI$2&lt;=$A$1,1,0),IF(AI$4="休","",IF(COUNTIF(DATA!AJ:AJ,$A:$A)=0,"×","√")),""))</f>
        <v/>
      </c>
      <c r="AJ19" s="34" t="str">
        <f ca="1">IF($A19="","",IF(IF(AJ$2&lt;=$A$1,1,0),IF(AJ$4="休","",IF(COUNTIF(DATA!AK:AK,$A:$A)=0,"×","√")),""))</f>
        <v/>
      </c>
      <c r="AK19" s="34" t="str">
        <f ca="1">IF($A19="","",IF(IF(AK$2&lt;=$A$1,1,0),IF(AK$4="休","",IF(COUNTIF(DATA!AL:AL,$A:$A)=0,"×","√")),""))</f>
        <v/>
      </c>
      <c r="AL19" s="34" t="str">
        <f ca="1">IF($A19="","",IF(IF(AL$2&lt;=$A$1,1,0),IF(AL$4="休","",IF(COUNTIF(DATA!AM:AM,$A:$A)=0,"×","√")),""))</f>
        <v/>
      </c>
      <c r="AM19" s="34" t="str">
        <f ca="1">IF($A19="","",IF(IF(AM$2&lt;=$A$1,1,0),IF(AM$4="休","",IF(COUNTIF(DATA!AN:AN,$A:$A)=0,"×","√")),""))</f>
        <v/>
      </c>
      <c r="AN19" s="34" t="str">
        <f ca="1">IF($A19="","",IF(IF(AN$2&lt;=$A$1,1,0),IF(AN$4="休","",IF(COUNTIF(DATA!AO:AO,$A:$A)=0,"×","√")),""))</f>
        <v/>
      </c>
      <c r="AO19" s="34" t="str">
        <f ca="1">IF($A19="","",IF(IF(AO$2&lt;=$A$1,1,0),IF(AO$4="休","",IF(COUNTIF(DATA!AP:AP,$A:$A)=0,"×","√")),""))</f>
        <v/>
      </c>
      <c r="AP19" s="34" t="str">
        <f ca="1">IF($A19="","",IF(IF(AP$2&lt;=$A$1,1,0),IF(AP$4="休","",IF(COUNTIF(DATA!AQ:AQ,$A:$A)=0,"×","√")),""))</f>
        <v/>
      </c>
      <c r="AQ19" s="34" t="str">
        <f ca="1">IF($A19="","",IF(IF(AQ$2&lt;=$A$1,1,0),IF(AQ$4="休","",IF(COUNTIF(DATA!AR:AR,$A:$A)=0,"×","√")),""))</f>
        <v/>
      </c>
      <c r="AR19" s="34" t="str">
        <f ca="1">IF($A19="","",IF(IF(AR$2&lt;=$A$1,1,0),IF(AR$4="休","",IF(COUNTIF(DATA!AS:AS,$A:$A)=0,"×","√")),""))</f>
        <v/>
      </c>
      <c r="AS19" s="34" t="str">
        <f ca="1">IF($A19="","",IF(IF(AS$2&lt;=$A$1,1,0),IF(AS$4="休","",IF(COUNTIF(DATA!AT:AT,$A:$A)=0,"×","√")),""))</f>
        <v/>
      </c>
      <c r="AT19" s="34" t="str">
        <f ca="1">IF($A19="","",IF(IF(AT$2&lt;=$A$1,1,0),IF(AT$4="休","",IF(COUNTIF(DATA!AU:AU,$A:$A)=0,"×","√")),""))</f>
        <v/>
      </c>
      <c r="AU19" s="34" t="str">
        <f ca="1">IF($A19="","",IF(IF(AU$2&lt;=$A$1,1,0),IF(AU$4="休","",IF(COUNTIF(DATA!AV:AV,$A:$A)=0,"×","√")),""))</f>
        <v/>
      </c>
      <c r="AV19" s="34" t="str">
        <f ca="1">IF($A19="","",IF(IF(AV$2&lt;=$A$1,1,0),IF(AV$4="休","",IF(COUNTIF(DATA!AW:AW,$A:$A)=0,"×","√")),""))</f>
        <v/>
      </c>
      <c r="AW19" s="34" t="str">
        <f ca="1">IF($A19="","",IF(IF(AW$2&lt;=$A$1,1,0),IF(AW$4="休","",IF(COUNTIF(DATA!AX:AX,$A:$A)=0,"×","√")),""))</f>
        <v/>
      </c>
      <c r="AX19" s="34" t="str">
        <f ca="1">IF($A19="","",IF(IF(AX$2&lt;=$A$1,1,0),IF(AX$4="休","",IF(COUNTIF(DATA!AY:AY,$A:$A)=0,"×","√")),""))</f>
        <v/>
      </c>
      <c r="AY19" s="34" t="str">
        <f ca="1">IF($A19="","",IF(IF(AY$2&lt;=$A$1,1,0),IF(AY$4="休","",IF(COUNTIF(DATA!AZ:AZ,$A:$A)=0,"×","√")),""))</f>
        <v/>
      </c>
      <c r="AZ19" s="34" t="str">
        <f ca="1">IF($A19="","",IF(IF(AZ$2&lt;=$A$1,1,0),IF(AZ$4="休","",IF(COUNTIF(DATA!BA:BA,$A:$A)=0,"×","√")),""))</f>
        <v/>
      </c>
      <c r="BA19" s="34" t="str">
        <f ca="1">IF($A19="","",IF(IF(BA$2&lt;=$A$1,1,0),IF(BA$4="休","",IF(COUNTIF(DATA!BB:BB,$A:$A)=0,"×","√")),""))</f>
        <v/>
      </c>
      <c r="BB19" s="34" t="str">
        <f ca="1">IF($A19="","",IF(IF(BB$2&lt;=$A$1,1,0),IF(BB$4="休","",IF(COUNTIF(DATA!BC:BC,$A:$A)=0,"×","√")),""))</f>
        <v/>
      </c>
      <c r="BC19" s="34" t="str">
        <f ca="1">IF($A19="","",IF(IF(BC$2&lt;=$A$1,1,0),IF(BC$4="休","",IF(COUNTIF(DATA!BD:BD,$A:$A)=0,"×","√")),""))</f>
        <v/>
      </c>
      <c r="BD19" s="34" t="str">
        <f ca="1">IF($A19="","",IF(IF(BD$2&lt;=$A$1,1,0),IF(BD$4="休","",IF(COUNTIF(DATA!BE:BE,$A:$A)=0,"×","√")),""))</f>
        <v/>
      </c>
      <c r="BE19" s="34" t="str">
        <f ca="1">IF($A19="","",IF(IF(BE$2&lt;=$A$1,1,0),IF(BE$4="休","",IF(COUNTIF(DATA!BF:BF,$A:$A)=0,"×","√")),""))</f>
        <v/>
      </c>
      <c r="BF19" s="34" t="str">
        <f ca="1">IF($A19="","",IF(IF(BF$2&lt;=$A$1,1,0),IF(BF$4="休","",IF(COUNTIF(DATA!BG:BG,$A:$A)=0,"×","√")),""))</f>
        <v/>
      </c>
      <c r="BG19" s="34" t="str">
        <f ca="1">IF($A19="","",IF(IF(BG$2&lt;=$A$1,1,0),IF(BG$4="休","",IF(COUNTIF(DATA!BH:BH,$A:$A)=0,"×","√")),""))</f>
        <v/>
      </c>
      <c r="BH19" s="34" t="str">
        <f ca="1">IF($A19="","",IF(IF(BH$2&lt;=$A$1,1,0),IF(BH$4="休","",IF(COUNTIF(DATA!BI:BI,$A:$A)=0,"×","√")),""))</f>
        <v/>
      </c>
      <c r="BI19" s="34" t="str">
        <f ca="1">IF($A19="","",IF(IF(BI$2&lt;=$A$1,1,0),IF(BI$4="休","",IF(COUNTIF(DATA!BJ:BJ,$A:$A)=0,"×","√")),""))</f>
        <v/>
      </c>
      <c r="BJ19" s="34" t="str">
        <f ca="1">IF($A19="","",IF(IF(BJ$2&lt;=$A$1,1,0),IF(BJ$4="休","",IF(COUNTIF(DATA!BK:BK,$A:$A)=0,"×","√")),""))</f>
        <v/>
      </c>
      <c r="BK19" s="34" t="str">
        <f ca="1">IF($A19="","",IF(IF(BK$2&lt;=$A$1,1,0),IF(BK$4="休","",IF(COUNTIF(DATA!BL:BL,$A:$A)=0,"×","√")),""))</f>
        <v/>
      </c>
      <c r="BL19" s="34" t="str">
        <f ca="1">IF($A19="","",IF(IF(BL$2&lt;=$A$1,1,0),IF(BL$4="休","",IF(COUNTIF(DATA!BM:BM,$A:$A)=0,"×","√")),""))</f>
        <v/>
      </c>
      <c r="BM19" s="34" t="str">
        <f ca="1">IF($A19="","",IF(IF(BM$2&lt;=$A$1,1,0),IF(BM$4="休","",IF(COUNTIF(DATA!BN:BN,$A:$A)=0,"×","√")),""))</f>
        <v/>
      </c>
      <c r="BN19" s="34" t="str">
        <f ca="1">IF($A19="","",IF(IF(BN$2&lt;=$A$1,1,0),IF(BN$4="休","",IF(COUNTIF(DATA!BO:BO,$A:$A)=0,"×","√")),""))</f>
        <v/>
      </c>
      <c r="BO19" s="34" t="str">
        <f ca="1">IF($A19="","",IF(IF(BO$2&lt;=$A$1,1,0),IF(BO$4="休","",IF(COUNTIF(DATA!BP:BP,$A:$A)=0,"×","√")),""))</f>
        <v/>
      </c>
      <c r="BP19" s="34" t="str">
        <f ca="1">IF($A19="","",IF(IF(BP$2&lt;=$A$1,1,0),IF(BP$4="休","",IF(COUNTIF(DATA!BQ:BQ,$A:$A)=0,"×","√")),""))</f>
        <v/>
      </c>
      <c r="BQ19" s="34" t="str">
        <f ca="1">IF($A19="","",IF(IF(BQ$2&lt;=$A$1,1,0),IF(BQ$4="休","",IF(COUNTIF(DATA!BR:BR,$A:$A)=0,"×","√")),""))</f>
        <v/>
      </c>
      <c r="BR19" s="34" t="str">
        <f ca="1">IF($A19="","",IF(IF(BR$2&lt;=$A$1,1,0),IF(BR$4="休","",IF(COUNTIF(DATA!BS:BS,$A:$A)=0,"×","√")),""))</f>
        <v/>
      </c>
      <c r="BS19" s="34" t="str">
        <f ca="1">IF($A19="","",IF(IF(BS$2&lt;=$A$1,1,0),IF(BS$4="休","",IF(COUNTIF(DATA!BT:BT,$A:$A)=0,"×","√")),""))</f>
        <v/>
      </c>
      <c r="BT19" s="34" t="str">
        <f ca="1">IF($A19="","",IF(IF(BT$2&lt;=$A$1,1,0),IF(BT$4="休","",IF(COUNTIF(DATA!BU:BU,$A:$A)=0,"×","√")),""))</f>
        <v/>
      </c>
      <c r="BU19" s="34" t="str">
        <f ca="1">IF($A19="","",IF(IF(BU$2&lt;=$A$1,1,0),IF(BU$4="休","",IF(COUNTIF(DATA!BV:BV,$A:$A)=0,"×","√")),""))</f>
        <v/>
      </c>
      <c r="BV19" s="34" t="str">
        <f ca="1">IF($A19="","",IF(IF(BV$2&lt;=$A$1,1,0),IF(BV$4="休","",IF(COUNTIF(DATA!BW:BW,$A:$A)=0,"×","√")),""))</f>
        <v/>
      </c>
      <c r="BW19" s="34" t="str">
        <f ca="1">IF($A19="","",IF(IF(BW$2&lt;=$A$1,1,0),IF(BW$4="休","",IF(COUNTIF(DATA!BX:BX,$A:$A)=0,"×","√")),""))</f>
        <v/>
      </c>
      <c r="BX19" s="34" t="str">
        <f ca="1">IF($A19="","",IF(IF(BX$2&lt;=$A$1,1,0),IF(BX$4="休","",IF(COUNTIF(DATA!BY:BY,$A:$A)=0,"×","√")),""))</f>
        <v/>
      </c>
      <c r="BY19" s="34" t="str">
        <f ca="1">IF($A19="","",IF(IF(BY$2&lt;=$A$1,1,0),IF(BY$4="休","",IF(COUNTIF(DATA!BZ:BZ,$A:$A)=0,"×","√")),""))</f>
        <v/>
      </c>
      <c r="BZ19" s="34" t="str">
        <f ca="1">IF($A19="","",IF(IF(BZ$2&lt;=$A$1,1,0),IF(BZ$4="休","",IF(COUNTIF(DATA!CA:CA,$A:$A)=0,"×","√")),""))</f>
        <v/>
      </c>
      <c r="CA19" s="34" t="str">
        <f ca="1">IF($A19="","",IF(IF(CA$2&lt;=$A$1,1,0),IF(CA$4="休","",IF(COUNTIF(DATA!CB:CB,$A:$A)=0,"×","√")),""))</f>
        <v/>
      </c>
      <c r="CB19" s="34" t="str">
        <f ca="1">IF($A19="","",IF(IF(CB$2&lt;=$A$1,1,0),IF(CB$4="休","",IF(COUNTIF(DATA!CC:CC,$A:$A)=0,"×","√")),""))</f>
        <v/>
      </c>
      <c r="CC19" s="34" t="str">
        <f ca="1">IF($A19="","",IF(IF(CC$2&lt;=$A$1,1,0),IF(CC$4="休","",IF(COUNTIF(DATA!CD:CD,$A:$A)=0,"×","√")),""))</f>
        <v/>
      </c>
      <c r="CD19" s="34" t="str">
        <f ca="1">IF($A19="","",IF(IF(CD$2&lt;=$A$1,1,0),IF(CD$4="休","",IF(COUNTIF(DATA!CE:CE,$A:$A)=0,"×","√")),""))</f>
        <v/>
      </c>
      <c r="CE19" s="34" t="str">
        <f ca="1">IF($A19="","",IF(IF(CE$2&lt;=$A$1,1,0),IF(CE$4="休","",IF(COUNTIF(DATA!CF:CF,$A:$A)=0,"×","√")),""))</f>
        <v/>
      </c>
      <c r="CF19" s="34" t="str">
        <f ca="1">IF($A19="","",IF(IF(CF$2&lt;=$A$1,1,0),IF(CF$4="休","",IF(COUNTIF(DATA!CG:CG,$A:$A)=0,"×","√")),""))</f>
        <v/>
      </c>
      <c r="CG19" s="34" t="str">
        <f ca="1">IF($A19="","",IF(IF(CG$2&lt;=$A$1,1,0),IF(CG$4="休","",IF(COUNTIF(DATA!CH:CH,$A:$A)=0,"×","√")),""))</f>
        <v/>
      </c>
      <c r="CH19" s="34" t="str">
        <f ca="1">IF($A19="","",IF(IF(CH$2&lt;=$A$1,1,0),IF(CH$4="休","",IF(COUNTIF(DATA!CI:CI,$A:$A)=0,"×","√")),""))</f>
        <v/>
      </c>
      <c r="CI19" s="34" t="str">
        <f ca="1">IF($A19="","",IF(IF(CI$2&lt;=$A$1,1,0),IF(CI$4="休","",IF(COUNTIF(DATA!CJ:CJ,$A:$A)=0,"×","√")),""))</f>
        <v/>
      </c>
      <c r="CJ19" s="34" t="str">
        <f ca="1">IF($A19="","",IF(IF(CJ$2&lt;=$A$1,1,0),IF(CJ$4="休","",IF(COUNTIF(DATA!CK:CK,$A:$A)=0,"×","√")),""))</f>
        <v/>
      </c>
      <c r="CK19" s="34" t="str">
        <f ca="1">IF($A19="","",IF(IF(CK$2&lt;=$A$1,1,0),IF(CK$4="休","",IF(COUNTIF(DATA!CL:CL,$A:$A)=0,"×","√")),""))</f>
        <v/>
      </c>
      <c r="CL19" s="34" t="str">
        <f ca="1">IF($A19="","",IF(IF(CL$2&lt;=$A$1,1,0),IF(CL$4="休","",IF(COUNTIF(DATA!CM:CM,$A:$A)=0,"×","√")),""))</f>
        <v/>
      </c>
      <c r="CM19" s="34" t="str">
        <f ca="1">IF($A19="","",IF(IF(CM$2&lt;=$A$1,1,0),IF(CM$4="休","",IF(COUNTIF(DATA!CN:CN,$A:$A)=0,"×","√")),""))</f>
        <v/>
      </c>
      <c r="CN19" s="34" t="str">
        <f ca="1">IF($A19="","",IF(IF(CN$2&lt;=$A$1,1,0),IF(CN$4="休","",IF(COUNTIF(DATA!CO:CO,$A:$A)=0,"×","√")),""))</f>
        <v/>
      </c>
      <c r="CO19" s="34" t="str">
        <f ca="1">IF($A19="","",IF(IF(CO$2&lt;=$A$1,1,0),IF(CO$4="休","",IF(COUNTIF(DATA!CP:CP,$A:$A)=0,"×","√")),""))</f>
        <v/>
      </c>
      <c r="CP19" s="34" t="str">
        <f ca="1">IF($A19="","",IF(IF(CP$2&lt;=$A$1,1,0),IF(CP$4="休","",IF(COUNTIF(DATA!CQ:CQ,$A:$A)=0,"×","√")),""))</f>
        <v/>
      </c>
      <c r="CQ19" s="34" t="str">
        <f ca="1">IF($A19="","",IF(IF(CQ$2&lt;=$A$1,1,0),IF(CQ$4="休","",IF(COUNTIF(DATA!CR:CR,$A:$A)=0,"×","√")),""))</f>
        <v/>
      </c>
      <c r="CR19" s="34" t="str">
        <f ca="1">IF($A19="","",IF(IF(CR$2&lt;=$A$1,1,0),IF(CR$4="休","",IF(COUNTIF(DATA!CS:CS,$A:$A)=0,"×","√")),""))</f>
        <v/>
      </c>
    </row>
    <row r="20" s="28" customFormat="1" ht="18.75" spans="1:96">
      <c r="A20" s="34" t="str">
        <f>DATA!$A19&amp;""</f>
        <v>吴自强</v>
      </c>
      <c r="B20" s="34" t="str">
        <f ca="1">IF($A20="","",IF(IF(B$2&lt;=$A$1,1,0),IF(B$4="休","",IF(COUNTIF(DATA!C:C,$A:$A)=0,"×","√")),""))</f>
        <v>√</v>
      </c>
      <c r="C20" s="34" t="str">
        <f ca="1">IF($A20="","",IF(IF(C$2&lt;=$A$1,1,0),IF(C$4="休","",IF(COUNTIF(DATA!D:D,$A:$A)=0,"×","√")),""))</f>
        <v>√</v>
      </c>
      <c r="D20" s="34" t="str">
        <f ca="1">IF($A20="","",IF(IF(D$2&lt;=$A$1,1,0),IF(D$4="休","",IF(COUNTIF(DATA!E:E,$A:$A)=0,"×","√")),""))</f>
        <v>√</v>
      </c>
      <c r="E20" s="34" t="str">
        <f ca="1">IF($A20="","",IF(IF(E$2&lt;=$A$1,1,0),IF(E$4="休","",IF(COUNTIF(DATA!F:F,$A:$A)=0,"×","√")),""))</f>
        <v>√</v>
      </c>
      <c r="F20" s="34" t="str">
        <f ca="1">IF($A20="","",IF(IF(F$2&lt;=$A$1,1,0),IF(F$4="休","",IF(COUNTIF(DATA!G:G,$A:$A)=0,"×","√")),""))</f>
        <v>√</v>
      </c>
      <c r="G20" s="34" t="str">
        <f ca="1">IF($A20="","",IF(IF(G$2&lt;=$A$1,1,0),IF(G$4="休","",IF(COUNTIF(DATA!H:H,$A:$A)=0,"×","√")),""))</f>
        <v>√</v>
      </c>
      <c r="H20" s="34" t="str">
        <f ca="1">IF($A20="","",IF(IF(H$2&lt;=$A$1,1,0),IF(H$4="休","",IF(COUNTIF(DATA!I:I,$A:$A)=0,"×","√")),""))</f>
        <v>√</v>
      </c>
      <c r="I20" s="34" t="str">
        <f ca="1">IF($A20="","",IF(IF(I$2&lt;=$A$1,1,0),IF(I$4="休","",IF(COUNTIF(DATA!J:J,$A:$A)=0,"×","√")),""))</f>
        <v>√</v>
      </c>
      <c r="J20" s="34" t="str">
        <f ca="1">IF($A20="","",IF(IF(J$2&lt;=$A$1,1,0),IF(J$4="休","",IF(COUNTIF(DATA!K:K,$A:$A)=0,"×","√")),""))</f>
        <v>√</v>
      </c>
      <c r="K20" s="34" t="str">
        <f ca="1">IF($A20="","",IF(IF(K$2&lt;=$A$1,1,0),IF(K$4="休","",IF(COUNTIF(DATA!L:L,$A:$A)=0,"×","√")),""))</f>
        <v>√</v>
      </c>
      <c r="L20" s="34" t="str">
        <f ca="1">IF($A20="","",IF(IF(L$2&lt;=$A$1,1,0),IF(L$4="休","",IF(COUNTIF(DATA!M:M,$A:$A)=0,"×","√")),""))</f>
        <v>√</v>
      </c>
      <c r="M20" s="34" t="str">
        <f ca="1">IF($A20="","",IF(IF(M$2&lt;=$A$1,1,0),IF(M$4="休","",IF(COUNTIF(DATA!N:N,$A:$A)=0,"×","√")),""))</f>
        <v>√</v>
      </c>
      <c r="N20" s="34" t="str">
        <f ca="1">IF($A20="","",IF(IF(N$2&lt;=$A$1,1,0),IF(N$4="休","",IF(COUNTIF(DATA!O:O,$A:$A)=0,"×","√")),""))</f>
        <v>√</v>
      </c>
      <c r="O20" s="34" t="str">
        <f ca="1">IF($A20="","",IF(IF(O$2&lt;=$A$1,1,0),IF(O$4="休","",IF(COUNTIF(DATA!P:P,$A:$A)=0,"×","√")),""))</f>
        <v>×</v>
      </c>
      <c r="P20" s="34" t="str">
        <f ca="1">IF($A20="","",IF(IF(P$2&lt;=$A$1,1,0),IF(P$4="休","",IF(COUNTIF(DATA!Q:Q,$A:$A)=0,"×","√")),""))</f>
        <v/>
      </c>
      <c r="Q20" s="34" t="str">
        <f ca="1">IF($A20="","",IF(IF(Q$2&lt;=$A$1,1,0),IF(Q$4="休","",IF(COUNTIF(DATA!R:R,$A:$A)=0,"×","√")),""))</f>
        <v/>
      </c>
      <c r="R20" s="34" t="str">
        <f ca="1">IF($A20="","",IF(IF(R$2&lt;=$A$1,1,0),IF(R$4="休","",IF(COUNTIF(DATA!S:S,$A:$A)=0,"×","√")),""))</f>
        <v/>
      </c>
      <c r="S20" s="34" t="str">
        <f ca="1">IF($A20="","",IF(IF(S$2&lt;=$A$1,1,0),IF(S$4="休","",IF(COUNTIF(DATA!T:T,$A:$A)=0,"×","√")),""))</f>
        <v/>
      </c>
      <c r="T20" s="34" t="str">
        <f ca="1">IF($A20="","",IF(IF(T$2&lt;=$A$1,1,0),IF(T$4="休","",IF(COUNTIF(DATA!U:U,$A:$A)=0,"×","√")),""))</f>
        <v/>
      </c>
      <c r="U20" s="34" t="str">
        <f ca="1">IF($A20="","",IF(IF(U$2&lt;=$A$1,1,0),IF(U$4="休","",IF(COUNTIF(DATA!V:V,$A:$A)=0,"×","√")),""))</f>
        <v/>
      </c>
      <c r="V20" s="34" t="str">
        <f ca="1">IF($A20="","",IF(IF(V$2&lt;=$A$1,1,0),IF(V$4="休","",IF(COUNTIF(DATA!W:W,$A:$A)=0,"×","√")),""))</f>
        <v/>
      </c>
      <c r="W20" s="34" t="str">
        <f ca="1">IF($A20="","",IF(IF(W$2&lt;=$A$1,1,0),IF(W$4="休","",IF(COUNTIF(DATA!X:X,$A:$A)=0,"×","√")),""))</f>
        <v/>
      </c>
      <c r="X20" s="34" t="str">
        <f ca="1">IF($A20="","",IF(IF(X$2&lt;=$A$1,1,0),IF(X$4="休","",IF(COUNTIF(DATA!Y:Y,$A:$A)=0,"×","√")),""))</f>
        <v/>
      </c>
      <c r="Y20" s="34" t="str">
        <f ca="1">IF($A20="","",IF(IF(Y$2&lt;=$A$1,1,0),IF(Y$4="休","",IF(COUNTIF(DATA!Z:Z,$A:$A)=0,"×","√")),""))</f>
        <v/>
      </c>
      <c r="Z20" s="34" t="str">
        <f ca="1">IF($A20="","",IF(IF(Z$2&lt;=$A$1,1,0),IF(Z$4="休","",IF(COUNTIF(DATA!AA:AA,$A:$A)=0,"×","√")),""))</f>
        <v/>
      </c>
      <c r="AA20" s="34" t="str">
        <f ca="1">IF($A20="","",IF(IF(AA$2&lt;=$A$1,1,0),IF(AA$4="休","",IF(COUNTIF(DATA!AB:AB,$A:$A)=0,"×","√")),""))</f>
        <v/>
      </c>
      <c r="AB20" s="34" t="str">
        <f ca="1">IF($A20="","",IF(IF(AB$2&lt;=$A$1,1,0),IF(AB$4="休","",IF(COUNTIF(DATA!AC:AC,$A:$A)=0,"×","√")),""))</f>
        <v/>
      </c>
      <c r="AC20" s="34" t="str">
        <f ca="1">IF($A20="","",IF(IF(AC$2&lt;=$A$1,1,0),IF(AC$4="休","",IF(COUNTIF(DATA!AD:AD,$A:$A)=0,"×","√")),""))</f>
        <v/>
      </c>
      <c r="AD20" s="34" t="str">
        <f ca="1">IF($A20="","",IF(IF(AD$2&lt;=$A$1,1,0),IF(AD$4="休","",IF(COUNTIF(DATA!AE:AE,$A:$A)=0,"×","√")),""))</f>
        <v/>
      </c>
      <c r="AE20" s="34" t="str">
        <f ca="1">IF($A20="","",IF(IF(AE$2&lt;=$A$1,1,0),IF(AE$4="休","",IF(COUNTIF(DATA!AF:AF,$A:$A)=0,"×","√")),""))</f>
        <v/>
      </c>
      <c r="AF20" s="34" t="str">
        <f ca="1">IF($A20="","",IF(IF(AF$2&lt;=$A$1,1,0),IF(AF$4="休","",IF(COUNTIF(DATA!AG:AG,$A:$A)=0,"×","√")),""))</f>
        <v/>
      </c>
      <c r="AG20" s="34" t="str">
        <f ca="1">IF($A20="","",IF(IF(AG$2&lt;=$A$1,1,0),IF(AG$4="休","",IF(COUNTIF(DATA!AH:AH,$A:$A)=0,"×","√")),""))</f>
        <v/>
      </c>
      <c r="AH20" s="34" t="str">
        <f ca="1">IF($A20="","",IF(IF(AH$2&lt;=$A$1,1,0),IF(AH$4="休","",IF(COUNTIF(DATA!AI:AI,$A:$A)=0,"×","√")),""))</f>
        <v/>
      </c>
      <c r="AI20" s="34" t="str">
        <f ca="1">IF($A20="","",IF(IF(AI$2&lt;=$A$1,1,0),IF(AI$4="休","",IF(COUNTIF(DATA!AJ:AJ,$A:$A)=0,"×","√")),""))</f>
        <v/>
      </c>
      <c r="AJ20" s="34" t="str">
        <f ca="1">IF($A20="","",IF(IF(AJ$2&lt;=$A$1,1,0),IF(AJ$4="休","",IF(COUNTIF(DATA!AK:AK,$A:$A)=0,"×","√")),""))</f>
        <v/>
      </c>
      <c r="AK20" s="34" t="str">
        <f ca="1">IF($A20="","",IF(IF(AK$2&lt;=$A$1,1,0),IF(AK$4="休","",IF(COUNTIF(DATA!AL:AL,$A:$A)=0,"×","√")),""))</f>
        <v/>
      </c>
      <c r="AL20" s="34" t="str">
        <f ca="1">IF($A20="","",IF(IF(AL$2&lt;=$A$1,1,0),IF(AL$4="休","",IF(COUNTIF(DATA!AM:AM,$A:$A)=0,"×","√")),""))</f>
        <v/>
      </c>
      <c r="AM20" s="34" t="str">
        <f ca="1">IF($A20="","",IF(IF(AM$2&lt;=$A$1,1,0),IF(AM$4="休","",IF(COUNTIF(DATA!AN:AN,$A:$A)=0,"×","√")),""))</f>
        <v/>
      </c>
      <c r="AN20" s="34" t="str">
        <f ca="1">IF($A20="","",IF(IF(AN$2&lt;=$A$1,1,0),IF(AN$4="休","",IF(COUNTIF(DATA!AO:AO,$A:$A)=0,"×","√")),""))</f>
        <v/>
      </c>
      <c r="AO20" s="34" t="str">
        <f ca="1">IF($A20="","",IF(IF(AO$2&lt;=$A$1,1,0),IF(AO$4="休","",IF(COUNTIF(DATA!AP:AP,$A:$A)=0,"×","√")),""))</f>
        <v/>
      </c>
      <c r="AP20" s="34" t="str">
        <f ca="1">IF($A20="","",IF(IF(AP$2&lt;=$A$1,1,0),IF(AP$4="休","",IF(COUNTIF(DATA!AQ:AQ,$A:$A)=0,"×","√")),""))</f>
        <v/>
      </c>
      <c r="AQ20" s="34" t="str">
        <f ca="1">IF($A20="","",IF(IF(AQ$2&lt;=$A$1,1,0),IF(AQ$4="休","",IF(COUNTIF(DATA!AR:AR,$A:$A)=0,"×","√")),""))</f>
        <v/>
      </c>
      <c r="AR20" s="34" t="str">
        <f ca="1">IF($A20="","",IF(IF(AR$2&lt;=$A$1,1,0),IF(AR$4="休","",IF(COUNTIF(DATA!AS:AS,$A:$A)=0,"×","√")),""))</f>
        <v/>
      </c>
      <c r="AS20" s="34" t="str">
        <f ca="1">IF($A20="","",IF(IF(AS$2&lt;=$A$1,1,0),IF(AS$4="休","",IF(COUNTIF(DATA!AT:AT,$A:$A)=0,"×","√")),""))</f>
        <v/>
      </c>
      <c r="AT20" s="34" t="str">
        <f ca="1">IF($A20="","",IF(IF(AT$2&lt;=$A$1,1,0),IF(AT$4="休","",IF(COUNTIF(DATA!AU:AU,$A:$A)=0,"×","√")),""))</f>
        <v/>
      </c>
      <c r="AU20" s="34" t="str">
        <f ca="1">IF($A20="","",IF(IF(AU$2&lt;=$A$1,1,0),IF(AU$4="休","",IF(COUNTIF(DATA!AV:AV,$A:$A)=0,"×","√")),""))</f>
        <v/>
      </c>
      <c r="AV20" s="34" t="str">
        <f ca="1">IF($A20="","",IF(IF(AV$2&lt;=$A$1,1,0),IF(AV$4="休","",IF(COUNTIF(DATA!AW:AW,$A:$A)=0,"×","√")),""))</f>
        <v/>
      </c>
      <c r="AW20" s="34" t="str">
        <f ca="1">IF($A20="","",IF(IF(AW$2&lt;=$A$1,1,0),IF(AW$4="休","",IF(COUNTIF(DATA!AX:AX,$A:$A)=0,"×","√")),""))</f>
        <v/>
      </c>
      <c r="AX20" s="34" t="str">
        <f ca="1">IF($A20="","",IF(IF(AX$2&lt;=$A$1,1,0),IF(AX$4="休","",IF(COUNTIF(DATA!AY:AY,$A:$A)=0,"×","√")),""))</f>
        <v/>
      </c>
      <c r="AY20" s="34" t="str">
        <f ca="1">IF($A20="","",IF(IF(AY$2&lt;=$A$1,1,0),IF(AY$4="休","",IF(COUNTIF(DATA!AZ:AZ,$A:$A)=0,"×","√")),""))</f>
        <v/>
      </c>
      <c r="AZ20" s="34" t="str">
        <f ca="1">IF($A20="","",IF(IF(AZ$2&lt;=$A$1,1,0),IF(AZ$4="休","",IF(COUNTIF(DATA!BA:BA,$A:$A)=0,"×","√")),""))</f>
        <v/>
      </c>
      <c r="BA20" s="34" t="str">
        <f ca="1">IF($A20="","",IF(IF(BA$2&lt;=$A$1,1,0),IF(BA$4="休","",IF(COUNTIF(DATA!BB:BB,$A:$A)=0,"×","√")),""))</f>
        <v/>
      </c>
      <c r="BB20" s="34" t="str">
        <f ca="1">IF($A20="","",IF(IF(BB$2&lt;=$A$1,1,0),IF(BB$4="休","",IF(COUNTIF(DATA!BC:BC,$A:$A)=0,"×","√")),""))</f>
        <v/>
      </c>
      <c r="BC20" s="34" t="str">
        <f ca="1">IF($A20="","",IF(IF(BC$2&lt;=$A$1,1,0),IF(BC$4="休","",IF(COUNTIF(DATA!BD:BD,$A:$A)=0,"×","√")),""))</f>
        <v/>
      </c>
      <c r="BD20" s="34" t="str">
        <f ca="1">IF($A20="","",IF(IF(BD$2&lt;=$A$1,1,0),IF(BD$4="休","",IF(COUNTIF(DATA!BE:BE,$A:$A)=0,"×","√")),""))</f>
        <v/>
      </c>
      <c r="BE20" s="34" t="str">
        <f ca="1">IF($A20="","",IF(IF(BE$2&lt;=$A$1,1,0),IF(BE$4="休","",IF(COUNTIF(DATA!BF:BF,$A:$A)=0,"×","√")),""))</f>
        <v/>
      </c>
      <c r="BF20" s="34" t="str">
        <f ca="1">IF($A20="","",IF(IF(BF$2&lt;=$A$1,1,0),IF(BF$4="休","",IF(COUNTIF(DATA!BG:BG,$A:$A)=0,"×","√")),""))</f>
        <v/>
      </c>
      <c r="BG20" s="34" t="str">
        <f ca="1">IF($A20="","",IF(IF(BG$2&lt;=$A$1,1,0),IF(BG$4="休","",IF(COUNTIF(DATA!BH:BH,$A:$A)=0,"×","√")),""))</f>
        <v/>
      </c>
      <c r="BH20" s="34" t="str">
        <f ca="1">IF($A20="","",IF(IF(BH$2&lt;=$A$1,1,0),IF(BH$4="休","",IF(COUNTIF(DATA!BI:BI,$A:$A)=0,"×","√")),""))</f>
        <v/>
      </c>
      <c r="BI20" s="34" t="str">
        <f ca="1">IF($A20="","",IF(IF(BI$2&lt;=$A$1,1,0),IF(BI$4="休","",IF(COUNTIF(DATA!BJ:BJ,$A:$A)=0,"×","√")),""))</f>
        <v/>
      </c>
      <c r="BJ20" s="34" t="str">
        <f ca="1">IF($A20="","",IF(IF(BJ$2&lt;=$A$1,1,0),IF(BJ$4="休","",IF(COUNTIF(DATA!BK:BK,$A:$A)=0,"×","√")),""))</f>
        <v/>
      </c>
      <c r="BK20" s="34" t="str">
        <f ca="1">IF($A20="","",IF(IF(BK$2&lt;=$A$1,1,0),IF(BK$4="休","",IF(COUNTIF(DATA!BL:BL,$A:$A)=0,"×","√")),""))</f>
        <v/>
      </c>
      <c r="BL20" s="34" t="str">
        <f ca="1">IF($A20="","",IF(IF(BL$2&lt;=$A$1,1,0),IF(BL$4="休","",IF(COUNTIF(DATA!BM:BM,$A:$A)=0,"×","√")),""))</f>
        <v/>
      </c>
      <c r="BM20" s="34" t="str">
        <f ca="1">IF($A20="","",IF(IF(BM$2&lt;=$A$1,1,0),IF(BM$4="休","",IF(COUNTIF(DATA!BN:BN,$A:$A)=0,"×","√")),""))</f>
        <v/>
      </c>
      <c r="BN20" s="34" t="str">
        <f ca="1">IF($A20="","",IF(IF(BN$2&lt;=$A$1,1,0),IF(BN$4="休","",IF(COUNTIF(DATA!BO:BO,$A:$A)=0,"×","√")),""))</f>
        <v/>
      </c>
      <c r="BO20" s="34" t="str">
        <f ca="1">IF($A20="","",IF(IF(BO$2&lt;=$A$1,1,0),IF(BO$4="休","",IF(COUNTIF(DATA!BP:BP,$A:$A)=0,"×","√")),""))</f>
        <v/>
      </c>
      <c r="BP20" s="34" t="str">
        <f ca="1">IF($A20="","",IF(IF(BP$2&lt;=$A$1,1,0),IF(BP$4="休","",IF(COUNTIF(DATA!BQ:BQ,$A:$A)=0,"×","√")),""))</f>
        <v/>
      </c>
      <c r="BQ20" s="34" t="str">
        <f ca="1">IF($A20="","",IF(IF(BQ$2&lt;=$A$1,1,0),IF(BQ$4="休","",IF(COUNTIF(DATA!BR:BR,$A:$A)=0,"×","√")),""))</f>
        <v/>
      </c>
      <c r="BR20" s="34" t="str">
        <f ca="1">IF($A20="","",IF(IF(BR$2&lt;=$A$1,1,0),IF(BR$4="休","",IF(COUNTIF(DATA!BS:BS,$A:$A)=0,"×","√")),""))</f>
        <v/>
      </c>
      <c r="BS20" s="34" t="str">
        <f ca="1">IF($A20="","",IF(IF(BS$2&lt;=$A$1,1,0),IF(BS$4="休","",IF(COUNTIF(DATA!BT:BT,$A:$A)=0,"×","√")),""))</f>
        <v/>
      </c>
      <c r="BT20" s="34" t="str">
        <f ca="1">IF($A20="","",IF(IF(BT$2&lt;=$A$1,1,0),IF(BT$4="休","",IF(COUNTIF(DATA!BU:BU,$A:$A)=0,"×","√")),""))</f>
        <v/>
      </c>
      <c r="BU20" s="34" t="str">
        <f ca="1">IF($A20="","",IF(IF(BU$2&lt;=$A$1,1,0),IF(BU$4="休","",IF(COUNTIF(DATA!BV:BV,$A:$A)=0,"×","√")),""))</f>
        <v/>
      </c>
      <c r="BV20" s="34" t="str">
        <f ca="1">IF($A20="","",IF(IF(BV$2&lt;=$A$1,1,0),IF(BV$4="休","",IF(COUNTIF(DATA!BW:BW,$A:$A)=0,"×","√")),""))</f>
        <v/>
      </c>
      <c r="BW20" s="34" t="str">
        <f ca="1">IF($A20="","",IF(IF(BW$2&lt;=$A$1,1,0),IF(BW$4="休","",IF(COUNTIF(DATA!BX:BX,$A:$A)=0,"×","√")),""))</f>
        <v/>
      </c>
      <c r="BX20" s="34" t="str">
        <f ca="1">IF($A20="","",IF(IF(BX$2&lt;=$A$1,1,0),IF(BX$4="休","",IF(COUNTIF(DATA!BY:BY,$A:$A)=0,"×","√")),""))</f>
        <v/>
      </c>
      <c r="BY20" s="34" t="str">
        <f ca="1">IF($A20="","",IF(IF(BY$2&lt;=$A$1,1,0),IF(BY$4="休","",IF(COUNTIF(DATA!BZ:BZ,$A:$A)=0,"×","√")),""))</f>
        <v/>
      </c>
      <c r="BZ20" s="34" t="str">
        <f ca="1">IF($A20="","",IF(IF(BZ$2&lt;=$A$1,1,0),IF(BZ$4="休","",IF(COUNTIF(DATA!CA:CA,$A:$A)=0,"×","√")),""))</f>
        <v/>
      </c>
      <c r="CA20" s="34" t="str">
        <f ca="1">IF($A20="","",IF(IF(CA$2&lt;=$A$1,1,0),IF(CA$4="休","",IF(COUNTIF(DATA!CB:CB,$A:$A)=0,"×","√")),""))</f>
        <v/>
      </c>
      <c r="CB20" s="34" t="str">
        <f ca="1">IF($A20="","",IF(IF(CB$2&lt;=$A$1,1,0),IF(CB$4="休","",IF(COUNTIF(DATA!CC:CC,$A:$A)=0,"×","√")),""))</f>
        <v/>
      </c>
      <c r="CC20" s="34" t="str">
        <f ca="1">IF($A20="","",IF(IF(CC$2&lt;=$A$1,1,0),IF(CC$4="休","",IF(COUNTIF(DATA!CD:CD,$A:$A)=0,"×","√")),""))</f>
        <v/>
      </c>
      <c r="CD20" s="34" t="str">
        <f ca="1">IF($A20="","",IF(IF(CD$2&lt;=$A$1,1,0),IF(CD$4="休","",IF(COUNTIF(DATA!CE:CE,$A:$A)=0,"×","√")),""))</f>
        <v/>
      </c>
      <c r="CE20" s="34" t="str">
        <f ca="1">IF($A20="","",IF(IF(CE$2&lt;=$A$1,1,0),IF(CE$4="休","",IF(COUNTIF(DATA!CF:CF,$A:$A)=0,"×","√")),""))</f>
        <v/>
      </c>
      <c r="CF20" s="34" t="str">
        <f ca="1">IF($A20="","",IF(IF(CF$2&lt;=$A$1,1,0),IF(CF$4="休","",IF(COUNTIF(DATA!CG:CG,$A:$A)=0,"×","√")),""))</f>
        <v/>
      </c>
      <c r="CG20" s="34" t="str">
        <f ca="1">IF($A20="","",IF(IF(CG$2&lt;=$A$1,1,0),IF(CG$4="休","",IF(COUNTIF(DATA!CH:CH,$A:$A)=0,"×","√")),""))</f>
        <v/>
      </c>
      <c r="CH20" s="34" t="str">
        <f ca="1">IF($A20="","",IF(IF(CH$2&lt;=$A$1,1,0),IF(CH$4="休","",IF(COUNTIF(DATA!CI:CI,$A:$A)=0,"×","√")),""))</f>
        <v/>
      </c>
      <c r="CI20" s="34" t="str">
        <f ca="1">IF($A20="","",IF(IF(CI$2&lt;=$A$1,1,0),IF(CI$4="休","",IF(COUNTIF(DATA!CJ:CJ,$A:$A)=0,"×","√")),""))</f>
        <v/>
      </c>
      <c r="CJ20" s="34" t="str">
        <f ca="1">IF($A20="","",IF(IF(CJ$2&lt;=$A$1,1,0),IF(CJ$4="休","",IF(COUNTIF(DATA!CK:CK,$A:$A)=0,"×","√")),""))</f>
        <v/>
      </c>
      <c r="CK20" s="34" t="str">
        <f ca="1">IF($A20="","",IF(IF(CK$2&lt;=$A$1,1,0),IF(CK$4="休","",IF(COUNTIF(DATA!CL:CL,$A:$A)=0,"×","√")),""))</f>
        <v/>
      </c>
      <c r="CL20" s="34" t="str">
        <f ca="1">IF($A20="","",IF(IF(CL$2&lt;=$A$1,1,0),IF(CL$4="休","",IF(COUNTIF(DATA!CM:CM,$A:$A)=0,"×","√")),""))</f>
        <v/>
      </c>
      <c r="CM20" s="34" t="str">
        <f ca="1">IF($A20="","",IF(IF(CM$2&lt;=$A$1,1,0),IF(CM$4="休","",IF(COUNTIF(DATA!CN:CN,$A:$A)=0,"×","√")),""))</f>
        <v/>
      </c>
      <c r="CN20" s="34" t="str">
        <f ca="1">IF($A20="","",IF(IF(CN$2&lt;=$A$1,1,0),IF(CN$4="休","",IF(COUNTIF(DATA!CO:CO,$A:$A)=0,"×","√")),""))</f>
        <v/>
      </c>
      <c r="CO20" s="34" t="str">
        <f ca="1">IF($A20="","",IF(IF(CO$2&lt;=$A$1,1,0),IF(CO$4="休","",IF(COUNTIF(DATA!CP:CP,$A:$A)=0,"×","√")),""))</f>
        <v/>
      </c>
      <c r="CP20" s="34" t="str">
        <f ca="1">IF($A20="","",IF(IF(CP$2&lt;=$A$1,1,0),IF(CP$4="休","",IF(COUNTIF(DATA!CQ:CQ,$A:$A)=0,"×","√")),""))</f>
        <v/>
      </c>
      <c r="CQ20" s="34" t="str">
        <f ca="1">IF($A20="","",IF(IF(CQ$2&lt;=$A$1,1,0),IF(CQ$4="休","",IF(COUNTIF(DATA!CR:CR,$A:$A)=0,"×","√")),""))</f>
        <v/>
      </c>
      <c r="CR20" s="34" t="str">
        <f ca="1">IF($A20="","",IF(IF(CR$2&lt;=$A$1,1,0),IF(CR$4="休","",IF(COUNTIF(DATA!CS:CS,$A:$A)=0,"×","√")),""))</f>
        <v/>
      </c>
    </row>
    <row r="21" s="28" customFormat="1" ht="18.75" spans="1:96">
      <c r="A21" s="34" t="str">
        <f>DATA!$A20&amp;""</f>
        <v>黄璟亮</v>
      </c>
      <c r="B21" s="34" t="str">
        <f ca="1">IF($A21="","",IF(IF(B$2&lt;=$A$1,1,0),IF(B$4="休","",IF(COUNTIF(DATA!C:C,$A:$A)=0,"×","√")),""))</f>
        <v>√</v>
      </c>
      <c r="C21" s="34" t="str">
        <f ca="1">IF($A21="","",IF(IF(C$2&lt;=$A$1,1,0),IF(C$4="休","",IF(COUNTIF(DATA!D:D,$A:$A)=0,"×","√")),""))</f>
        <v>√</v>
      </c>
      <c r="D21" s="34" t="str">
        <f ca="1">IF($A21="","",IF(IF(D$2&lt;=$A$1,1,0),IF(D$4="休","",IF(COUNTIF(DATA!E:E,$A:$A)=0,"×","√")),""))</f>
        <v>√</v>
      </c>
      <c r="E21" s="34" t="str">
        <f ca="1">IF($A21="","",IF(IF(E$2&lt;=$A$1,1,0),IF(E$4="休","",IF(COUNTIF(DATA!F:F,$A:$A)=0,"×","√")),""))</f>
        <v>√</v>
      </c>
      <c r="F21" s="34" t="str">
        <f ca="1">IF($A21="","",IF(IF(F$2&lt;=$A$1,1,0),IF(F$4="休","",IF(COUNTIF(DATA!G:G,$A:$A)=0,"×","√")),""))</f>
        <v>√</v>
      </c>
      <c r="G21" s="34" t="str">
        <f ca="1">IF($A21="","",IF(IF(G$2&lt;=$A$1,1,0),IF(G$4="休","",IF(COUNTIF(DATA!H:H,$A:$A)=0,"×","√")),""))</f>
        <v>√</v>
      </c>
      <c r="H21" s="34" t="str">
        <f ca="1">IF($A21="","",IF(IF(H$2&lt;=$A$1,1,0),IF(H$4="休","",IF(COUNTIF(DATA!I:I,$A:$A)=0,"×","√")),""))</f>
        <v>√</v>
      </c>
      <c r="I21" s="34" t="str">
        <f ca="1">IF($A21="","",IF(IF(I$2&lt;=$A$1,1,0),IF(I$4="休","",IF(COUNTIF(DATA!J:J,$A:$A)=0,"×","√")),""))</f>
        <v>√</v>
      </c>
      <c r="J21" s="34" t="str">
        <f ca="1">IF($A21="","",IF(IF(J$2&lt;=$A$1,1,0),IF(J$4="休","",IF(COUNTIF(DATA!K:K,$A:$A)=0,"×","√")),""))</f>
        <v>√</v>
      </c>
      <c r="K21" s="34" t="str">
        <f ca="1">IF($A21="","",IF(IF(K$2&lt;=$A$1,1,0),IF(K$4="休","",IF(COUNTIF(DATA!L:L,$A:$A)=0,"×","√")),""))</f>
        <v>√</v>
      </c>
      <c r="L21" s="34" t="str">
        <f ca="1">IF($A21="","",IF(IF(L$2&lt;=$A$1,1,0),IF(L$4="休","",IF(COUNTIF(DATA!M:M,$A:$A)=0,"×","√")),""))</f>
        <v>√</v>
      </c>
      <c r="M21" s="34" t="str">
        <f ca="1">IF($A21="","",IF(IF(M$2&lt;=$A$1,1,0),IF(M$4="休","",IF(COUNTIF(DATA!N:N,$A:$A)=0,"×","√")),""))</f>
        <v>√</v>
      </c>
      <c r="N21" s="34" t="str">
        <f ca="1">IF($A21="","",IF(IF(N$2&lt;=$A$1,1,0),IF(N$4="休","",IF(COUNTIF(DATA!O:O,$A:$A)=0,"×","√")),""))</f>
        <v>√</v>
      </c>
      <c r="O21" s="34" t="str">
        <f ca="1">IF($A21="","",IF(IF(O$2&lt;=$A$1,1,0),IF(O$4="休","",IF(COUNTIF(DATA!P:P,$A:$A)=0,"×","√")),""))</f>
        <v>×</v>
      </c>
      <c r="P21" s="34" t="str">
        <f ca="1">IF($A21="","",IF(IF(P$2&lt;=$A$1,1,0),IF(P$4="休","",IF(COUNTIF(DATA!Q:Q,$A:$A)=0,"×","√")),""))</f>
        <v/>
      </c>
      <c r="Q21" s="34" t="str">
        <f ca="1">IF($A21="","",IF(IF(Q$2&lt;=$A$1,1,0),IF(Q$4="休","",IF(COUNTIF(DATA!R:R,$A:$A)=0,"×","√")),""))</f>
        <v/>
      </c>
      <c r="R21" s="34" t="str">
        <f ca="1">IF($A21="","",IF(IF(R$2&lt;=$A$1,1,0),IF(R$4="休","",IF(COUNTIF(DATA!S:S,$A:$A)=0,"×","√")),""))</f>
        <v/>
      </c>
      <c r="S21" s="34" t="str">
        <f ca="1">IF($A21="","",IF(IF(S$2&lt;=$A$1,1,0),IF(S$4="休","",IF(COUNTIF(DATA!T:T,$A:$A)=0,"×","√")),""))</f>
        <v/>
      </c>
      <c r="T21" s="34" t="str">
        <f ca="1">IF($A21="","",IF(IF(T$2&lt;=$A$1,1,0),IF(T$4="休","",IF(COUNTIF(DATA!U:U,$A:$A)=0,"×","√")),""))</f>
        <v/>
      </c>
      <c r="U21" s="34" t="str">
        <f ca="1">IF($A21="","",IF(IF(U$2&lt;=$A$1,1,0),IF(U$4="休","",IF(COUNTIF(DATA!V:V,$A:$A)=0,"×","√")),""))</f>
        <v/>
      </c>
      <c r="V21" s="34" t="str">
        <f ca="1">IF($A21="","",IF(IF(V$2&lt;=$A$1,1,0),IF(V$4="休","",IF(COUNTIF(DATA!W:W,$A:$A)=0,"×","√")),""))</f>
        <v/>
      </c>
      <c r="W21" s="34" t="str">
        <f ca="1">IF($A21="","",IF(IF(W$2&lt;=$A$1,1,0),IF(W$4="休","",IF(COUNTIF(DATA!X:X,$A:$A)=0,"×","√")),""))</f>
        <v/>
      </c>
      <c r="X21" s="34" t="str">
        <f ca="1">IF($A21="","",IF(IF(X$2&lt;=$A$1,1,0),IF(X$4="休","",IF(COUNTIF(DATA!Y:Y,$A:$A)=0,"×","√")),""))</f>
        <v/>
      </c>
      <c r="Y21" s="34" t="str">
        <f ca="1">IF($A21="","",IF(IF(Y$2&lt;=$A$1,1,0),IF(Y$4="休","",IF(COUNTIF(DATA!Z:Z,$A:$A)=0,"×","√")),""))</f>
        <v/>
      </c>
      <c r="Z21" s="34" t="str">
        <f ca="1">IF($A21="","",IF(IF(Z$2&lt;=$A$1,1,0),IF(Z$4="休","",IF(COUNTIF(DATA!AA:AA,$A:$A)=0,"×","√")),""))</f>
        <v/>
      </c>
      <c r="AA21" s="34" t="str">
        <f ca="1">IF($A21="","",IF(IF(AA$2&lt;=$A$1,1,0),IF(AA$4="休","",IF(COUNTIF(DATA!AB:AB,$A:$A)=0,"×","√")),""))</f>
        <v/>
      </c>
      <c r="AB21" s="34" t="str">
        <f ca="1">IF($A21="","",IF(IF(AB$2&lt;=$A$1,1,0),IF(AB$4="休","",IF(COUNTIF(DATA!AC:AC,$A:$A)=0,"×","√")),""))</f>
        <v/>
      </c>
      <c r="AC21" s="34" t="str">
        <f ca="1">IF($A21="","",IF(IF(AC$2&lt;=$A$1,1,0),IF(AC$4="休","",IF(COUNTIF(DATA!AD:AD,$A:$A)=0,"×","√")),""))</f>
        <v/>
      </c>
      <c r="AD21" s="34" t="str">
        <f ca="1">IF($A21="","",IF(IF(AD$2&lt;=$A$1,1,0),IF(AD$4="休","",IF(COUNTIF(DATA!AE:AE,$A:$A)=0,"×","√")),""))</f>
        <v/>
      </c>
      <c r="AE21" s="34" t="str">
        <f ca="1">IF($A21="","",IF(IF(AE$2&lt;=$A$1,1,0),IF(AE$4="休","",IF(COUNTIF(DATA!AF:AF,$A:$A)=0,"×","√")),""))</f>
        <v/>
      </c>
      <c r="AF21" s="34" t="str">
        <f ca="1">IF($A21="","",IF(IF(AF$2&lt;=$A$1,1,0),IF(AF$4="休","",IF(COUNTIF(DATA!AG:AG,$A:$A)=0,"×","√")),""))</f>
        <v/>
      </c>
      <c r="AG21" s="34" t="str">
        <f ca="1">IF($A21="","",IF(IF(AG$2&lt;=$A$1,1,0),IF(AG$4="休","",IF(COUNTIF(DATA!AH:AH,$A:$A)=0,"×","√")),""))</f>
        <v/>
      </c>
      <c r="AH21" s="34" t="str">
        <f ca="1">IF($A21="","",IF(IF(AH$2&lt;=$A$1,1,0),IF(AH$4="休","",IF(COUNTIF(DATA!AI:AI,$A:$A)=0,"×","√")),""))</f>
        <v/>
      </c>
      <c r="AI21" s="34" t="str">
        <f ca="1">IF($A21="","",IF(IF(AI$2&lt;=$A$1,1,0),IF(AI$4="休","",IF(COUNTIF(DATA!AJ:AJ,$A:$A)=0,"×","√")),""))</f>
        <v/>
      </c>
      <c r="AJ21" s="34" t="str">
        <f ca="1">IF($A21="","",IF(IF(AJ$2&lt;=$A$1,1,0),IF(AJ$4="休","",IF(COUNTIF(DATA!AK:AK,$A:$A)=0,"×","√")),""))</f>
        <v/>
      </c>
      <c r="AK21" s="34" t="str">
        <f ca="1">IF($A21="","",IF(IF(AK$2&lt;=$A$1,1,0),IF(AK$4="休","",IF(COUNTIF(DATA!AL:AL,$A:$A)=0,"×","√")),""))</f>
        <v/>
      </c>
      <c r="AL21" s="34" t="str">
        <f ca="1">IF($A21="","",IF(IF(AL$2&lt;=$A$1,1,0),IF(AL$4="休","",IF(COUNTIF(DATA!AM:AM,$A:$A)=0,"×","√")),""))</f>
        <v/>
      </c>
      <c r="AM21" s="34" t="str">
        <f ca="1">IF($A21="","",IF(IF(AM$2&lt;=$A$1,1,0),IF(AM$4="休","",IF(COUNTIF(DATA!AN:AN,$A:$A)=0,"×","√")),""))</f>
        <v/>
      </c>
      <c r="AN21" s="34" t="str">
        <f ca="1">IF($A21="","",IF(IF(AN$2&lt;=$A$1,1,0),IF(AN$4="休","",IF(COUNTIF(DATA!AO:AO,$A:$A)=0,"×","√")),""))</f>
        <v/>
      </c>
      <c r="AO21" s="34" t="str">
        <f ca="1">IF($A21="","",IF(IF(AO$2&lt;=$A$1,1,0),IF(AO$4="休","",IF(COUNTIF(DATA!AP:AP,$A:$A)=0,"×","√")),""))</f>
        <v/>
      </c>
      <c r="AP21" s="34" t="str">
        <f ca="1">IF($A21="","",IF(IF(AP$2&lt;=$A$1,1,0),IF(AP$4="休","",IF(COUNTIF(DATA!AQ:AQ,$A:$A)=0,"×","√")),""))</f>
        <v/>
      </c>
      <c r="AQ21" s="34" t="str">
        <f ca="1">IF($A21="","",IF(IF(AQ$2&lt;=$A$1,1,0),IF(AQ$4="休","",IF(COUNTIF(DATA!AR:AR,$A:$A)=0,"×","√")),""))</f>
        <v/>
      </c>
      <c r="AR21" s="34" t="str">
        <f ca="1">IF($A21="","",IF(IF(AR$2&lt;=$A$1,1,0),IF(AR$4="休","",IF(COUNTIF(DATA!AS:AS,$A:$A)=0,"×","√")),""))</f>
        <v/>
      </c>
      <c r="AS21" s="34" t="str">
        <f ca="1">IF($A21="","",IF(IF(AS$2&lt;=$A$1,1,0),IF(AS$4="休","",IF(COUNTIF(DATA!AT:AT,$A:$A)=0,"×","√")),""))</f>
        <v/>
      </c>
      <c r="AT21" s="34" t="str">
        <f ca="1">IF($A21="","",IF(IF(AT$2&lt;=$A$1,1,0),IF(AT$4="休","",IF(COUNTIF(DATA!AU:AU,$A:$A)=0,"×","√")),""))</f>
        <v/>
      </c>
      <c r="AU21" s="34" t="str">
        <f ca="1">IF($A21="","",IF(IF(AU$2&lt;=$A$1,1,0),IF(AU$4="休","",IF(COUNTIF(DATA!AV:AV,$A:$A)=0,"×","√")),""))</f>
        <v/>
      </c>
      <c r="AV21" s="34" t="str">
        <f ca="1">IF($A21="","",IF(IF(AV$2&lt;=$A$1,1,0),IF(AV$4="休","",IF(COUNTIF(DATA!AW:AW,$A:$A)=0,"×","√")),""))</f>
        <v/>
      </c>
      <c r="AW21" s="34" t="str">
        <f ca="1">IF($A21="","",IF(IF(AW$2&lt;=$A$1,1,0),IF(AW$4="休","",IF(COUNTIF(DATA!AX:AX,$A:$A)=0,"×","√")),""))</f>
        <v/>
      </c>
      <c r="AX21" s="34" t="str">
        <f ca="1">IF($A21="","",IF(IF(AX$2&lt;=$A$1,1,0),IF(AX$4="休","",IF(COUNTIF(DATA!AY:AY,$A:$A)=0,"×","√")),""))</f>
        <v/>
      </c>
      <c r="AY21" s="34" t="str">
        <f ca="1">IF($A21="","",IF(IF(AY$2&lt;=$A$1,1,0),IF(AY$4="休","",IF(COUNTIF(DATA!AZ:AZ,$A:$A)=0,"×","√")),""))</f>
        <v/>
      </c>
      <c r="AZ21" s="34" t="str">
        <f ca="1">IF($A21="","",IF(IF(AZ$2&lt;=$A$1,1,0),IF(AZ$4="休","",IF(COUNTIF(DATA!BA:BA,$A:$A)=0,"×","√")),""))</f>
        <v/>
      </c>
      <c r="BA21" s="34" t="str">
        <f ca="1">IF($A21="","",IF(IF(BA$2&lt;=$A$1,1,0),IF(BA$4="休","",IF(COUNTIF(DATA!BB:BB,$A:$A)=0,"×","√")),""))</f>
        <v/>
      </c>
      <c r="BB21" s="34" t="str">
        <f ca="1">IF($A21="","",IF(IF(BB$2&lt;=$A$1,1,0),IF(BB$4="休","",IF(COUNTIF(DATA!BC:BC,$A:$A)=0,"×","√")),""))</f>
        <v/>
      </c>
      <c r="BC21" s="34" t="str">
        <f ca="1">IF($A21="","",IF(IF(BC$2&lt;=$A$1,1,0),IF(BC$4="休","",IF(COUNTIF(DATA!BD:BD,$A:$A)=0,"×","√")),""))</f>
        <v/>
      </c>
      <c r="BD21" s="34" t="str">
        <f ca="1">IF($A21="","",IF(IF(BD$2&lt;=$A$1,1,0),IF(BD$4="休","",IF(COUNTIF(DATA!BE:BE,$A:$A)=0,"×","√")),""))</f>
        <v/>
      </c>
      <c r="BE21" s="34" t="str">
        <f ca="1">IF($A21="","",IF(IF(BE$2&lt;=$A$1,1,0),IF(BE$4="休","",IF(COUNTIF(DATA!BF:BF,$A:$A)=0,"×","√")),""))</f>
        <v/>
      </c>
      <c r="BF21" s="34" t="str">
        <f ca="1">IF($A21="","",IF(IF(BF$2&lt;=$A$1,1,0),IF(BF$4="休","",IF(COUNTIF(DATA!BG:BG,$A:$A)=0,"×","√")),""))</f>
        <v/>
      </c>
      <c r="BG21" s="34" t="str">
        <f ca="1">IF($A21="","",IF(IF(BG$2&lt;=$A$1,1,0),IF(BG$4="休","",IF(COUNTIF(DATA!BH:BH,$A:$A)=0,"×","√")),""))</f>
        <v/>
      </c>
      <c r="BH21" s="34" t="str">
        <f ca="1">IF($A21="","",IF(IF(BH$2&lt;=$A$1,1,0),IF(BH$4="休","",IF(COUNTIF(DATA!BI:BI,$A:$A)=0,"×","√")),""))</f>
        <v/>
      </c>
      <c r="BI21" s="34" t="str">
        <f ca="1">IF($A21="","",IF(IF(BI$2&lt;=$A$1,1,0),IF(BI$4="休","",IF(COUNTIF(DATA!BJ:BJ,$A:$A)=0,"×","√")),""))</f>
        <v/>
      </c>
      <c r="BJ21" s="34" t="str">
        <f ca="1">IF($A21="","",IF(IF(BJ$2&lt;=$A$1,1,0),IF(BJ$4="休","",IF(COUNTIF(DATA!BK:BK,$A:$A)=0,"×","√")),""))</f>
        <v/>
      </c>
      <c r="BK21" s="34" t="str">
        <f ca="1">IF($A21="","",IF(IF(BK$2&lt;=$A$1,1,0),IF(BK$4="休","",IF(COUNTIF(DATA!BL:BL,$A:$A)=0,"×","√")),""))</f>
        <v/>
      </c>
      <c r="BL21" s="34" t="str">
        <f ca="1">IF($A21="","",IF(IF(BL$2&lt;=$A$1,1,0),IF(BL$4="休","",IF(COUNTIF(DATA!BM:BM,$A:$A)=0,"×","√")),""))</f>
        <v/>
      </c>
      <c r="BM21" s="34" t="str">
        <f ca="1">IF($A21="","",IF(IF(BM$2&lt;=$A$1,1,0),IF(BM$4="休","",IF(COUNTIF(DATA!BN:BN,$A:$A)=0,"×","√")),""))</f>
        <v/>
      </c>
      <c r="BN21" s="34" t="str">
        <f ca="1">IF($A21="","",IF(IF(BN$2&lt;=$A$1,1,0),IF(BN$4="休","",IF(COUNTIF(DATA!BO:BO,$A:$A)=0,"×","√")),""))</f>
        <v/>
      </c>
      <c r="BO21" s="34" t="str">
        <f ca="1">IF($A21="","",IF(IF(BO$2&lt;=$A$1,1,0),IF(BO$4="休","",IF(COUNTIF(DATA!BP:BP,$A:$A)=0,"×","√")),""))</f>
        <v/>
      </c>
      <c r="BP21" s="34" t="str">
        <f ca="1">IF($A21="","",IF(IF(BP$2&lt;=$A$1,1,0),IF(BP$4="休","",IF(COUNTIF(DATA!BQ:BQ,$A:$A)=0,"×","√")),""))</f>
        <v/>
      </c>
      <c r="BQ21" s="34" t="str">
        <f ca="1">IF($A21="","",IF(IF(BQ$2&lt;=$A$1,1,0),IF(BQ$4="休","",IF(COUNTIF(DATA!BR:BR,$A:$A)=0,"×","√")),""))</f>
        <v/>
      </c>
      <c r="BR21" s="34" t="str">
        <f ca="1">IF($A21="","",IF(IF(BR$2&lt;=$A$1,1,0),IF(BR$4="休","",IF(COUNTIF(DATA!BS:BS,$A:$A)=0,"×","√")),""))</f>
        <v/>
      </c>
      <c r="BS21" s="34" t="str">
        <f ca="1">IF($A21="","",IF(IF(BS$2&lt;=$A$1,1,0),IF(BS$4="休","",IF(COUNTIF(DATA!BT:BT,$A:$A)=0,"×","√")),""))</f>
        <v/>
      </c>
      <c r="BT21" s="34" t="str">
        <f ca="1">IF($A21="","",IF(IF(BT$2&lt;=$A$1,1,0),IF(BT$4="休","",IF(COUNTIF(DATA!BU:BU,$A:$A)=0,"×","√")),""))</f>
        <v/>
      </c>
      <c r="BU21" s="34" t="str">
        <f ca="1">IF($A21="","",IF(IF(BU$2&lt;=$A$1,1,0),IF(BU$4="休","",IF(COUNTIF(DATA!BV:BV,$A:$A)=0,"×","√")),""))</f>
        <v/>
      </c>
      <c r="BV21" s="34" t="str">
        <f ca="1">IF($A21="","",IF(IF(BV$2&lt;=$A$1,1,0),IF(BV$4="休","",IF(COUNTIF(DATA!BW:BW,$A:$A)=0,"×","√")),""))</f>
        <v/>
      </c>
      <c r="BW21" s="34" t="str">
        <f ca="1">IF($A21="","",IF(IF(BW$2&lt;=$A$1,1,0),IF(BW$4="休","",IF(COUNTIF(DATA!BX:BX,$A:$A)=0,"×","√")),""))</f>
        <v/>
      </c>
      <c r="BX21" s="34" t="str">
        <f ca="1">IF($A21="","",IF(IF(BX$2&lt;=$A$1,1,0),IF(BX$4="休","",IF(COUNTIF(DATA!BY:BY,$A:$A)=0,"×","√")),""))</f>
        <v/>
      </c>
      <c r="BY21" s="34" t="str">
        <f ca="1">IF($A21="","",IF(IF(BY$2&lt;=$A$1,1,0),IF(BY$4="休","",IF(COUNTIF(DATA!BZ:BZ,$A:$A)=0,"×","√")),""))</f>
        <v/>
      </c>
      <c r="BZ21" s="34" t="str">
        <f ca="1">IF($A21="","",IF(IF(BZ$2&lt;=$A$1,1,0),IF(BZ$4="休","",IF(COUNTIF(DATA!CA:CA,$A:$A)=0,"×","√")),""))</f>
        <v/>
      </c>
      <c r="CA21" s="34" t="str">
        <f ca="1">IF($A21="","",IF(IF(CA$2&lt;=$A$1,1,0),IF(CA$4="休","",IF(COUNTIF(DATA!CB:CB,$A:$A)=0,"×","√")),""))</f>
        <v/>
      </c>
      <c r="CB21" s="34" t="str">
        <f ca="1">IF($A21="","",IF(IF(CB$2&lt;=$A$1,1,0),IF(CB$4="休","",IF(COUNTIF(DATA!CC:CC,$A:$A)=0,"×","√")),""))</f>
        <v/>
      </c>
      <c r="CC21" s="34" t="str">
        <f ca="1">IF($A21="","",IF(IF(CC$2&lt;=$A$1,1,0),IF(CC$4="休","",IF(COUNTIF(DATA!CD:CD,$A:$A)=0,"×","√")),""))</f>
        <v/>
      </c>
      <c r="CD21" s="34" t="str">
        <f ca="1">IF($A21="","",IF(IF(CD$2&lt;=$A$1,1,0),IF(CD$4="休","",IF(COUNTIF(DATA!CE:CE,$A:$A)=0,"×","√")),""))</f>
        <v/>
      </c>
      <c r="CE21" s="34" t="str">
        <f ca="1">IF($A21="","",IF(IF(CE$2&lt;=$A$1,1,0),IF(CE$4="休","",IF(COUNTIF(DATA!CF:CF,$A:$A)=0,"×","√")),""))</f>
        <v/>
      </c>
      <c r="CF21" s="34" t="str">
        <f ca="1">IF($A21="","",IF(IF(CF$2&lt;=$A$1,1,0),IF(CF$4="休","",IF(COUNTIF(DATA!CG:CG,$A:$A)=0,"×","√")),""))</f>
        <v/>
      </c>
      <c r="CG21" s="34" t="str">
        <f ca="1">IF($A21="","",IF(IF(CG$2&lt;=$A$1,1,0),IF(CG$4="休","",IF(COUNTIF(DATA!CH:CH,$A:$A)=0,"×","√")),""))</f>
        <v/>
      </c>
      <c r="CH21" s="34" t="str">
        <f ca="1">IF($A21="","",IF(IF(CH$2&lt;=$A$1,1,0),IF(CH$4="休","",IF(COUNTIF(DATA!CI:CI,$A:$A)=0,"×","√")),""))</f>
        <v/>
      </c>
      <c r="CI21" s="34" t="str">
        <f ca="1">IF($A21="","",IF(IF(CI$2&lt;=$A$1,1,0),IF(CI$4="休","",IF(COUNTIF(DATA!CJ:CJ,$A:$A)=0,"×","√")),""))</f>
        <v/>
      </c>
      <c r="CJ21" s="34" t="str">
        <f ca="1">IF($A21="","",IF(IF(CJ$2&lt;=$A$1,1,0),IF(CJ$4="休","",IF(COUNTIF(DATA!CK:CK,$A:$A)=0,"×","√")),""))</f>
        <v/>
      </c>
      <c r="CK21" s="34" t="str">
        <f ca="1">IF($A21="","",IF(IF(CK$2&lt;=$A$1,1,0),IF(CK$4="休","",IF(COUNTIF(DATA!CL:CL,$A:$A)=0,"×","√")),""))</f>
        <v/>
      </c>
      <c r="CL21" s="34" t="str">
        <f ca="1">IF($A21="","",IF(IF(CL$2&lt;=$A$1,1,0),IF(CL$4="休","",IF(COUNTIF(DATA!CM:CM,$A:$A)=0,"×","√")),""))</f>
        <v/>
      </c>
      <c r="CM21" s="34" t="str">
        <f ca="1">IF($A21="","",IF(IF(CM$2&lt;=$A$1,1,0),IF(CM$4="休","",IF(COUNTIF(DATA!CN:CN,$A:$A)=0,"×","√")),""))</f>
        <v/>
      </c>
      <c r="CN21" s="34" t="str">
        <f ca="1">IF($A21="","",IF(IF(CN$2&lt;=$A$1,1,0),IF(CN$4="休","",IF(COUNTIF(DATA!CO:CO,$A:$A)=0,"×","√")),""))</f>
        <v/>
      </c>
      <c r="CO21" s="34" t="str">
        <f ca="1">IF($A21="","",IF(IF(CO$2&lt;=$A$1,1,0),IF(CO$4="休","",IF(COUNTIF(DATA!CP:CP,$A:$A)=0,"×","√")),""))</f>
        <v/>
      </c>
      <c r="CP21" s="34" t="str">
        <f ca="1">IF($A21="","",IF(IF(CP$2&lt;=$A$1,1,0),IF(CP$4="休","",IF(COUNTIF(DATA!CQ:CQ,$A:$A)=0,"×","√")),""))</f>
        <v/>
      </c>
      <c r="CQ21" s="34" t="str">
        <f ca="1">IF($A21="","",IF(IF(CQ$2&lt;=$A$1,1,0),IF(CQ$4="休","",IF(COUNTIF(DATA!CR:CR,$A:$A)=0,"×","√")),""))</f>
        <v/>
      </c>
      <c r="CR21" s="34" t="str">
        <f ca="1">IF($A21="","",IF(IF(CR$2&lt;=$A$1,1,0),IF(CR$4="休","",IF(COUNTIF(DATA!CS:CS,$A:$A)=0,"×","√")),""))</f>
        <v/>
      </c>
    </row>
    <row r="22" s="28" customFormat="1" ht="18.75" spans="1:96">
      <c r="A22" s="34" t="str">
        <f>DATA!$A21&amp;""</f>
        <v>周浩</v>
      </c>
      <c r="B22" s="34" t="str">
        <f ca="1">IF($A22="","",IF(IF(B$2&lt;=$A$1,1,0),IF(B$4="休","",IF(COUNTIF(DATA!C:C,$A:$A)=0,"×","√")),""))</f>
        <v>√</v>
      </c>
      <c r="C22" s="34" t="str">
        <f ca="1">IF($A22="","",IF(IF(C$2&lt;=$A$1,1,0),IF(C$4="休","",IF(COUNTIF(DATA!D:D,$A:$A)=0,"×","√")),""))</f>
        <v>√</v>
      </c>
      <c r="D22" s="34" t="str">
        <f ca="1">IF($A22="","",IF(IF(D$2&lt;=$A$1,1,0),IF(D$4="休","",IF(COUNTIF(DATA!E:E,$A:$A)=0,"×","√")),""))</f>
        <v>√</v>
      </c>
      <c r="E22" s="34" t="str">
        <f ca="1">IF($A22="","",IF(IF(E$2&lt;=$A$1,1,0),IF(E$4="休","",IF(COUNTIF(DATA!F:F,$A:$A)=0,"×","√")),""))</f>
        <v>√</v>
      </c>
      <c r="F22" s="34" t="str">
        <f ca="1">IF($A22="","",IF(IF(F$2&lt;=$A$1,1,0),IF(F$4="休","",IF(COUNTIF(DATA!G:G,$A:$A)=0,"×","√")),""))</f>
        <v>√</v>
      </c>
      <c r="G22" s="34" t="str">
        <f ca="1">IF($A22="","",IF(IF(G$2&lt;=$A$1,1,0),IF(G$4="休","",IF(COUNTIF(DATA!H:H,$A:$A)=0,"×","√")),""))</f>
        <v>√</v>
      </c>
      <c r="H22" s="34" t="str">
        <f ca="1">IF($A22="","",IF(IF(H$2&lt;=$A$1,1,0),IF(H$4="休","",IF(COUNTIF(DATA!I:I,$A:$A)=0,"×","√")),""))</f>
        <v>√</v>
      </c>
      <c r="I22" s="34" t="str">
        <f ca="1">IF($A22="","",IF(IF(I$2&lt;=$A$1,1,0),IF(I$4="休","",IF(COUNTIF(DATA!J:J,$A:$A)=0,"×","√")),""))</f>
        <v>√</v>
      </c>
      <c r="J22" s="34" t="str">
        <f ca="1">IF($A22="","",IF(IF(J$2&lt;=$A$1,1,0),IF(J$4="休","",IF(COUNTIF(DATA!K:K,$A:$A)=0,"×","√")),""))</f>
        <v>√</v>
      </c>
      <c r="K22" s="34" t="str">
        <f ca="1">IF($A22="","",IF(IF(K$2&lt;=$A$1,1,0),IF(K$4="休","",IF(COUNTIF(DATA!L:L,$A:$A)=0,"×","√")),""))</f>
        <v>√</v>
      </c>
      <c r="L22" s="34" t="str">
        <f ca="1">IF($A22="","",IF(IF(L$2&lt;=$A$1,1,0),IF(L$4="休","",IF(COUNTIF(DATA!M:M,$A:$A)=0,"×","√")),""))</f>
        <v>√</v>
      </c>
      <c r="M22" s="34" t="str">
        <f ca="1">IF($A22="","",IF(IF(M$2&lt;=$A$1,1,0),IF(M$4="休","",IF(COUNTIF(DATA!N:N,$A:$A)=0,"×","√")),""))</f>
        <v>√</v>
      </c>
      <c r="N22" s="34" t="str">
        <f ca="1">IF($A22="","",IF(IF(N$2&lt;=$A$1,1,0),IF(N$4="休","",IF(COUNTIF(DATA!O:O,$A:$A)=0,"×","√")),""))</f>
        <v>√</v>
      </c>
      <c r="O22" s="34" t="str">
        <f ca="1">IF($A22="","",IF(IF(O$2&lt;=$A$1,1,0),IF(O$4="休","",IF(COUNTIF(DATA!P:P,$A:$A)=0,"×","√")),""))</f>
        <v>×</v>
      </c>
      <c r="P22" s="34" t="str">
        <f ca="1">IF($A22="","",IF(IF(P$2&lt;=$A$1,1,0),IF(P$4="休","",IF(COUNTIF(DATA!Q:Q,$A:$A)=0,"×","√")),""))</f>
        <v/>
      </c>
      <c r="Q22" s="34" t="str">
        <f ca="1">IF($A22="","",IF(IF(Q$2&lt;=$A$1,1,0),IF(Q$4="休","",IF(COUNTIF(DATA!R:R,$A:$A)=0,"×","√")),""))</f>
        <v/>
      </c>
      <c r="R22" s="34" t="str">
        <f ca="1">IF($A22="","",IF(IF(R$2&lt;=$A$1,1,0),IF(R$4="休","",IF(COUNTIF(DATA!S:S,$A:$A)=0,"×","√")),""))</f>
        <v/>
      </c>
      <c r="S22" s="34" t="str">
        <f ca="1">IF($A22="","",IF(IF(S$2&lt;=$A$1,1,0),IF(S$4="休","",IF(COUNTIF(DATA!T:T,$A:$A)=0,"×","√")),""))</f>
        <v/>
      </c>
      <c r="T22" s="34" t="str">
        <f ca="1">IF($A22="","",IF(IF(T$2&lt;=$A$1,1,0),IF(T$4="休","",IF(COUNTIF(DATA!U:U,$A:$A)=0,"×","√")),""))</f>
        <v/>
      </c>
      <c r="U22" s="34" t="str">
        <f ca="1">IF($A22="","",IF(IF(U$2&lt;=$A$1,1,0),IF(U$4="休","",IF(COUNTIF(DATA!V:V,$A:$A)=0,"×","√")),""))</f>
        <v/>
      </c>
      <c r="V22" s="34" t="str">
        <f ca="1">IF($A22="","",IF(IF(V$2&lt;=$A$1,1,0),IF(V$4="休","",IF(COUNTIF(DATA!W:W,$A:$A)=0,"×","√")),""))</f>
        <v/>
      </c>
      <c r="W22" s="34" t="str">
        <f ca="1">IF($A22="","",IF(IF(W$2&lt;=$A$1,1,0),IF(W$4="休","",IF(COUNTIF(DATA!X:X,$A:$A)=0,"×","√")),""))</f>
        <v/>
      </c>
      <c r="X22" s="34" t="str">
        <f ca="1">IF($A22="","",IF(IF(X$2&lt;=$A$1,1,0),IF(X$4="休","",IF(COUNTIF(DATA!Y:Y,$A:$A)=0,"×","√")),""))</f>
        <v/>
      </c>
      <c r="Y22" s="34" t="str">
        <f ca="1">IF($A22="","",IF(IF(Y$2&lt;=$A$1,1,0),IF(Y$4="休","",IF(COUNTIF(DATA!Z:Z,$A:$A)=0,"×","√")),""))</f>
        <v/>
      </c>
      <c r="Z22" s="34" t="str">
        <f ca="1">IF($A22="","",IF(IF(Z$2&lt;=$A$1,1,0),IF(Z$4="休","",IF(COUNTIF(DATA!AA:AA,$A:$A)=0,"×","√")),""))</f>
        <v/>
      </c>
      <c r="AA22" s="34" t="str">
        <f ca="1">IF($A22="","",IF(IF(AA$2&lt;=$A$1,1,0),IF(AA$4="休","",IF(COUNTIF(DATA!AB:AB,$A:$A)=0,"×","√")),""))</f>
        <v/>
      </c>
      <c r="AB22" s="34" t="str">
        <f ca="1">IF($A22="","",IF(IF(AB$2&lt;=$A$1,1,0),IF(AB$4="休","",IF(COUNTIF(DATA!AC:AC,$A:$A)=0,"×","√")),""))</f>
        <v/>
      </c>
      <c r="AC22" s="34" t="str">
        <f ca="1">IF($A22="","",IF(IF(AC$2&lt;=$A$1,1,0),IF(AC$4="休","",IF(COUNTIF(DATA!AD:AD,$A:$A)=0,"×","√")),""))</f>
        <v/>
      </c>
      <c r="AD22" s="34" t="str">
        <f ca="1">IF($A22="","",IF(IF(AD$2&lt;=$A$1,1,0),IF(AD$4="休","",IF(COUNTIF(DATA!AE:AE,$A:$A)=0,"×","√")),""))</f>
        <v/>
      </c>
      <c r="AE22" s="34" t="str">
        <f ca="1">IF($A22="","",IF(IF(AE$2&lt;=$A$1,1,0),IF(AE$4="休","",IF(COUNTIF(DATA!AF:AF,$A:$A)=0,"×","√")),""))</f>
        <v/>
      </c>
      <c r="AF22" s="34" t="str">
        <f ca="1">IF($A22="","",IF(IF(AF$2&lt;=$A$1,1,0),IF(AF$4="休","",IF(COUNTIF(DATA!AG:AG,$A:$A)=0,"×","√")),""))</f>
        <v/>
      </c>
      <c r="AG22" s="34" t="str">
        <f ca="1">IF($A22="","",IF(IF(AG$2&lt;=$A$1,1,0),IF(AG$4="休","",IF(COUNTIF(DATA!AH:AH,$A:$A)=0,"×","√")),""))</f>
        <v/>
      </c>
      <c r="AH22" s="34" t="str">
        <f ca="1">IF($A22="","",IF(IF(AH$2&lt;=$A$1,1,0),IF(AH$4="休","",IF(COUNTIF(DATA!AI:AI,$A:$A)=0,"×","√")),""))</f>
        <v/>
      </c>
      <c r="AI22" s="34" t="str">
        <f ca="1">IF($A22="","",IF(IF(AI$2&lt;=$A$1,1,0),IF(AI$4="休","",IF(COUNTIF(DATA!AJ:AJ,$A:$A)=0,"×","√")),""))</f>
        <v/>
      </c>
      <c r="AJ22" s="34" t="str">
        <f ca="1">IF($A22="","",IF(IF(AJ$2&lt;=$A$1,1,0),IF(AJ$4="休","",IF(COUNTIF(DATA!AK:AK,$A:$A)=0,"×","√")),""))</f>
        <v/>
      </c>
      <c r="AK22" s="34" t="str">
        <f ca="1">IF($A22="","",IF(IF(AK$2&lt;=$A$1,1,0),IF(AK$4="休","",IF(COUNTIF(DATA!AL:AL,$A:$A)=0,"×","√")),""))</f>
        <v/>
      </c>
      <c r="AL22" s="34" t="str">
        <f ca="1">IF($A22="","",IF(IF(AL$2&lt;=$A$1,1,0),IF(AL$4="休","",IF(COUNTIF(DATA!AM:AM,$A:$A)=0,"×","√")),""))</f>
        <v/>
      </c>
      <c r="AM22" s="34" t="str">
        <f ca="1">IF($A22="","",IF(IF(AM$2&lt;=$A$1,1,0),IF(AM$4="休","",IF(COUNTIF(DATA!AN:AN,$A:$A)=0,"×","√")),""))</f>
        <v/>
      </c>
      <c r="AN22" s="34" t="str">
        <f ca="1">IF($A22="","",IF(IF(AN$2&lt;=$A$1,1,0),IF(AN$4="休","",IF(COUNTIF(DATA!AO:AO,$A:$A)=0,"×","√")),""))</f>
        <v/>
      </c>
      <c r="AO22" s="34" t="str">
        <f ca="1">IF($A22="","",IF(IF(AO$2&lt;=$A$1,1,0),IF(AO$4="休","",IF(COUNTIF(DATA!AP:AP,$A:$A)=0,"×","√")),""))</f>
        <v/>
      </c>
      <c r="AP22" s="34" t="str">
        <f ca="1">IF($A22="","",IF(IF(AP$2&lt;=$A$1,1,0),IF(AP$4="休","",IF(COUNTIF(DATA!AQ:AQ,$A:$A)=0,"×","√")),""))</f>
        <v/>
      </c>
      <c r="AQ22" s="34" t="str">
        <f ca="1">IF($A22="","",IF(IF(AQ$2&lt;=$A$1,1,0),IF(AQ$4="休","",IF(COUNTIF(DATA!AR:AR,$A:$A)=0,"×","√")),""))</f>
        <v/>
      </c>
      <c r="AR22" s="34" t="str">
        <f ca="1">IF($A22="","",IF(IF(AR$2&lt;=$A$1,1,0),IF(AR$4="休","",IF(COUNTIF(DATA!AS:AS,$A:$A)=0,"×","√")),""))</f>
        <v/>
      </c>
      <c r="AS22" s="34" t="str">
        <f ca="1">IF($A22="","",IF(IF(AS$2&lt;=$A$1,1,0),IF(AS$4="休","",IF(COUNTIF(DATA!AT:AT,$A:$A)=0,"×","√")),""))</f>
        <v/>
      </c>
      <c r="AT22" s="34" t="str">
        <f ca="1">IF($A22="","",IF(IF(AT$2&lt;=$A$1,1,0),IF(AT$4="休","",IF(COUNTIF(DATA!AU:AU,$A:$A)=0,"×","√")),""))</f>
        <v/>
      </c>
      <c r="AU22" s="34" t="str">
        <f ca="1">IF($A22="","",IF(IF(AU$2&lt;=$A$1,1,0),IF(AU$4="休","",IF(COUNTIF(DATA!AV:AV,$A:$A)=0,"×","√")),""))</f>
        <v/>
      </c>
      <c r="AV22" s="34" t="str">
        <f ca="1">IF($A22="","",IF(IF(AV$2&lt;=$A$1,1,0),IF(AV$4="休","",IF(COUNTIF(DATA!AW:AW,$A:$A)=0,"×","√")),""))</f>
        <v/>
      </c>
      <c r="AW22" s="34" t="str">
        <f ca="1">IF($A22="","",IF(IF(AW$2&lt;=$A$1,1,0),IF(AW$4="休","",IF(COUNTIF(DATA!AX:AX,$A:$A)=0,"×","√")),""))</f>
        <v/>
      </c>
      <c r="AX22" s="34" t="str">
        <f ca="1">IF($A22="","",IF(IF(AX$2&lt;=$A$1,1,0),IF(AX$4="休","",IF(COUNTIF(DATA!AY:AY,$A:$A)=0,"×","√")),""))</f>
        <v/>
      </c>
      <c r="AY22" s="34" t="str">
        <f ca="1">IF($A22="","",IF(IF(AY$2&lt;=$A$1,1,0),IF(AY$4="休","",IF(COUNTIF(DATA!AZ:AZ,$A:$A)=0,"×","√")),""))</f>
        <v/>
      </c>
      <c r="AZ22" s="34" t="str">
        <f ca="1">IF($A22="","",IF(IF(AZ$2&lt;=$A$1,1,0),IF(AZ$4="休","",IF(COUNTIF(DATA!BA:BA,$A:$A)=0,"×","√")),""))</f>
        <v/>
      </c>
      <c r="BA22" s="34" t="str">
        <f ca="1">IF($A22="","",IF(IF(BA$2&lt;=$A$1,1,0),IF(BA$4="休","",IF(COUNTIF(DATA!BB:BB,$A:$A)=0,"×","√")),""))</f>
        <v/>
      </c>
      <c r="BB22" s="34" t="str">
        <f ca="1">IF($A22="","",IF(IF(BB$2&lt;=$A$1,1,0),IF(BB$4="休","",IF(COUNTIF(DATA!BC:BC,$A:$A)=0,"×","√")),""))</f>
        <v/>
      </c>
      <c r="BC22" s="34" t="str">
        <f ca="1">IF($A22="","",IF(IF(BC$2&lt;=$A$1,1,0),IF(BC$4="休","",IF(COUNTIF(DATA!BD:BD,$A:$A)=0,"×","√")),""))</f>
        <v/>
      </c>
      <c r="BD22" s="34" t="str">
        <f ca="1">IF($A22="","",IF(IF(BD$2&lt;=$A$1,1,0),IF(BD$4="休","",IF(COUNTIF(DATA!BE:BE,$A:$A)=0,"×","√")),""))</f>
        <v/>
      </c>
      <c r="BE22" s="34" t="str">
        <f ca="1">IF($A22="","",IF(IF(BE$2&lt;=$A$1,1,0),IF(BE$4="休","",IF(COUNTIF(DATA!BF:BF,$A:$A)=0,"×","√")),""))</f>
        <v/>
      </c>
      <c r="BF22" s="34" t="str">
        <f ca="1">IF($A22="","",IF(IF(BF$2&lt;=$A$1,1,0),IF(BF$4="休","",IF(COUNTIF(DATA!BG:BG,$A:$A)=0,"×","√")),""))</f>
        <v/>
      </c>
      <c r="BG22" s="34" t="str">
        <f ca="1">IF($A22="","",IF(IF(BG$2&lt;=$A$1,1,0),IF(BG$4="休","",IF(COUNTIF(DATA!BH:BH,$A:$A)=0,"×","√")),""))</f>
        <v/>
      </c>
      <c r="BH22" s="34" t="str">
        <f ca="1">IF($A22="","",IF(IF(BH$2&lt;=$A$1,1,0),IF(BH$4="休","",IF(COUNTIF(DATA!BI:BI,$A:$A)=0,"×","√")),""))</f>
        <v/>
      </c>
      <c r="BI22" s="34" t="str">
        <f ca="1">IF($A22="","",IF(IF(BI$2&lt;=$A$1,1,0),IF(BI$4="休","",IF(COUNTIF(DATA!BJ:BJ,$A:$A)=0,"×","√")),""))</f>
        <v/>
      </c>
      <c r="BJ22" s="34" t="str">
        <f ca="1">IF($A22="","",IF(IF(BJ$2&lt;=$A$1,1,0),IF(BJ$4="休","",IF(COUNTIF(DATA!BK:BK,$A:$A)=0,"×","√")),""))</f>
        <v/>
      </c>
      <c r="BK22" s="34" t="str">
        <f ca="1">IF($A22="","",IF(IF(BK$2&lt;=$A$1,1,0),IF(BK$4="休","",IF(COUNTIF(DATA!BL:BL,$A:$A)=0,"×","√")),""))</f>
        <v/>
      </c>
      <c r="BL22" s="34" t="str">
        <f ca="1">IF($A22="","",IF(IF(BL$2&lt;=$A$1,1,0),IF(BL$4="休","",IF(COUNTIF(DATA!BM:BM,$A:$A)=0,"×","√")),""))</f>
        <v/>
      </c>
      <c r="BM22" s="34" t="str">
        <f ca="1">IF($A22="","",IF(IF(BM$2&lt;=$A$1,1,0),IF(BM$4="休","",IF(COUNTIF(DATA!BN:BN,$A:$A)=0,"×","√")),""))</f>
        <v/>
      </c>
      <c r="BN22" s="34" t="str">
        <f ca="1">IF($A22="","",IF(IF(BN$2&lt;=$A$1,1,0),IF(BN$4="休","",IF(COUNTIF(DATA!BO:BO,$A:$A)=0,"×","√")),""))</f>
        <v/>
      </c>
      <c r="BO22" s="34" t="str">
        <f ca="1">IF($A22="","",IF(IF(BO$2&lt;=$A$1,1,0),IF(BO$4="休","",IF(COUNTIF(DATA!BP:BP,$A:$A)=0,"×","√")),""))</f>
        <v/>
      </c>
      <c r="BP22" s="34" t="str">
        <f ca="1">IF($A22="","",IF(IF(BP$2&lt;=$A$1,1,0),IF(BP$4="休","",IF(COUNTIF(DATA!BQ:BQ,$A:$A)=0,"×","√")),""))</f>
        <v/>
      </c>
      <c r="BQ22" s="34" t="str">
        <f ca="1">IF($A22="","",IF(IF(BQ$2&lt;=$A$1,1,0),IF(BQ$4="休","",IF(COUNTIF(DATA!BR:BR,$A:$A)=0,"×","√")),""))</f>
        <v/>
      </c>
      <c r="BR22" s="34" t="str">
        <f ca="1">IF($A22="","",IF(IF(BR$2&lt;=$A$1,1,0),IF(BR$4="休","",IF(COUNTIF(DATA!BS:BS,$A:$A)=0,"×","√")),""))</f>
        <v/>
      </c>
      <c r="BS22" s="34" t="str">
        <f ca="1">IF($A22="","",IF(IF(BS$2&lt;=$A$1,1,0),IF(BS$4="休","",IF(COUNTIF(DATA!BT:BT,$A:$A)=0,"×","√")),""))</f>
        <v/>
      </c>
      <c r="BT22" s="34" t="str">
        <f ca="1">IF($A22="","",IF(IF(BT$2&lt;=$A$1,1,0),IF(BT$4="休","",IF(COUNTIF(DATA!BU:BU,$A:$A)=0,"×","√")),""))</f>
        <v/>
      </c>
      <c r="BU22" s="34" t="str">
        <f ca="1">IF($A22="","",IF(IF(BU$2&lt;=$A$1,1,0),IF(BU$4="休","",IF(COUNTIF(DATA!BV:BV,$A:$A)=0,"×","√")),""))</f>
        <v/>
      </c>
      <c r="BV22" s="34" t="str">
        <f ca="1">IF($A22="","",IF(IF(BV$2&lt;=$A$1,1,0),IF(BV$4="休","",IF(COUNTIF(DATA!BW:BW,$A:$A)=0,"×","√")),""))</f>
        <v/>
      </c>
      <c r="BW22" s="34" t="str">
        <f ca="1">IF($A22="","",IF(IF(BW$2&lt;=$A$1,1,0),IF(BW$4="休","",IF(COUNTIF(DATA!BX:BX,$A:$A)=0,"×","√")),""))</f>
        <v/>
      </c>
      <c r="BX22" s="34" t="str">
        <f ca="1">IF($A22="","",IF(IF(BX$2&lt;=$A$1,1,0),IF(BX$4="休","",IF(COUNTIF(DATA!BY:BY,$A:$A)=0,"×","√")),""))</f>
        <v/>
      </c>
      <c r="BY22" s="34" t="str">
        <f ca="1">IF($A22="","",IF(IF(BY$2&lt;=$A$1,1,0),IF(BY$4="休","",IF(COUNTIF(DATA!BZ:BZ,$A:$A)=0,"×","√")),""))</f>
        <v/>
      </c>
      <c r="BZ22" s="34" t="str">
        <f ca="1">IF($A22="","",IF(IF(BZ$2&lt;=$A$1,1,0),IF(BZ$4="休","",IF(COUNTIF(DATA!CA:CA,$A:$A)=0,"×","√")),""))</f>
        <v/>
      </c>
      <c r="CA22" s="34" t="str">
        <f ca="1">IF($A22="","",IF(IF(CA$2&lt;=$A$1,1,0),IF(CA$4="休","",IF(COUNTIF(DATA!CB:CB,$A:$A)=0,"×","√")),""))</f>
        <v/>
      </c>
      <c r="CB22" s="34" t="str">
        <f ca="1">IF($A22="","",IF(IF(CB$2&lt;=$A$1,1,0),IF(CB$4="休","",IF(COUNTIF(DATA!CC:CC,$A:$A)=0,"×","√")),""))</f>
        <v/>
      </c>
      <c r="CC22" s="34" t="str">
        <f ca="1">IF($A22="","",IF(IF(CC$2&lt;=$A$1,1,0),IF(CC$4="休","",IF(COUNTIF(DATA!CD:CD,$A:$A)=0,"×","√")),""))</f>
        <v/>
      </c>
      <c r="CD22" s="34" t="str">
        <f ca="1">IF($A22="","",IF(IF(CD$2&lt;=$A$1,1,0),IF(CD$4="休","",IF(COUNTIF(DATA!CE:CE,$A:$A)=0,"×","√")),""))</f>
        <v/>
      </c>
      <c r="CE22" s="34" t="str">
        <f ca="1">IF($A22="","",IF(IF(CE$2&lt;=$A$1,1,0),IF(CE$4="休","",IF(COUNTIF(DATA!CF:CF,$A:$A)=0,"×","√")),""))</f>
        <v/>
      </c>
      <c r="CF22" s="34" t="str">
        <f ca="1">IF($A22="","",IF(IF(CF$2&lt;=$A$1,1,0),IF(CF$4="休","",IF(COUNTIF(DATA!CG:CG,$A:$A)=0,"×","√")),""))</f>
        <v/>
      </c>
      <c r="CG22" s="34" t="str">
        <f ca="1">IF($A22="","",IF(IF(CG$2&lt;=$A$1,1,0),IF(CG$4="休","",IF(COUNTIF(DATA!CH:CH,$A:$A)=0,"×","√")),""))</f>
        <v/>
      </c>
      <c r="CH22" s="34" t="str">
        <f ca="1">IF($A22="","",IF(IF(CH$2&lt;=$A$1,1,0),IF(CH$4="休","",IF(COUNTIF(DATA!CI:CI,$A:$A)=0,"×","√")),""))</f>
        <v/>
      </c>
      <c r="CI22" s="34" t="str">
        <f ca="1">IF($A22="","",IF(IF(CI$2&lt;=$A$1,1,0),IF(CI$4="休","",IF(COUNTIF(DATA!CJ:CJ,$A:$A)=0,"×","√")),""))</f>
        <v/>
      </c>
      <c r="CJ22" s="34" t="str">
        <f ca="1">IF($A22="","",IF(IF(CJ$2&lt;=$A$1,1,0),IF(CJ$4="休","",IF(COUNTIF(DATA!CK:CK,$A:$A)=0,"×","√")),""))</f>
        <v/>
      </c>
      <c r="CK22" s="34" t="str">
        <f ca="1">IF($A22="","",IF(IF(CK$2&lt;=$A$1,1,0),IF(CK$4="休","",IF(COUNTIF(DATA!CL:CL,$A:$A)=0,"×","√")),""))</f>
        <v/>
      </c>
      <c r="CL22" s="34" t="str">
        <f ca="1">IF($A22="","",IF(IF(CL$2&lt;=$A$1,1,0),IF(CL$4="休","",IF(COUNTIF(DATA!CM:CM,$A:$A)=0,"×","√")),""))</f>
        <v/>
      </c>
      <c r="CM22" s="34" t="str">
        <f ca="1">IF($A22="","",IF(IF(CM$2&lt;=$A$1,1,0),IF(CM$4="休","",IF(COUNTIF(DATA!CN:CN,$A:$A)=0,"×","√")),""))</f>
        <v/>
      </c>
      <c r="CN22" s="34" t="str">
        <f ca="1">IF($A22="","",IF(IF(CN$2&lt;=$A$1,1,0),IF(CN$4="休","",IF(COUNTIF(DATA!CO:CO,$A:$A)=0,"×","√")),""))</f>
        <v/>
      </c>
      <c r="CO22" s="34" t="str">
        <f ca="1">IF($A22="","",IF(IF(CO$2&lt;=$A$1,1,0),IF(CO$4="休","",IF(COUNTIF(DATA!CP:CP,$A:$A)=0,"×","√")),""))</f>
        <v/>
      </c>
      <c r="CP22" s="34" t="str">
        <f ca="1">IF($A22="","",IF(IF(CP$2&lt;=$A$1,1,0),IF(CP$4="休","",IF(COUNTIF(DATA!CQ:CQ,$A:$A)=0,"×","√")),""))</f>
        <v/>
      </c>
      <c r="CQ22" s="34" t="str">
        <f ca="1">IF($A22="","",IF(IF(CQ$2&lt;=$A$1,1,0),IF(CQ$4="休","",IF(COUNTIF(DATA!CR:CR,$A:$A)=0,"×","√")),""))</f>
        <v/>
      </c>
      <c r="CR22" s="34" t="str">
        <f ca="1">IF($A22="","",IF(IF(CR$2&lt;=$A$1,1,0),IF(CR$4="休","",IF(COUNTIF(DATA!CS:CS,$A:$A)=0,"×","√")),""))</f>
        <v/>
      </c>
    </row>
    <row r="23" s="28" customFormat="1" ht="18.75" spans="1:96">
      <c r="A23" s="34" t="str">
        <f>DATA!$A22&amp;""</f>
        <v>费伟</v>
      </c>
      <c r="B23" s="34" t="str">
        <f ca="1">IF($A23="","",IF(IF(B$2&lt;=$A$1,1,0),IF(B$4="休","",IF(COUNTIF(DATA!C:C,$A:$A)=0,"×","√")),""))</f>
        <v>√</v>
      </c>
      <c r="C23" s="34" t="str">
        <f ca="1">IF($A23="","",IF(IF(C$2&lt;=$A$1,1,0),IF(C$4="休","",IF(COUNTIF(DATA!D:D,$A:$A)=0,"×","√")),""))</f>
        <v>√</v>
      </c>
      <c r="D23" s="34" t="str">
        <f ca="1">IF($A23="","",IF(IF(D$2&lt;=$A$1,1,0),IF(D$4="休","",IF(COUNTIF(DATA!E:E,$A:$A)=0,"×","√")),""))</f>
        <v>√</v>
      </c>
      <c r="E23" s="34" t="str">
        <f ca="1">IF($A23="","",IF(IF(E$2&lt;=$A$1,1,0),IF(E$4="休","",IF(COUNTIF(DATA!F:F,$A:$A)=0,"×","√")),""))</f>
        <v>√</v>
      </c>
      <c r="F23" s="34" t="str">
        <f ca="1">IF($A23="","",IF(IF(F$2&lt;=$A$1,1,0),IF(F$4="休","",IF(COUNTIF(DATA!G:G,$A:$A)=0,"×","√")),""))</f>
        <v>√</v>
      </c>
      <c r="G23" s="34" t="str">
        <f ca="1">IF($A23="","",IF(IF(G$2&lt;=$A$1,1,0),IF(G$4="休","",IF(COUNTIF(DATA!H:H,$A:$A)=0,"×","√")),""))</f>
        <v>√</v>
      </c>
      <c r="H23" s="34" t="str">
        <f ca="1">IF($A23="","",IF(IF(H$2&lt;=$A$1,1,0),IF(H$4="休","",IF(COUNTIF(DATA!I:I,$A:$A)=0,"×","√")),""))</f>
        <v>√</v>
      </c>
      <c r="I23" s="34" t="str">
        <f ca="1">IF($A23="","",IF(IF(I$2&lt;=$A$1,1,0),IF(I$4="休","",IF(COUNTIF(DATA!J:J,$A:$A)=0,"×","√")),""))</f>
        <v>√</v>
      </c>
      <c r="J23" s="34" t="str">
        <f ca="1">IF($A23="","",IF(IF(J$2&lt;=$A$1,1,0),IF(J$4="休","",IF(COUNTIF(DATA!K:K,$A:$A)=0,"×","√")),""))</f>
        <v>√</v>
      </c>
      <c r="K23" s="34" t="str">
        <f ca="1">IF($A23="","",IF(IF(K$2&lt;=$A$1,1,0),IF(K$4="休","",IF(COUNTIF(DATA!L:L,$A:$A)=0,"×","√")),""))</f>
        <v>√</v>
      </c>
      <c r="L23" s="34" t="str">
        <f ca="1">IF($A23="","",IF(IF(L$2&lt;=$A$1,1,0),IF(L$4="休","",IF(COUNTIF(DATA!M:M,$A:$A)=0,"×","√")),""))</f>
        <v>√</v>
      </c>
      <c r="M23" s="34" t="str">
        <f ca="1">IF($A23="","",IF(IF(M$2&lt;=$A$1,1,0),IF(M$4="休","",IF(COUNTIF(DATA!N:N,$A:$A)=0,"×","√")),""))</f>
        <v>√</v>
      </c>
      <c r="N23" s="34" t="str">
        <f ca="1">IF($A23="","",IF(IF(N$2&lt;=$A$1,1,0),IF(N$4="休","",IF(COUNTIF(DATA!O:O,$A:$A)=0,"×","√")),""))</f>
        <v>√</v>
      </c>
      <c r="O23" s="34" t="str">
        <f ca="1">IF($A23="","",IF(IF(O$2&lt;=$A$1,1,0),IF(O$4="休","",IF(COUNTIF(DATA!P:P,$A:$A)=0,"×","√")),""))</f>
        <v>×</v>
      </c>
      <c r="P23" s="34" t="str">
        <f ca="1">IF($A23="","",IF(IF(P$2&lt;=$A$1,1,0),IF(P$4="休","",IF(COUNTIF(DATA!Q:Q,$A:$A)=0,"×","√")),""))</f>
        <v/>
      </c>
      <c r="Q23" s="34" t="str">
        <f ca="1">IF($A23="","",IF(IF(Q$2&lt;=$A$1,1,0),IF(Q$4="休","",IF(COUNTIF(DATA!R:R,$A:$A)=0,"×","√")),""))</f>
        <v/>
      </c>
      <c r="R23" s="34" t="str">
        <f ca="1">IF($A23="","",IF(IF(R$2&lt;=$A$1,1,0),IF(R$4="休","",IF(COUNTIF(DATA!S:S,$A:$A)=0,"×","√")),""))</f>
        <v/>
      </c>
      <c r="S23" s="34" t="str">
        <f ca="1">IF($A23="","",IF(IF(S$2&lt;=$A$1,1,0),IF(S$4="休","",IF(COUNTIF(DATA!T:T,$A:$A)=0,"×","√")),""))</f>
        <v/>
      </c>
      <c r="T23" s="34" t="str">
        <f ca="1">IF($A23="","",IF(IF(T$2&lt;=$A$1,1,0),IF(T$4="休","",IF(COUNTIF(DATA!U:U,$A:$A)=0,"×","√")),""))</f>
        <v/>
      </c>
      <c r="U23" s="34" t="str">
        <f ca="1">IF($A23="","",IF(IF(U$2&lt;=$A$1,1,0),IF(U$4="休","",IF(COUNTIF(DATA!V:V,$A:$A)=0,"×","√")),""))</f>
        <v/>
      </c>
      <c r="V23" s="34" t="str">
        <f ca="1">IF($A23="","",IF(IF(V$2&lt;=$A$1,1,0),IF(V$4="休","",IF(COUNTIF(DATA!W:W,$A:$A)=0,"×","√")),""))</f>
        <v/>
      </c>
      <c r="W23" s="34" t="str">
        <f ca="1">IF($A23="","",IF(IF(W$2&lt;=$A$1,1,0),IF(W$4="休","",IF(COUNTIF(DATA!X:X,$A:$A)=0,"×","√")),""))</f>
        <v/>
      </c>
      <c r="X23" s="34" t="str">
        <f ca="1">IF($A23="","",IF(IF(X$2&lt;=$A$1,1,0),IF(X$4="休","",IF(COUNTIF(DATA!Y:Y,$A:$A)=0,"×","√")),""))</f>
        <v/>
      </c>
      <c r="Y23" s="34" t="str">
        <f ca="1">IF($A23="","",IF(IF(Y$2&lt;=$A$1,1,0),IF(Y$4="休","",IF(COUNTIF(DATA!Z:Z,$A:$A)=0,"×","√")),""))</f>
        <v/>
      </c>
      <c r="Z23" s="34" t="str">
        <f ca="1">IF($A23="","",IF(IF(Z$2&lt;=$A$1,1,0),IF(Z$4="休","",IF(COUNTIF(DATA!AA:AA,$A:$A)=0,"×","√")),""))</f>
        <v/>
      </c>
      <c r="AA23" s="34" t="str">
        <f ca="1">IF($A23="","",IF(IF(AA$2&lt;=$A$1,1,0),IF(AA$4="休","",IF(COUNTIF(DATA!AB:AB,$A:$A)=0,"×","√")),""))</f>
        <v/>
      </c>
      <c r="AB23" s="34" t="str">
        <f ca="1">IF($A23="","",IF(IF(AB$2&lt;=$A$1,1,0),IF(AB$4="休","",IF(COUNTIF(DATA!AC:AC,$A:$A)=0,"×","√")),""))</f>
        <v/>
      </c>
      <c r="AC23" s="34" t="str">
        <f ca="1">IF($A23="","",IF(IF(AC$2&lt;=$A$1,1,0),IF(AC$4="休","",IF(COUNTIF(DATA!AD:AD,$A:$A)=0,"×","√")),""))</f>
        <v/>
      </c>
      <c r="AD23" s="34" t="str">
        <f ca="1">IF($A23="","",IF(IF(AD$2&lt;=$A$1,1,0),IF(AD$4="休","",IF(COUNTIF(DATA!AE:AE,$A:$A)=0,"×","√")),""))</f>
        <v/>
      </c>
      <c r="AE23" s="34" t="str">
        <f ca="1">IF($A23="","",IF(IF(AE$2&lt;=$A$1,1,0),IF(AE$4="休","",IF(COUNTIF(DATA!AF:AF,$A:$A)=0,"×","√")),""))</f>
        <v/>
      </c>
      <c r="AF23" s="34" t="str">
        <f ca="1">IF($A23="","",IF(IF(AF$2&lt;=$A$1,1,0),IF(AF$4="休","",IF(COUNTIF(DATA!AG:AG,$A:$A)=0,"×","√")),""))</f>
        <v/>
      </c>
      <c r="AG23" s="34" t="str">
        <f ca="1">IF($A23="","",IF(IF(AG$2&lt;=$A$1,1,0),IF(AG$4="休","",IF(COUNTIF(DATA!AH:AH,$A:$A)=0,"×","√")),""))</f>
        <v/>
      </c>
      <c r="AH23" s="34" t="str">
        <f ca="1">IF($A23="","",IF(IF(AH$2&lt;=$A$1,1,0),IF(AH$4="休","",IF(COUNTIF(DATA!AI:AI,$A:$A)=0,"×","√")),""))</f>
        <v/>
      </c>
      <c r="AI23" s="34" t="str">
        <f ca="1">IF($A23="","",IF(IF(AI$2&lt;=$A$1,1,0),IF(AI$4="休","",IF(COUNTIF(DATA!AJ:AJ,$A:$A)=0,"×","√")),""))</f>
        <v/>
      </c>
      <c r="AJ23" s="34" t="str">
        <f ca="1">IF($A23="","",IF(IF(AJ$2&lt;=$A$1,1,0),IF(AJ$4="休","",IF(COUNTIF(DATA!AK:AK,$A:$A)=0,"×","√")),""))</f>
        <v/>
      </c>
      <c r="AK23" s="34" t="str">
        <f ca="1">IF($A23="","",IF(IF(AK$2&lt;=$A$1,1,0),IF(AK$4="休","",IF(COUNTIF(DATA!AL:AL,$A:$A)=0,"×","√")),""))</f>
        <v/>
      </c>
      <c r="AL23" s="34" t="str">
        <f ca="1">IF($A23="","",IF(IF(AL$2&lt;=$A$1,1,0),IF(AL$4="休","",IF(COUNTIF(DATA!AM:AM,$A:$A)=0,"×","√")),""))</f>
        <v/>
      </c>
      <c r="AM23" s="34" t="str">
        <f ca="1">IF($A23="","",IF(IF(AM$2&lt;=$A$1,1,0),IF(AM$4="休","",IF(COUNTIF(DATA!AN:AN,$A:$A)=0,"×","√")),""))</f>
        <v/>
      </c>
      <c r="AN23" s="34" t="str">
        <f ca="1">IF($A23="","",IF(IF(AN$2&lt;=$A$1,1,0),IF(AN$4="休","",IF(COUNTIF(DATA!AO:AO,$A:$A)=0,"×","√")),""))</f>
        <v/>
      </c>
      <c r="AO23" s="34" t="str">
        <f ca="1">IF($A23="","",IF(IF(AO$2&lt;=$A$1,1,0),IF(AO$4="休","",IF(COUNTIF(DATA!AP:AP,$A:$A)=0,"×","√")),""))</f>
        <v/>
      </c>
      <c r="AP23" s="34" t="str">
        <f ca="1">IF($A23="","",IF(IF(AP$2&lt;=$A$1,1,0),IF(AP$4="休","",IF(COUNTIF(DATA!AQ:AQ,$A:$A)=0,"×","√")),""))</f>
        <v/>
      </c>
      <c r="AQ23" s="34" t="str">
        <f ca="1">IF($A23="","",IF(IF(AQ$2&lt;=$A$1,1,0),IF(AQ$4="休","",IF(COUNTIF(DATA!AR:AR,$A:$A)=0,"×","√")),""))</f>
        <v/>
      </c>
      <c r="AR23" s="34" t="str">
        <f ca="1">IF($A23="","",IF(IF(AR$2&lt;=$A$1,1,0),IF(AR$4="休","",IF(COUNTIF(DATA!AS:AS,$A:$A)=0,"×","√")),""))</f>
        <v/>
      </c>
      <c r="AS23" s="34" t="str">
        <f ca="1">IF($A23="","",IF(IF(AS$2&lt;=$A$1,1,0),IF(AS$4="休","",IF(COUNTIF(DATA!AT:AT,$A:$A)=0,"×","√")),""))</f>
        <v/>
      </c>
      <c r="AT23" s="34" t="str">
        <f ca="1">IF($A23="","",IF(IF(AT$2&lt;=$A$1,1,0),IF(AT$4="休","",IF(COUNTIF(DATA!AU:AU,$A:$A)=0,"×","√")),""))</f>
        <v/>
      </c>
      <c r="AU23" s="34" t="str">
        <f ca="1">IF($A23="","",IF(IF(AU$2&lt;=$A$1,1,0),IF(AU$4="休","",IF(COUNTIF(DATA!AV:AV,$A:$A)=0,"×","√")),""))</f>
        <v/>
      </c>
      <c r="AV23" s="34" t="str">
        <f ca="1">IF($A23="","",IF(IF(AV$2&lt;=$A$1,1,0),IF(AV$4="休","",IF(COUNTIF(DATA!AW:AW,$A:$A)=0,"×","√")),""))</f>
        <v/>
      </c>
      <c r="AW23" s="34" t="str">
        <f ca="1">IF($A23="","",IF(IF(AW$2&lt;=$A$1,1,0),IF(AW$4="休","",IF(COUNTIF(DATA!AX:AX,$A:$A)=0,"×","√")),""))</f>
        <v/>
      </c>
      <c r="AX23" s="34" t="str">
        <f ca="1">IF($A23="","",IF(IF(AX$2&lt;=$A$1,1,0),IF(AX$4="休","",IF(COUNTIF(DATA!AY:AY,$A:$A)=0,"×","√")),""))</f>
        <v/>
      </c>
      <c r="AY23" s="34" t="str">
        <f ca="1">IF($A23="","",IF(IF(AY$2&lt;=$A$1,1,0),IF(AY$4="休","",IF(COUNTIF(DATA!AZ:AZ,$A:$A)=0,"×","√")),""))</f>
        <v/>
      </c>
      <c r="AZ23" s="34" t="str">
        <f ca="1">IF($A23="","",IF(IF(AZ$2&lt;=$A$1,1,0),IF(AZ$4="休","",IF(COUNTIF(DATA!BA:BA,$A:$A)=0,"×","√")),""))</f>
        <v/>
      </c>
      <c r="BA23" s="34" t="str">
        <f ca="1">IF($A23="","",IF(IF(BA$2&lt;=$A$1,1,0),IF(BA$4="休","",IF(COUNTIF(DATA!BB:BB,$A:$A)=0,"×","√")),""))</f>
        <v/>
      </c>
      <c r="BB23" s="34" t="str">
        <f ca="1">IF($A23="","",IF(IF(BB$2&lt;=$A$1,1,0),IF(BB$4="休","",IF(COUNTIF(DATA!BC:BC,$A:$A)=0,"×","√")),""))</f>
        <v/>
      </c>
      <c r="BC23" s="34" t="str">
        <f ca="1">IF($A23="","",IF(IF(BC$2&lt;=$A$1,1,0),IF(BC$4="休","",IF(COUNTIF(DATA!BD:BD,$A:$A)=0,"×","√")),""))</f>
        <v/>
      </c>
      <c r="BD23" s="34" t="str">
        <f ca="1">IF($A23="","",IF(IF(BD$2&lt;=$A$1,1,0),IF(BD$4="休","",IF(COUNTIF(DATA!BE:BE,$A:$A)=0,"×","√")),""))</f>
        <v/>
      </c>
      <c r="BE23" s="34" t="str">
        <f ca="1">IF($A23="","",IF(IF(BE$2&lt;=$A$1,1,0),IF(BE$4="休","",IF(COUNTIF(DATA!BF:BF,$A:$A)=0,"×","√")),""))</f>
        <v/>
      </c>
      <c r="BF23" s="34" t="str">
        <f ca="1">IF($A23="","",IF(IF(BF$2&lt;=$A$1,1,0),IF(BF$4="休","",IF(COUNTIF(DATA!BG:BG,$A:$A)=0,"×","√")),""))</f>
        <v/>
      </c>
      <c r="BG23" s="34" t="str">
        <f ca="1">IF($A23="","",IF(IF(BG$2&lt;=$A$1,1,0),IF(BG$4="休","",IF(COUNTIF(DATA!BH:BH,$A:$A)=0,"×","√")),""))</f>
        <v/>
      </c>
      <c r="BH23" s="34" t="str">
        <f ca="1">IF($A23="","",IF(IF(BH$2&lt;=$A$1,1,0),IF(BH$4="休","",IF(COUNTIF(DATA!BI:BI,$A:$A)=0,"×","√")),""))</f>
        <v/>
      </c>
      <c r="BI23" s="34" t="str">
        <f ca="1">IF($A23="","",IF(IF(BI$2&lt;=$A$1,1,0),IF(BI$4="休","",IF(COUNTIF(DATA!BJ:BJ,$A:$A)=0,"×","√")),""))</f>
        <v/>
      </c>
      <c r="BJ23" s="34" t="str">
        <f ca="1">IF($A23="","",IF(IF(BJ$2&lt;=$A$1,1,0),IF(BJ$4="休","",IF(COUNTIF(DATA!BK:BK,$A:$A)=0,"×","√")),""))</f>
        <v/>
      </c>
      <c r="BK23" s="34" t="str">
        <f ca="1">IF($A23="","",IF(IF(BK$2&lt;=$A$1,1,0),IF(BK$4="休","",IF(COUNTIF(DATA!BL:BL,$A:$A)=0,"×","√")),""))</f>
        <v/>
      </c>
      <c r="BL23" s="34" t="str">
        <f ca="1">IF($A23="","",IF(IF(BL$2&lt;=$A$1,1,0),IF(BL$4="休","",IF(COUNTIF(DATA!BM:BM,$A:$A)=0,"×","√")),""))</f>
        <v/>
      </c>
      <c r="BM23" s="34" t="str">
        <f ca="1">IF($A23="","",IF(IF(BM$2&lt;=$A$1,1,0),IF(BM$4="休","",IF(COUNTIF(DATA!BN:BN,$A:$A)=0,"×","√")),""))</f>
        <v/>
      </c>
      <c r="BN23" s="34" t="str">
        <f ca="1">IF($A23="","",IF(IF(BN$2&lt;=$A$1,1,0),IF(BN$4="休","",IF(COUNTIF(DATA!BO:BO,$A:$A)=0,"×","√")),""))</f>
        <v/>
      </c>
      <c r="BO23" s="34" t="str">
        <f ca="1">IF($A23="","",IF(IF(BO$2&lt;=$A$1,1,0),IF(BO$4="休","",IF(COUNTIF(DATA!BP:BP,$A:$A)=0,"×","√")),""))</f>
        <v/>
      </c>
      <c r="BP23" s="34" t="str">
        <f ca="1">IF($A23="","",IF(IF(BP$2&lt;=$A$1,1,0),IF(BP$4="休","",IF(COUNTIF(DATA!BQ:BQ,$A:$A)=0,"×","√")),""))</f>
        <v/>
      </c>
      <c r="BQ23" s="34" t="str">
        <f ca="1">IF($A23="","",IF(IF(BQ$2&lt;=$A$1,1,0),IF(BQ$4="休","",IF(COUNTIF(DATA!BR:BR,$A:$A)=0,"×","√")),""))</f>
        <v/>
      </c>
      <c r="BR23" s="34" t="str">
        <f ca="1">IF($A23="","",IF(IF(BR$2&lt;=$A$1,1,0),IF(BR$4="休","",IF(COUNTIF(DATA!BS:BS,$A:$A)=0,"×","√")),""))</f>
        <v/>
      </c>
      <c r="BS23" s="34" t="str">
        <f ca="1">IF($A23="","",IF(IF(BS$2&lt;=$A$1,1,0),IF(BS$4="休","",IF(COUNTIF(DATA!BT:BT,$A:$A)=0,"×","√")),""))</f>
        <v/>
      </c>
      <c r="BT23" s="34" t="str">
        <f ca="1">IF($A23="","",IF(IF(BT$2&lt;=$A$1,1,0),IF(BT$4="休","",IF(COUNTIF(DATA!BU:BU,$A:$A)=0,"×","√")),""))</f>
        <v/>
      </c>
      <c r="BU23" s="34" t="str">
        <f ca="1">IF($A23="","",IF(IF(BU$2&lt;=$A$1,1,0),IF(BU$4="休","",IF(COUNTIF(DATA!BV:BV,$A:$A)=0,"×","√")),""))</f>
        <v/>
      </c>
      <c r="BV23" s="34" t="str">
        <f ca="1">IF($A23="","",IF(IF(BV$2&lt;=$A$1,1,0),IF(BV$4="休","",IF(COUNTIF(DATA!BW:BW,$A:$A)=0,"×","√")),""))</f>
        <v/>
      </c>
      <c r="BW23" s="34" t="str">
        <f ca="1">IF($A23="","",IF(IF(BW$2&lt;=$A$1,1,0),IF(BW$4="休","",IF(COUNTIF(DATA!BX:BX,$A:$A)=0,"×","√")),""))</f>
        <v/>
      </c>
      <c r="BX23" s="34" t="str">
        <f ca="1">IF($A23="","",IF(IF(BX$2&lt;=$A$1,1,0),IF(BX$4="休","",IF(COUNTIF(DATA!BY:BY,$A:$A)=0,"×","√")),""))</f>
        <v/>
      </c>
      <c r="BY23" s="34" t="str">
        <f ca="1">IF($A23="","",IF(IF(BY$2&lt;=$A$1,1,0),IF(BY$4="休","",IF(COUNTIF(DATA!BZ:BZ,$A:$A)=0,"×","√")),""))</f>
        <v/>
      </c>
      <c r="BZ23" s="34" t="str">
        <f ca="1">IF($A23="","",IF(IF(BZ$2&lt;=$A$1,1,0),IF(BZ$4="休","",IF(COUNTIF(DATA!CA:CA,$A:$A)=0,"×","√")),""))</f>
        <v/>
      </c>
      <c r="CA23" s="34" t="str">
        <f ca="1">IF($A23="","",IF(IF(CA$2&lt;=$A$1,1,0),IF(CA$4="休","",IF(COUNTIF(DATA!CB:CB,$A:$A)=0,"×","√")),""))</f>
        <v/>
      </c>
      <c r="CB23" s="34" t="str">
        <f ca="1">IF($A23="","",IF(IF(CB$2&lt;=$A$1,1,0),IF(CB$4="休","",IF(COUNTIF(DATA!CC:CC,$A:$A)=0,"×","√")),""))</f>
        <v/>
      </c>
      <c r="CC23" s="34" t="str">
        <f ca="1">IF($A23="","",IF(IF(CC$2&lt;=$A$1,1,0),IF(CC$4="休","",IF(COUNTIF(DATA!CD:CD,$A:$A)=0,"×","√")),""))</f>
        <v/>
      </c>
      <c r="CD23" s="34" t="str">
        <f ca="1">IF($A23="","",IF(IF(CD$2&lt;=$A$1,1,0),IF(CD$4="休","",IF(COUNTIF(DATA!CE:CE,$A:$A)=0,"×","√")),""))</f>
        <v/>
      </c>
      <c r="CE23" s="34" t="str">
        <f ca="1">IF($A23="","",IF(IF(CE$2&lt;=$A$1,1,0),IF(CE$4="休","",IF(COUNTIF(DATA!CF:CF,$A:$A)=0,"×","√")),""))</f>
        <v/>
      </c>
      <c r="CF23" s="34" t="str">
        <f ca="1">IF($A23="","",IF(IF(CF$2&lt;=$A$1,1,0),IF(CF$4="休","",IF(COUNTIF(DATA!CG:CG,$A:$A)=0,"×","√")),""))</f>
        <v/>
      </c>
      <c r="CG23" s="34" t="str">
        <f ca="1">IF($A23="","",IF(IF(CG$2&lt;=$A$1,1,0),IF(CG$4="休","",IF(COUNTIF(DATA!CH:CH,$A:$A)=0,"×","√")),""))</f>
        <v/>
      </c>
      <c r="CH23" s="34" t="str">
        <f ca="1">IF($A23="","",IF(IF(CH$2&lt;=$A$1,1,0),IF(CH$4="休","",IF(COUNTIF(DATA!CI:CI,$A:$A)=0,"×","√")),""))</f>
        <v/>
      </c>
      <c r="CI23" s="34" t="str">
        <f ca="1">IF($A23="","",IF(IF(CI$2&lt;=$A$1,1,0),IF(CI$4="休","",IF(COUNTIF(DATA!CJ:CJ,$A:$A)=0,"×","√")),""))</f>
        <v/>
      </c>
      <c r="CJ23" s="34" t="str">
        <f ca="1">IF($A23="","",IF(IF(CJ$2&lt;=$A$1,1,0),IF(CJ$4="休","",IF(COUNTIF(DATA!CK:CK,$A:$A)=0,"×","√")),""))</f>
        <v/>
      </c>
      <c r="CK23" s="34" t="str">
        <f ca="1">IF($A23="","",IF(IF(CK$2&lt;=$A$1,1,0),IF(CK$4="休","",IF(COUNTIF(DATA!CL:CL,$A:$A)=0,"×","√")),""))</f>
        <v/>
      </c>
      <c r="CL23" s="34" t="str">
        <f ca="1">IF($A23="","",IF(IF(CL$2&lt;=$A$1,1,0),IF(CL$4="休","",IF(COUNTIF(DATA!CM:CM,$A:$A)=0,"×","√")),""))</f>
        <v/>
      </c>
      <c r="CM23" s="34" t="str">
        <f ca="1">IF($A23="","",IF(IF(CM$2&lt;=$A$1,1,0),IF(CM$4="休","",IF(COUNTIF(DATA!CN:CN,$A:$A)=0,"×","√")),""))</f>
        <v/>
      </c>
      <c r="CN23" s="34" t="str">
        <f ca="1">IF($A23="","",IF(IF(CN$2&lt;=$A$1,1,0),IF(CN$4="休","",IF(COUNTIF(DATA!CO:CO,$A:$A)=0,"×","√")),""))</f>
        <v/>
      </c>
      <c r="CO23" s="34" t="str">
        <f ca="1">IF($A23="","",IF(IF(CO$2&lt;=$A$1,1,0),IF(CO$4="休","",IF(COUNTIF(DATA!CP:CP,$A:$A)=0,"×","√")),""))</f>
        <v/>
      </c>
      <c r="CP23" s="34" t="str">
        <f ca="1">IF($A23="","",IF(IF(CP$2&lt;=$A$1,1,0),IF(CP$4="休","",IF(COUNTIF(DATA!CQ:CQ,$A:$A)=0,"×","√")),""))</f>
        <v/>
      </c>
      <c r="CQ23" s="34" t="str">
        <f ca="1">IF($A23="","",IF(IF(CQ$2&lt;=$A$1,1,0),IF(CQ$4="休","",IF(COUNTIF(DATA!CR:CR,$A:$A)=0,"×","√")),""))</f>
        <v/>
      </c>
      <c r="CR23" s="34" t="str">
        <f ca="1">IF($A23="","",IF(IF(CR$2&lt;=$A$1,1,0),IF(CR$4="休","",IF(COUNTIF(DATA!CS:CS,$A:$A)=0,"×","√")),""))</f>
        <v/>
      </c>
    </row>
    <row r="24" s="28" customFormat="1" ht="18.75" spans="1:96">
      <c r="A24" s="34" t="str">
        <f>DATA!$A23&amp;""</f>
        <v>毛永恒</v>
      </c>
      <c r="B24" s="34" t="str">
        <f ca="1">IF($A24="","",IF(IF(B$2&lt;=$A$1,1,0),IF(B$4="休","",IF(COUNTIF(DATA!C:C,$A:$A)=0,"×","√")),""))</f>
        <v>√</v>
      </c>
      <c r="C24" s="34" t="str">
        <f ca="1">IF($A24="","",IF(IF(C$2&lt;=$A$1,1,0),IF(C$4="休","",IF(COUNTIF(DATA!D:D,$A:$A)=0,"×","√")),""))</f>
        <v>√</v>
      </c>
      <c r="D24" s="34" t="str">
        <f ca="1">IF($A24="","",IF(IF(D$2&lt;=$A$1,1,0),IF(D$4="休","",IF(COUNTIF(DATA!E:E,$A:$A)=0,"×","√")),""))</f>
        <v>√</v>
      </c>
      <c r="E24" s="34" t="str">
        <f ca="1">IF($A24="","",IF(IF(E$2&lt;=$A$1,1,0),IF(E$4="休","",IF(COUNTIF(DATA!F:F,$A:$A)=0,"×","√")),""))</f>
        <v>√</v>
      </c>
      <c r="F24" s="34" t="str">
        <f ca="1">IF($A24="","",IF(IF(F$2&lt;=$A$1,1,0),IF(F$4="休","",IF(COUNTIF(DATA!G:G,$A:$A)=0,"×","√")),""))</f>
        <v>√</v>
      </c>
      <c r="G24" s="34" t="str">
        <f ca="1">IF($A24="","",IF(IF(G$2&lt;=$A$1,1,0),IF(G$4="休","",IF(COUNTIF(DATA!H:H,$A:$A)=0,"×","√")),""))</f>
        <v>√</v>
      </c>
      <c r="H24" s="34" t="str">
        <f ca="1">IF($A24="","",IF(IF(H$2&lt;=$A$1,1,0),IF(H$4="休","",IF(COUNTIF(DATA!I:I,$A:$A)=0,"×","√")),""))</f>
        <v>√</v>
      </c>
      <c r="I24" s="34" t="str">
        <f ca="1">IF($A24="","",IF(IF(I$2&lt;=$A$1,1,0),IF(I$4="休","",IF(COUNTIF(DATA!J:J,$A:$A)=0,"×","√")),""))</f>
        <v>√</v>
      </c>
      <c r="J24" s="34" t="str">
        <f ca="1">IF($A24="","",IF(IF(J$2&lt;=$A$1,1,0),IF(J$4="休","",IF(COUNTIF(DATA!K:K,$A:$A)=0,"×","√")),""))</f>
        <v>√</v>
      </c>
      <c r="K24" s="34" t="str">
        <f ca="1">IF($A24="","",IF(IF(K$2&lt;=$A$1,1,0),IF(K$4="休","",IF(COUNTIF(DATA!L:L,$A:$A)=0,"×","√")),""))</f>
        <v>√</v>
      </c>
      <c r="L24" s="34" t="str">
        <f ca="1">IF($A24="","",IF(IF(L$2&lt;=$A$1,1,0),IF(L$4="休","",IF(COUNTIF(DATA!M:M,$A:$A)=0,"×","√")),""))</f>
        <v>√</v>
      </c>
      <c r="M24" s="34" t="str">
        <f ca="1">IF($A24="","",IF(IF(M$2&lt;=$A$1,1,0),IF(M$4="休","",IF(COUNTIF(DATA!N:N,$A:$A)=0,"×","√")),""))</f>
        <v>√</v>
      </c>
      <c r="N24" s="34" t="str">
        <f ca="1">IF($A24="","",IF(IF(N$2&lt;=$A$1,1,0),IF(N$4="休","",IF(COUNTIF(DATA!O:O,$A:$A)=0,"×","√")),""))</f>
        <v>√</v>
      </c>
      <c r="O24" s="34" t="str">
        <f ca="1">IF($A24="","",IF(IF(O$2&lt;=$A$1,1,0),IF(O$4="休","",IF(COUNTIF(DATA!P:P,$A:$A)=0,"×","√")),""))</f>
        <v>×</v>
      </c>
      <c r="P24" s="34" t="str">
        <f ca="1">IF($A24="","",IF(IF(P$2&lt;=$A$1,1,0),IF(P$4="休","",IF(COUNTIF(DATA!Q:Q,$A:$A)=0,"×","√")),""))</f>
        <v/>
      </c>
      <c r="Q24" s="34" t="str">
        <f ca="1">IF($A24="","",IF(IF(Q$2&lt;=$A$1,1,0),IF(Q$4="休","",IF(COUNTIF(DATA!R:R,$A:$A)=0,"×","√")),""))</f>
        <v/>
      </c>
      <c r="R24" s="34" t="str">
        <f ca="1">IF($A24="","",IF(IF(R$2&lt;=$A$1,1,0),IF(R$4="休","",IF(COUNTIF(DATA!S:S,$A:$A)=0,"×","√")),""))</f>
        <v/>
      </c>
      <c r="S24" s="34" t="str">
        <f ca="1">IF($A24="","",IF(IF(S$2&lt;=$A$1,1,0),IF(S$4="休","",IF(COUNTIF(DATA!T:T,$A:$A)=0,"×","√")),""))</f>
        <v/>
      </c>
      <c r="T24" s="34" t="str">
        <f ca="1">IF($A24="","",IF(IF(T$2&lt;=$A$1,1,0),IF(T$4="休","",IF(COUNTIF(DATA!U:U,$A:$A)=0,"×","√")),""))</f>
        <v/>
      </c>
      <c r="U24" s="34" t="str">
        <f ca="1">IF($A24="","",IF(IF(U$2&lt;=$A$1,1,0),IF(U$4="休","",IF(COUNTIF(DATA!V:V,$A:$A)=0,"×","√")),""))</f>
        <v/>
      </c>
      <c r="V24" s="34" t="str">
        <f ca="1">IF($A24="","",IF(IF(V$2&lt;=$A$1,1,0),IF(V$4="休","",IF(COUNTIF(DATA!W:W,$A:$A)=0,"×","√")),""))</f>
        <v/>
      </c>
      <c r="W24" s="34" t="str">
        <f ca="1">IF($A24="","",IF(IF(W$2&lt;=$A$1,1,0),IF(W$4="休","",IF(COUNTIF(DATA!X:X,$A:$A)=0,"×","√")),""))</f>
        <v/>
      </c>
      <c r="X24" s="34" t="str">
        <f ca="1">IF($A24="","",IF(IF(X$2&lt;=$A$1,1,0),IF(X$4="休","",IF(COUNTIF(DATA!Y:Y,$A:$A)=0,"×","√")),""))</f>
        <v/>
      </c>
      <c r="Y24" s="34" t="str">
        <f ca="1">IF($A24="","",IF(IF(Y$2&lt;=$A$1,1,0),IF(Y$4="休","",IF(COUNTIF(DATA!Z:Z,$A:$A)=0,"×","√")),""))</f>
        <v/>
      </c>
      <c r="Z24" s="34" t="str">
        <f ca="1">IF($A24="","",IF(IF(Z$2&lt;=$A$1,1,0),IF(Z$4="休","",IF(COUNTIF(DATA!AA:AA,$A:$A)=0,"×","√")),""))</f>
        <v/>
      </c>
      <c r="AA24" s="34" t="str">
        <f ca="1">IF($A24="","",IF(IF(AA$2&lt;=$A$1,1,0),IF(AA$4="休","",IF(COUNTIF(DATA!AB:AB,$A:$A)=0,"×","√")),""))</f>
        <v/>
      </c>
      <c r="AB24" s="34" t="str">
        <f ca="1">IF($A24="","",IF(IF(AB$2&lt;=$A$1,1,0),IF(AB$4="休","",IF(COUNTIF(DATA!AC:AC,$A:$A)=0,"×","√")),""))</f>
        <v/>
      </c>
      <c r="AC24" s="34" t="str">
        <f ca="1">IF($A24="","",IF(IF(AC$2&lt;=$A$1,1,0),IF(AC$4="休","",IF(COUNTIF(DATA!AD:AD,$A:$A)=0,"×","√")),""))</f>
        <v/>
      </c>
      <c r="AD24" s="34" t="str">
        <f ca="1">IF($A24="","",IF(IF(AD$2&lt;=$A$1,1,0),IF(AD$4="休","",IF(COUNTIF(DATA!AE:AE,$A:$A)=0,"×","√")),""))</f>
        <v/>
      </c>
      <c r="AE24" s="34" t="str">
        <f ca="1">IF($A24="","",IF(IF(AE$2&lt;=$A$1,1,0),IF(AE$4="休","",IF(COUNTIF(DATA!AF:AF,$A:$A)=0,"×","√")),""))</f>
        <v/>
      </c>
      <c r="AF24" s="34" t="str">
        <f ca="1">IF($A24="","",IF(IF(AF$2&lt;=$A$1,1,0),IF(AF$4="休","",IF(COUNTIF(DATA!AG:AG,$A:$A)=0,"×","√")),""))</f>
        <v/>
      </c>
      <c r="AG24" s="34" t="str">
        <f ca="1">IF($A24="","",IF(IF(AG$2&lt;=$A$1,1,0),IF(AG$4="休","",IF(COUNTIF(DATA!AH:AH,$A:$A)=0,"×","√")),""))</f>
        <v/>
      </c>
      <c r="AH24" s="34" t="str">
        <f ca="1">IF($A24="","",IF(IF(AH$2&lt;=$A$1,1,0),IF(AH$4="休","",IF(COUNTIF(DATA!AI:AI,$A:$A)=0,"×","√")),""))</f>
        <v/>
      </c>
      <c r="AI24" s="34" t="str">
        <f ca="1">IF($A24="","",IF(IF(AI$2&lt;=$A$1,1,0),IF(AI$4="休","",IF(COUNTIF(DATA!AJ:AJ,$A:$A)=0,"×","√")),""))</f>
        <v/>
      </c>
      <c r="AJ24" s="34" t="str">
        <f ca="1">IF($A24="","",IF(IF(AJ$2&lt;=$A$1,1,0),IF(AJ$4="休","",IF(COUNTIF(DATA!AK:AK,$A:$A)=0,"×","√")),""))</f>
        <v/>
      </c>
      <c r="AK24" s="34" t="str">
        <f ca="1">IF($A24="","",IF(IF(AK$2&lt;=$A$1,1,0),IF(AK$4="休","",IF(COUNTIF(DATA!AL:AL,$A:$A)=0,"×","√")),""))</f>
        <v/>
      </c>
      <c r="AL24" s="34" t="str">
        <f ca="1">IF($A24="","",IF(IF(AL$2&lt;=$A$1,1,0),IF(AL$4="休","",IF(COUNTIF(DATA!AM:AM,$A:$A)=0,"×","√")),""))</f>
        <v/>
      </c>
      <c r="AM24" s="34" t="str">
        <f ca="1">IF($A24="","",IF(IF(AM$2&lt;=$A$1,1,0),IF(AM$4="休","",IF(COUNTIF(DATA!AN:AN,$A:$A)=0,"×","√")),""))</f>
        <v/>
      </c>
      <c r="AN24" s="34" t="str">
        <f ca="1">IF($A24="","",IF(IF(AN$2&lt;=$A$1,1,0),IF(AN$4="休","",IF(COUNTIF(DATA!AO:AO,$A:$A)=0,"×","√")),""))</f>
        <v/>
      </c>
      <c r="AO24" s="34" t="str">
        <f ca="1">IF($A24="","",IF(IF(AO$2&lt;=$A$1,1,0),IF(AO$4="休","",IF(COUNTIF(DATA!AP:AP,$A:$A)=0,"×","√")),""))</f>
        <v/>
      </c>
      <c r="AP24" s="34" t="str">
        <f ca="1">IF($A24="","",IF(IF(AP$2&lt;=$A$1,1,0),IF(AP$4="休","",IF(COUNTIF(DATA!AQ:AQ,$A:$A)=0,"×","√")),""))</f>
        <v/>
      </c>
      <c r="AQ24" s="34" t="str">
        <f ca="1">IF($A24="","",IF(IF(AQ$2&lt;=$A$1,1,0),IF(AQ$4="休","",IF(COUNTIF(DATA!AR:AR,$A:$A)=0,"×","√")),""))</f>
        <v/>
      </c>
      <c r="AR24" s="34" t="str">
        <f ca="1">IF($A24="","",IF(IF(AR$2&lt;=$A$1,1,0),IF(AR$4="休","",IF(COUNTIF(DATA!AS:AS,$A:$A)=0,"×","√")),""))</f>
        <v/>
      </c>
      <c r="AS24" s="34" t="str">
        <f ca="1">IF($A24="","",IF(IF(AS$2&lt;=$A$1,1,0),IF(AS$4="休","",IF(COUNTIF(DATA!AT:AT,$A:$A)=0,"×","√")),""))</f>
        <v/>
      </c>
      <c r="AT24" s="34" t="str">
        <f ca="1">IF($A24="","",IF(IF(AT$2&lt;=$A$1,1,0),IF(AT$4="休","",IF(COUNTIF(DATA!AU:AU,$A:$A)=0,"×","√")),""))</f>
        <v/>
      </c>
      <c r="AU24" s="34" t="str">
        <f ca="1">IF($A24="","",IF(IF(AU$2&lt;=$A$1,1,0),IF(AU$4="休","",IF(COUNTIF(DATA!AV:AV,$A:$A)=0,"×","√")),""))</f>
        <v/>
      </c>
      <c r="AV24" s="34" t="str">
        <f ca="1">IF($A24="","",IF(IF(AV$2&lt;=$A$1,1,0),IF(AV$4="休","",IF(COUNTIF(DATA!AW:AW,$A:$A)=0,"×","√")),""))</f>
        <v/>
      </c>
      <c r="AW24" s="34" t="str">
        <f ca="1">IF($A24="","",IF(IF(AW$2&lt;=$A$1,1,0),IF(AW$4="休","",IF(COUNTIF(DATA!AX:AX,$A:$A)=0,"×","√")),""))</f>
        <v/>
      </c>
      <c r="AX24" s="34" t="str">
        <f ca="1">IF($A24="","",IF(IF(AX$2&lt;=$A$1,1,0),IF(AX$4="休","",IF(COUNTIF(DATA!AY:AY,$A:$A)=0,"×","√")),""))</f>
        <v/>
      </c>
      <c r="AY24" s="34" t="str">
        <f ca="1">IF($A24="","",IF(IF(AY$2&lt;=$A$1,1,0),IF(AY$4="休","",IF(COUNTIF(DATA!AZ:AZ,$A:$A)=0,"×","√")),""))</f>
        <v/>
      </c>
      <c r="AZ24" s="34" t="str">
        <f ca="1">IF($A24="","",IF(IF(AZ$2&lt;=$A$1,1,0),IF(AZ$4="休","",IF(COUNTIF(DATA!BA:BA,$A:$A)=0,"×","√")),""))</f>
        <v/>
      </c>
      <c r="BA24" s="34" t="str">
        <f ca="1">IF($A24="","",IF(IF(BA$2&lt;=$A$1,1,0),IF(BA$4="休","",IF(COUNTIF(DATA!BB:BB,$A:$A)=0,"×","√")),""))</f>
        <v/>
      </c>
      <c r="BB24" s="34" t="str">
        <f ca="1">IF($A24="","",IF(IF(BB$2&lt;=$A$1,1,0),IF(BB$4="休","",IF(COUNTIF(DATA!BC:BC,$A:$A)=0,"×","√")),""))</f>
        <v/>
      </c>
      <c r="BC24" s="34" t="str">
        <f ca="1">IF($A24="","",IF(IF(BC$2&lt;=$A$1,1,0),IF(BC$4="休","",IF(COUNTIF(DATA!BD:BD,$A:$A)=0,"×","√")),""))</f>
        <v/>
      </c>
      <c r="BD24" s="34" t="str">
        <f ca="1">IF($A24="","",IF(IF(BD$2&lt;=$A$1,1,0),IF(BD$4="休","",IF(COUNTIF(DATA!BE:BE,$A:$A)=0,"×","√")),""))</f>
        <v/>
      </c>
      <c r="BE24" s="34" t="str">
        <f ca="1">IF($A24="","",IF(IF(BE$2&lt;=$A$1,1,0),IF(BE$4="休","",IF(COUNTIF(DATA!BF:BF,$A:$A)=0,"×","√")),""))</f>
        <v/>
      </c>
      <c r="BF24" s="34" t="str">
        <f ca="1">IF($A24="","",IF(IF(BF$2&lt;=$A$1,1,0),IF(BF$4="休","",IF(COUNTIF(DATA!BG:BG,$A:$A)=0,"×","√")),""))</f>
        <v/>
      </c>
      <c r="BG24" s="34" t="str">
        <f ca="1">IF($A24="","",IF(IF(BG$2&lt;=$A$1,1,0),IF(BG$4="休","",IF(COUNTIF(DATA!BH:BH,$A:$A)=0,"×","√")),""))</f>
        <v/>
      </c>
      <c r="BH24" s="34" t="str">
        <f ca="1">IF($A24="","",IF(IF(BH$2&lt;=$A$1,1,0),IF(BH$4="休","",IF(COUNTIF(DATA!BI:BI,$A:$A)=0,"×","√")),""))</f>
        <v/>
      </c>
      <c r="BI24" s="34" t="str">
        <f ca="1">IF($A24="","",IF(IF(BI$2&lt;=$A$1,1,0),IF(BI$4="休","",IF(COUNTIF(DATA!BJ:BJ,$A:$A)=0,"×","√")),""))</f>
        <v/>
      </c>
      <c r="BJ24" s="34" t="str">
        <f ca="1">IF($A24="","",IF(IF(BJ$2&lt;=$A$1,1,0),IF(BJ$4="休","",IF(COUNTIF(DATA!BK:BK,$A:$A)=0,"×","√")),""))</f>
        <v/>
      </c>
      <c r="BK24" s="34" t="str">
        <f ca="1">IF($A24="","",IF(IF(BK$2&lt;=$A$1,1,0),IF(BK$4="休","",IF(COUNTIF(DATA!BL:BL,$A:$A)=0,"×","√")),""))</f>
        <v/>
      </c>
      <c r="BL24" s="34" t="str">
        <f ca="1">IF($A24="","",IF(IF(BL$2&lt;=$A$1,1,0),IF(BL$4="休","",IF(COUNTIF(DATA!BM:BM,$A:$A)=0,"×","√")),""))</f>
        <v/>
      </c>
      <c r="BM24" s="34" t="str">
        <f ca="1">IF($A24="","",IF(IF(BM$2&lt;=$A$1,1,0),IF(BM$4="休","",IF(COUNTIF(DATA!BN:BN,$A:$A)=0,"×","√")),""))</f>
        <v/>
      </c>
      <c r="BN24" s="34" t="str">
        <f ca="1">IF($A24="","",IF(IF(BN$2&lt;=$A$1,1,0),IF(BN$4="休","",IF(COUNTIF(DATA!BO:BO,$A:$A)=0,"×","√")),""))</f>
        <v/>
      </c>
      <c r="BO24" s="34" t="str">
        <f ca="1">IF($A24="","",IF(IF(BO$2&lt;=$A$1,1,0),IF(BO$4="休","",IF(COUNTIF(DATA!BP:BP,$A:$A)=0,"×","√")),""))</f>
        <v/>
      </c>
      <c r="BP24" s="34" t="str">
        <f ca="1">IF($A24="","",IF(IF(BP$2&lt;=$A$1,1,0),IF(BP$4="休","",IF(COUNTIF(DATA!BQ:BQ,$A:$A)=0,"×","√")),""))</f>
        <v/>
      </c>
      <c r="BQ24" s="34" t="str">
        <f ca="1">IF($A24="","",IF(IF(BQ$2&lt;=$A$1,1,0),IF(BQ$4="休","",IF(COUNTIF(DATA!BR:BR,$A:$A)=0,"×","√")),""))</f>
        <v/>
      </c>
      <c r="BR24" s="34" t="str">
        <f ca="1">IF($A24="","",IF(IF(BR$2&lt;=$A$1,1,0),IF(BR$4="休","",IF(COUNTIF(DATA!BS:BS,$A:$A)=0,"×","√")),""))</f>
        <v/>
      </c>
      <c r="BS24" s="34" t="str">
        <f ca="1">IF($A24="","",IF(IF(BS$2&lt;=$A$1,1,0),IF(BS$4="休","",IF(COUNTIF(DATA!BT:BT,$A:$A)=0,"×","√")),""))</f>
        <v/>
      </c>
      <c r="BT24" s="34" t="str">
        <f ca="1">IF($A24="","",IF(IF(BT$2&lt;=$A$1,1,0),IF(BT$4="休","",IF(COUNTIF(DATA!BU:BU,$A:$A)=0,"×","√")),""))</f>
        <v/>
      </c>
      <c r="BU24" s="34" t="str">
        <f ca="1">IF($A24="","",IF(IF(BU$2&lt;=$A$1,1,0),IF(BU$4="休","",IF(COUNTIF(DATA!BV:BV,$A:$A)=0,"×","√")),""))</f>
        <v/>
      </c>
      <c r="BV24" s="34" t="str">
        <f ca="1">IF($A24="","",IF(IF(BV$2&lt;=$A$1,1,0),IF(BV$4="休","",IF(COUNTIF(DATA!BW:BW,$A:$A)=0,"×","√")),""))</f>
        <v/>
      </c>
      <c r="BW24" s="34" t="str">
        <f ca="1">IF($A24="","",IF(IF(BW$2&lt;=$A$1,1,0),IF(BW$4="休","",IF(COUNTIF(DATA!BX:BX,$A:$A)=0,"×","√")),""))</f>
        <v/>
      </c>
      <c r="BX24" s="34" t="str">
        <f ca="1">IF($A24="","",IF(IF(BX$2&lt;=$A$1,1,0),IF(BX$4="休","",IF(COUNTIF(DATA!BY:BY,$A:$A)=0,"×","√")),""))</f>
        <v/>
      </c>
      <c r="BY24" s="34" t="str">
        <f ca="1">IF($A24="","",IF(IF(BY$2&lt;=$A$1,1,0),IF(BY$4="休","",IF(COUNTIF(DATA!BZ:BZ,$A:$A)=0,"×","√")),""))</f>
        <v/>
      </c>
      <c r="BZ24" s="34" t="str">
        <f ca="1">IF($A24="","",IF(IF(BZ$2&lt;=$A$1,1,0),IF(BZ$4="休","",IF(COUNTIF(DATA!CA:CA,$A:$A)=0,"×","√")),""))</f>
        <v/>
      </c>
      <c r="CA24" s="34" t="str">
        <f ca="1">IF($A24="","",IF(IF(CA$2&lt;=$A$1,1,0),IF(CA$4="休","",IF(COUNTIF(DATA!CB:CB,$A:$A)=0,"×","√")),""))</f>
        <v/>
      </c>
      <c r="CB24" s="34" t="str">
        <f ca="1">IF($A24="","",IF(IF(CB$2&lt;=$A$1,1,0),IF(CB$4="休","",IF(COUNTIF(DATA!CC:CC,$A:$A)=0,"×","√")),""))</f>
        <v/>
      </c>
      <c r="CC24" s="34" t="str">
        <f ca="1">IF($A24="","",IF(IF(CC$2&lt;=$A$1,1,0),IF(CC$4="休","",IF(COUNTIF(DATA!CD:CD,$A:$A)=0,"×","√")),""))</f>
        <v/>
      </c>
      <c r="CD24" s="34" t="str">
        <f ca="1">IF($A24="","",IF(IF(CD$2&lt;=$A$1,1,0),IF(CD$4="休","",IF(COUNTIF(DATA!CE:CE,$A:$A)=0,"×","√")),""))</f>
        <v/>
      </c>
      <c r="CE24" s="34" t="str">
        <f ca="1">IF($A24="","",IF(IF(CE$2&lt;=$A$1,1,0),IF(CE$4="休","",IF(COUNTIF(DATA!CF:CF,$A:$A)=0,"×","√")),""))</f>
        <v/>
      </c>
      <c r="CF24" s="34" t="str">
        <f ca="1">IF($A24="","",IF(IF(CF$2&lt;=$A$1,1,0),IF(CF$4="休","",IF(COUNTIF(DATA!CG:CG,$A:$A)=0,"×","√")),""))</f>
        <v/>
      </c>
      <c r="CG24" s="34" t="str">
        <f ca="1">IF($A24="","",IF(IF(CG$2&lt;=$A$1,1,0),IF(CG$4="休","",IF(COUNTIF(DATA!CH:CH,$A:$A)=0,"×","√")),""))</f>
        <v/>
      </c>
      <c r="CH24" s="34" t="str">
        <f ca="1">IF($A24="","",IF(IF(CH$2&lt;=$A$1,1,0),IF(CH$4="休","",IF(COUNTIF(DATA!CI:CI,$A:$A)=0,"×","√")),""))</f>
        <v/>
      </c>
      <c r="CI24" s="34" t="str">
        <f ca="1">IF($A24="","",IF(IF(CI$2&lt;=$A$1,1,0),IF(CI$4="休","",IF(COUNTIF(DATA!CJ:CJ,$A:$A)=0,"×","√")),""))</f>
        <v/>
      </c>
      <c r="CJ24" s="34" t="str">
        <f ca="1">IF($A24="","",IF(IF(CJ$2&lt;=$A$1,1,0),IF(CJ$4="休","",IF(COUNTIF(DATA!CK:CK,$A:$A)=0,"×","√")),""))</f>
        <v/>
      </c>
      <c r="CK24" s="34" t="str">
        <f ca="1">IF($A24="","",IF(IF(CK$2&lt;=$A$1,1,0),IF(CK$4="休","",IF(COUNTIF(DATA!CL:CL,$A:$A)=0,"×","√")),""))</f>
        <v/>
      </c>
      <c r="CL24" s="34" t="str">
        <f ca="1">IF($A24="","",IF(IF(CL$2&lt;=$A$1,1,0),IF(CL$4="休","",IF(COUNTIF(DATA!CM:CM,$A:$A)=0,"×","√")),""))</f>
        <v/>
      </c>
      <c r="CM24" s="34" t="str">
        <f ca="1">IF($A24="","",IF(IF(CM$2&lt;=$A$1,1,0),IF(CM$4="休","",IF(COUNTIF(DATA!CN:CN,$A:$A)=0,"×","√")),""))</f>
        <v/>
      </c>
      <c r="CN24" s="34" t="str">
        <f ca="1">IF($A24="","",IF(IF(CN$2&lt;=$A$1,1,0),IF(CN$4="休","",IF(COUNTIF(DATA!CO:CO,$A:$A)=0,"×","√")),""))</f>
        <v/>
      </c>
      <c r="CO24" s="34" t="str">
        <f ca="1">IF($A24="","",IF(IF(CO$2&lt;=$A$1,1,0),IF(CO$4="休","",IF(COUNTIF(DATA!CP:CP,$A:$A)=0,"×","√")),""))</f>
        <v/>
      </c>
      <c r="CP24" s="34" t="str">
        <f ca="1">IF($A24="","",IF(IF(CP$2&lt;=$A$1,1,0),IF(CP$4="休","",IF(COUNTIF(DATA!CQ:CQ,$A:$A)=0,"×","√")),""))</f>
        <v/>
      </c>
      <c r="CQ24" s="34" t="str">
        <f ca="1">IF($A24="","",IF(IF(CQ$2&lt;=$A$1,1,0),IF(CQ$4="休","",IF(COUNTIF(DATA!CR:CR,$A:$A)=0,"×","√")),""))</f>
        <v/>
      </c>
      <c r="CR24" s="34" t="str">
        <f ca="1">IF($A24="","",IF(IF(CR$2&lt;=$A$1,1,0),IF(CR$4="休","",IF(COUNTIF(DATA!CS:CS,$A:$A)=0,"×","√")),""))</f>
        <v/>
      </c>
    </row>
    <row r="25" s="28" customFormat="1" ht="18.75" spans="1:96">
      <c r="A25" s="34" t="str">
        <f>DATA!$A24&amp;""</f>
        <v>郭衍钢</v>
      </c>
      <c r="B25" s="34" t="str">
        <f ca="1">IF($A25="","",IF(IF(B$2&lt;=$A$1,1,0),IF(B$4="休","",IF(COUNTIF(DATA!C:C,$A:$A)=0,"×","√")),""))</f>
        <v>√</v>
      </c>
      <c r="C25" s="34" t="str">
        <f ca="1">IF($A25="","",IF(IF(C$2&lt;=$A$1,1,0),IF(C$4="休","",IF(COUNTIF(DATA!D:D,$A:$A)=0,"×","√")),""))</f>
        <v>√</v>
      </c>
      <c r="D25" s="34" t="str">
        <f ca="1">IF($A25="","",IF(IF(D$2&lt;=$A$1,1,0),IF(D$4="休","",IF(COUNTIF(DATA!E:E,$A:$A)=0,"×","√")),""))</f>
        <v>√</v>
      </c>
      <c r="E25" s="34" t="str">
        <f ca="1">IF($A25="","",IF(IF(E$2&lt;=$A$1,1,0),IF(E$4="休","",IF(COUNTIF(DATA!F:F,$A:$A)=0,"×","√")),""))</f>
        <v>√</v>
      </c>
      <c r="F25" s="34" t="str">
        <f ca="1">IF($A25="","",IF(IF(F$2&lt;=$A$1,1,0),IF(F$4="休","",IF(COUNTIF(DATA!G:G,$A:$A)=0,"×","√")),""))</f>
        <v>√</v>
      </c>
      <c r="G25" s="34" t="str">
        <f ca="1">IF($A25="","",IF(IF(G$2&lt;=$A$1,1,0),IF(G$4="休","",IF(COUNTIF(DATA!H:H,$A:$A)=0,"×","√")),""))</f>
        <v>√</v>
      </c>
      <c r="H25" s="34" t="str">
        <f ca="1">IF($A25="","",IF(IF(H$2&lt;=$A$1,1,0),IF(H$4="休","",IF(COUNTIF(DATA!I:I,$A:$A)=0,"×","√")),""))</f>
        <v>√</v>
      </c>
      <c r="I25" s="34" t="str">
        <f ca="1">IF($A25="","",IF(IF(I$2&lt;=$A$1,1,0),IF(I$4="休","",IF(COUNTIF(DATA!J:J,$A:$A)=0,"×","√")),""))</f>
        <v>√</v>
      </c>
      <c r="J25" s="34" t="str">
        <f ca="1">IF($A25="","",IF(IF(J$2&lt;=$A$1,1,0),IF(J$4="休","",IF(COUNTIF(DATA!K:K,$A:$A)=0,"×","√")),""))</f>
        <v>√</v>
      </c>
      <c r="K25" s="34" t="str">
        <f ca="1">IF($A25="","",IF(IF(K$2&lt;=$A$1,1,0),IF(K$4="休","",IF(COUNTIF(DATA!L:L,$A:$A)=0,"×","√")),""))</f>
        <v>√</v>
      </c>
      <c r="L25" s="34" t="str">
        <f ca="1">IF($A25="","",IF(IF(L$2&lt;=$A$1,1,0),IF(L$4="休","",IF(COUNTIF(DATA!M:M,$A:$A)=0,"×","√")),""))</f>
        <v>√</v>
      </c>
      <c r="M25" s="34" t="str">
        <f ca="1">IF($A25="","",IF(IF(M$2&lt;=$A$1,1,0),IF(M$4="休","",IF(COUNTIF(DATA!N:N,$A:$A)=0,"×","√")),""))</f>
        <v>√</v>
      </c>
      <c r="N25" s="34" t="str">
        <f ca="1">IF($A25="","",IF(IF(N$2&lt;=$A$1,1,0),IF(N$4="休","",IF(COUNTIF(DATA!O:O,$A:$A)=0,"×","√")),""))</f>
        <v>√</v>
      </c>
      <c r="O25" s="34" t="str">
        <f ca="1">IF($A25="","",IF(IF(O$2&lt;=$A$1,1,0),IF(O$4="休","",IF(COUNTIF(DATA!P:P,$A:$A)=0,"×","√")),""))</f>
        <v>×</v>
      </c>
      <c r="P25" s="34" t="str">
        <f ca="1">IF($A25="","",IF(IF(P$2&lt;=$A$1,1,0),IF(P$4="休","",IF(COUNTIF(DATA!Q:Q,$A:$A)=0,"×","√")),""))</f>
        <v/>
      </c>
      <c r="Q25" s="34" t="str">
        <f ca="1">IF($A25="","",IF(IF(Q$2&lt;=$A$1,1,0),IF(Q$4="休","",IF(COUNTIF(DATA!R:R,$A:$A)=0,"×","√")),""))</f>
        <v/>
      </c>
      <c r="R25" s="34" t="str">
        <f ca="1">IF($A25="","",IF(IF(R$2&lt;=$A$1,1,0),IF(R$4="休","",IF(COUNTIF(DATA!S:S,$A:$A)=0,"×","√")),""))</f>
        <v/>
      </c>
      <c r="S25" s="34" t="str">
        <f ca="1">IF($A25="","",IF(IF(S$2&lt;=$A$1,1,0),IF(S$4="休","",IF(COUNTIF(DATA!T:T,$A:$A)=0,"×","√")),""))</f>
        <v/>
      </c>
      <c r="T25" s="34" t="str">
        <f ca="1">IF($A25="","",IF(IF(T$2&lt;=$A$1,1,0),IF(T$4="休","",IF(COUNTIF(DATA!U:U,$A:$A)=0,"×","√")),""))</f>
        <v/>
      </c>
      <c r="U25" s="34" t="str">
        <f ca="1">IF($A25="","",IF(IF(U$2&lt;=$A$1,1,0),IF(U$4="休","",IF(COUNTIF(DATA!V:V,$A:$A)=0,"×","√")),""))</f>
        <v/>
      </c>
      <c r="V25" s="34" t="str">
        <f ca="1">IF($A25="","",IF(IF(V$2&lt;=$A$1,1,0),IF(V$4="休","",IF(COUNTIF(DATA!W:W,$A:$A)=0,"×","√")),""))</f>
        <v/>
      </c>
      <c r="W25" s="34" t="str">
        <f ca="1">IF($A25="","",IF(IF(W$2&lt;=$A$1,1,0),IF(W$4="休","",IF(COUNTIF(DATA!X:X,$A:$A)=0,"×","√")),""))</f>
        <v/>
      </c>
      <c r="X25" s="34" t="str">
        <f ca="1">IF($A25="","",IF(IF(X$2&lt;=$A$1,1,0),IF(X$4="休","",IF(COUNTIF(DATA!Y:Y,$A:$A)=0,"×","√")),""))</f>
        <v/>
      </c>
      <c r="Y25" s="34" t="str">
        <f ca="1">IF($A25="","",IF(IF(Y$2&lt;=$A$1,1,0),IF(Y$4="休","",IF(COUNTIF(DATA!Z:Z,$A:$A)=0,"×","√")),""))</f>
        <v/>
      </c>
      <c r="Z25" s="34" t="str">
        <f ca="1">IF($A25="","",IF(IF(Z$2&lt;=$A$1,1,0),IF(Z$4="休","",IF(COUNTIF(DATA!AA:AA,$A:$A)=0,"×","√")),""))</f>
        <v/>
      </c>
      <c r="AA25" s="34" t="str">
        <f ca="1">IF($A25="","",IF(IF(AA$2&lt;=$A$1,1,0),IF(AA$4="休","",IF(COUNTIF(DATA!AB:AB,$A:$A)=0,"×","√")),""))</f>
        <v/>
      </c>
      <c r="AB25" s="34" t="str">
        <f ca="1">IF($A25="","",IF(IF(AB$2&lt;=$A$1,1,0),IF(AB$4="休","",IF(COUNTIF(DATA!AC:AC,$A:$A)=0,"×","√")),""))</f>
        <v/>
      </c>
      <c r="AC25" s="34" t="str">
        <f ca="1">IF($A25="","",IF(IF(AC$2&lt;=$A$1,1,0),IF(AC$4="休","",IF(COUNTIF(DATA!AD:AD,$A:$A)=0,"×","√")),""))</f>
        <v/>
      </c>
      <c r="AD25" s="34" t="str">
        <f ca="1">IF($A25="","",IF(IF(AD$2&lt;=$A$1,1,0),IF(AD$4="休","",IF(COUNTIF(DATA!AE:AE,$A:$A)=0,"×","√")),""))</f>
        <v/>
      </c>
      <c r="AE25" s="34" t="str">
        <f ca="1">IF($A25="","",IF(IF(AE$2&lt;=$A$1,1,0),IF(AE$4="休","",IF(COUNTIF(DATA!AF:AF,$A:$A)=0,"×","√")),""))</f>
        <v/>
      </c>
      <c r="AF25" s="34" t="str">
        <f ca="1">IF($A25="","",IF(IF(AF$2&lt;=$A$1,1,0),IF(AF$4="休","",IF(COUNTIF(DATA!AG:AG,$A:$A)=0,"×","√")),""))</f>
        <v/>
      </c>
      <c r="AG25" s="34" t="str">
        <f ca="1">IF($A25="","",IF(IF(AG$2&lt;=$A$1,1,0),IF(AG$4="休","",IF(COUNTIF(DATA!AH:AH,$A:$A)=0,"×","√")),""))</f>
        <v/>
      </c>
      <c r="AH25" s="34" t="str">
        <f ca="1">IF($A25="","",IF(IF(AH$2&lt;=$A$1,1,0),IF(AH$4="休","",IF(COUNTIF(DATA!AI:AI,$A:$A)=0,"×","√")),""))</f>
        <v/>
      </c>
      <c r="AI25" s="34" t="str">
        <f ca="1">IF($A25="","",IF(IF(AI$2&lt;=$A$1,1,0),IF(AI$4="休","",IF(COUNTIF(DATA!AJ:AJ,$A:$A)=0,"×","√")),""))</f>
        <v/>
      </c>
      <c r="AJ25" s="34" t="str">
        <f ca="1">IF($A25="","",IF(IF(AJ$2&lt;=$A$1,1,0),IF(AJ$4="休","",IF(COUNTIF(DATA!AK:AK,$A:$A)=0,"×","√")),""))</f>
        <v/>
      </c>
      <c r="AK25" s="34" t="str">
        <f ca="1">IF($A25="","",IF(IF(AK$2&lt;=$A$1,1,0),IF(AK$4="休","",IF(COUNTIF(DATA!AL:AL,$A:$A)=0,"×","√")),""))</f>
        <v/>
      </c>
      <c r="AL25" s="34" t="str">
        <f ca="1">IF($A25="","",IF(IF(AL$2&lt;=$A$1,1,0),IF(AL$4="休","",IF(COUNTIF(DATA!AM:AM,$A:$A)=0,"×","√")),""))</f>
        <v/>
      </c>
      <c r="AM25" s="34" t="str">
        <f ca="1">IF($A25="","",IF(IF(AM$2&lt;=$A$1,1,0),IF(AM$4="休","",IF(COUNTIF(DATA!AN:AN,$A:$A)=0,"×","√")),""))</f>
        <v/>
      </c>
      <c r="AN25" s="34" t="str">
        <f ca="1">IF($A25="","",IF(IF(AN$2&lt;=$A$1,1,0),IF(AN$4="休","",IF(COUNTIF(DATA!AO:AO,$A:$A)=0,"×","√")),""))</f>
        <v/>
      </c>
      <c r="AO25" s="34" t="str">
        <f ca="1">IF($A25="","",IF(IF(AO$2&lt;=$A$1,1,0),IF(AO$4="休","",IF(COUNTIF(DATA!AP:AP,$A:$A)=0,"×","√")),""))</f>
        <v/>
      </c>
      <c r="AP25" s="34" t="str">
        <f ca="1">IF($A25="","",IF(IF(AP$2&lt;=$A$1,1,0),IF(AP$4="休","",IF(COUNTIF(DATA!AQ:AQ,$A:$A)=0,"×","√")),""))</f>
        <v/>
      </c>
      <c r="AQ25" s="34" t="str">
        <f ca="1">IF($A25="","",IF(IF(AQ$2&lt;=$A$1,1,0),IF(AQ$4="休","",IF(COUNTIF(DATA!AR:AR,$A:$A)=0,"×","√")),""))</f>
        <v/>
      </c>
      <c r="AR25" s="34" t="str">
        <f ca="1">IF($A25="","",IF(IF(AR$2&lt;=$A$1,1,0),IF(AR$4="休","",IF(COUNTIF(DATA!AS:AS,$A:$A)=0,"×","√")),""))</f>
        <v/>
      </c>
      <c r="AS25" s="34" t="str">
        <f ca="1">IF($A25="","",IF(IF(AS$2&lt;=$A$1,1,0),IF(AS$4="休","",IF(COUNTIF(DATA!AT:AT,$A:$A)=0,"×","√")),""))</f>
        <v/>
      </c>
      <c r="AT25" s="34" t="str">
        <f ca="1">IF($A25="","",IF(IF(AT$2&lt;=$A$1,1,0),IF(AT$4="休","",IF(COUNTIF(DATA!AU:AU,$A:$A)=0,"×","√")),""))</f>
        <v/>
      </c>
      <c r="AU25" s="34" t="str">
        <f ca="1">IF($A25="","",IF(IF(AU$2&lt;=$A$1,1,0),IF(AU$4="休","",IF(COUNTIF(DATA!AV:AV,$A:$A)=0,"×","√")),""))</f>
        <v/>
      </c>
      <c r="AV25" s="34" t="str">
        <f ca="1">IF($A25="","",IF(IF(AV$2&lt;=$A$1,1,0),IF(AV$4="休","",IF(COUNTIF(DATA!AW:AW,$A:$A)=0,"×","√")),""))</f>
        <v/>
      </c>
      <c r="AW25" s="34" t="str">
        <f ca="1">IF($A25="","",IF(IF(AW$2&lt;=$A$1,1,0),IF(AW$4="休","",IF(COUNTIF(DATA!AX:AX,$A:$A)=0,"×","√")),""))</f>
        <v/>
      </c>
      <c r="AX25" s="34" t="str">
        <f ca="1">IF($A25="","",IF(IF(AX$2&lt;=$A$1,1,0),IF(AX$4="休","",IF(COUNTIF(DATA!AY:AY,$A:$A)=0,"×","√")),""))</f>
        <v/>
      </c>
      <c r="AY25" s="34" t="str">
        <f ca="1">IF($A25="","",IF(IF(AY$2&lt;=$A$1,1,0),IF(AY$4="休","",IF(COUNTIF(DATA!AZ:AZ,$A:$A)=0,"×","√")),""))</f>
        <v/>
      </c>
      <c r="AZ25" s="34" t="str">
        <f ca="1">IF($A25="","",IF(IF(AZ$2&lt;=$A$1,1,0),IF(AZ$4="休","",IF(COUNTIF(DATA!BA:BA,$A:$A)=0,"×","√")),""))</f>
        <v/>
      </c>
      <c r="BA25" s="34" t="str">
        <f ca="1">IF($A25="","",IF(IF(BA$2&lt;=$A$1,1,0),IF(BA$4="休","",IF(COUNTIF(DATA!BB:BB,$A:$A)=0,"×","√")),""))</f>
        <v/>
      </c>
      <c r="BB25" s="34" t="str">
        <f ca="1">IF($A25="","",IF(IF(BB$2&lt;=$A$1,1,0),IF(BB$4="休","",IF(COUNTIF(DATA!BC:BC,$A:$A)=0,"×","√")),""))</f>
        <v/>
      </c>
      <c r="BC25" s="34" t="str">
        <f ca="1">IF($A25="","",IF(IF(BC$2&lt;=$A$1,1,0),IF(BC$4="休","",IF(COUNTIF(DATA!BD:BD,$A:$A)=0,"×","√")),""))</f>
        <v/>
      </c>
      <c r="BD25" s="34" t="str">
        <f ca="1">IF($A25="","",IF(IF(BD$2&lt;=$A$1,1,0),IF(BD$4="休","",IF(COUNTIF(DATA!BE:BE,$A:$A)=0,"×","√")),""))</f>
        <v/>
      </c>
      <c r="BE25" s="34" t="str">
        <f ca="1">IF($A25="","",IF(IF(BE$2&lt;=$A$1,1,0),IF(BE$4="休","",IF(COUNTIF(DATA!BF:BF,$A:$A)=0,"×","√")),""))</f>
        <v/>
      </c>
      <c r="BF25" s="34" t="str">
        <f ca="1">IF($A25="","",IF(IF(BF$2&lt;=$A$1,1,0),IF(BF$4="休","",IF(COUNTIF(DATA!BG:BG,$A:$A)=0,"×","√")),""))</f>
        <v/>
      </c>
      <c r="BG25" s="34" t="str">
        <f ca="1">IF($A25="","",IF(IF(BG$2&lt;=$A$1,1,0),IF(BG$4="休","",IF(COUNTIF(DATA!BH:BH,$A:$A)=0,"×","√")),""))</f>
        <v/>
      </c>
      <c r="BH25" s="34" t="str">
        <f ca="1">IF($A25="","",IF(IF(BH$2&lt;=$A$1,1,0),IF(BH$4="休","",IF(COUNTIF(DATA!BI:BI,$A:$A)=0,"×","√")),""))</f>
        <v/>
      </c>
      <c r="BI25" s="34" t="str">
        <f ca="1">IF($A25="","",IF(IF(BI$2&lt;=$A$1,1,0),IF(BI$4="休","",IF(COUNTIF(DATA!BJ:BJ,$A:$A)=0,"×","√")),""))</f>
        <v/>
      </c>
      <c r="BJ25" s="34" t="str">
        <f ca="1">IF($A25="","",IF(IF(BJ$2&lt;=$A$1,1,0),IF(BJ$4="休","",IF(COUNTIF(DATA!BK:BK,$A:$A)=0,"×","√")),""))</f>
        <v/>
      </c>
      <c r="BK25" s="34" t="str">
        <f ca="1">IF($A25="","",IF(IF(BK$2&lt;=$A$1,1,0),IF(BK$4="休","",IF(COUNTIF(DATA!BL:BL,$A:$A)=0,"×","√")),""))</f>
        <v/>
      </c>
      <c r="BL25" s="34" t="str">
        <f ca="1">IF($A25="","",IF(IF(BL$2&lt;=$A$1,1,0),IF(BL$4="休","",IF(COUNTIF(DATA!BM:BM,$A:$A)=0,"×","√")),""))</f>
        <v/>
      </c>
      <c r="BM25" s="34" t="str">
        <f ca="1">IF($A25="","",IF(IF(BM$2&lt;=$A$1,1,0),IF(BM$4="休","",IF(COUNTIF(DATA!BN:BN,$A:$A)=0,"×","√")),""))</f>
        <v/>
      </c>
      <c r="BN25" s="34" t="str">
        <f ca="1">IF($A25="","",IF(IF(BN$2&lt;=$A$1,1,0),IF(BN$4="休","",IF(COUNTIF(DATA!BO:BO,$A:$A)=0,"×","√")),""))</f>
        <v/>
      </c>
      <c r="BO25" s="34" t="str">
        <f ca="1">IF($A25="","",IF(IF(BO$2&lt;=$A$1,1,0),IF(BO$4="休","",IF(COUNTIF(DATA!BP:BP,$A:$A)=0,"×","√")),""))</f>
        <v/>
      </c>
      <c r="BP25" s="34" t="str">
        <f ca="1">IF($A25="","",IF(IF(BP$2&lt;=$A$1,1,0),IF(BP$4="休","",IF(COUNTIF(DATA!BQ:BQ,$A:$A)=0,"×","√")),""))</f>
        <v/>
      </c>
      <c r="BQ25" s="34" t="str">
        <f ca="1">IF($A25="","",IF(IF(BQ$2&lt;=$A$1,1,0),IF(BQ$4="休","",IF(COUNTIF(DATA!BR:BR,$A:$A)=0,"×","√")),""))</f>
        <v/>
      </c>
      <c r="BR25" s="34" t="str">
        <f ca="1">IF($A25="","",IF(IF(BR$2&lt;=$A$1,1,0),IF(BR$4="休","",IF(COUNTIF(DATA!BS:BS,$A:$A)=0,"×","√")),""))</f>
        <v/>
      </c>
      <c r="BS25" s="34" t="str">
        <f ca="1">IF($A25="","",IF(IF(BS$2&lt;=$A$1,1,0),IF(BS$4="休","",IF(COUNTIF(DATA!BT:BT,$A:$A)=0,"×","√")),""))</f>
        <v/>
      </c>
      <c r="BT25" s="34" t="str">
        <f ca="1">IF($A25="","",IF(IF(BT$2&lt;=$A$1,1,0),IF(BT$4="休","",IF(COUNTIF(DATA!BU:BU,$A:$A)=0,"×","√")),""))</f>
        <v/>
      </c>
      <c r="BU25" s="34" t="str">
        <f ca="1">IF($A25="","",IF(IF(BU$2&lt;=$A$1,1,0),IF(BU$4="休","",IF(COUNTIF(DATA!BV:BV,$A:$A)=0,"×","√")),""))</f>
        <v/>
      </c>
      <c r="BV25" s="34" t="str">
        <f ca="1">IF($A25="","",IF(IF(BV$2&lt;=$A$1,1,0),IF(BV$4="休","",IF(COUNTIF(DATA!BW:BW,$A:$A)=0,"×","√")),""))</f>
        <v/>
      </c>
      <c r="BW25" s="34" t="str">
        <f ca="1">IF($A25="","",IF(IF(BW$2&lt;=$A$1,1,0),IF(BW$4="休","",IF(COUNTIF(DATA!BX:BX,$A:$A)=0,"×","√")),""))</f>
        <v/>
      </c>
      <c r="BX25" s="34" t="str">
        <f ca="1">IF($A25="","",IF(IF(BX$2&lt;=$A$1,1,0),IF(BX$4="休","",IF(COUNTIF(DATA!BY:BY,$A:$A)=0,"×","√")),""))</f>
        <v/>
      </c>
      <c r="BY25" s="34" t="str">
        <f ca="1">IF($A25="","",IF(IF(BY$2&lt;=$A$1,1,0),IF(BY$4="休","",IF(COUNTIF(DATA!BZ:BZ,$A:$A)=0,"×","√")),""))</f>
        <v/>
      </c>
      <c r="BZ25" s="34" t="str">
        <f ca="1">IF($A25="","",IF(IF(BZ$2&lt;=$A$1,1,0),IF(BZ$4="休","",IF(COUNTIF(DATA!CA:CA,$A:$A)=0,"×","√")),""))</f>
        <v/>
      </c>
      <c r="CA25" s="34" t="str">
        <f ca="1">IF($A25="","",IF(IF(CA$2&lt;=$A$1,1,0),IF(CA$4="休","",IF(COUNTIF(DATA!CB:CB,$A:$A)=0,"×","√")),""))</f>
        <v/>
      </c>
      <c r="CB25" s="34" t="str">
        <f ca="1">IF($A25="","",IF(IF(CB$2&lt;=$A$1,1,0),IF(CB$4="休","",IF(COUNTIF(DATA!CC:CC,$A:$A)=0,"×","√")),""))</f>
        <v/>
      </c>
      <c r="CC25" s="34" t="str">
        <f ca="1">IF($A25="","",IF(IF(CC$2&lt;=$A$1,1,0),IF(CC$4="休","",IF(COUNTIF(DATA!CD:CD,$A:$A)=0,"×","√")),""))</f>
        <v/>
      </c>
      <c r="CD25" s="34" t="str">
        <f ca="1">IF($A25="","",IF(IF(CD$2&lt;=$A$1,1,0),IF(CD$4="休","",IF(COUNTIF(DATA!CE:CE,$A:$A)=0,"×","√")),""))</f>
        <v/>
      </c>
      <c r="CE25" s="34" t="str">
        <f ca="1">IF($A25="","",IF(IF(CE$2&lt;=$A$1,1,0),IF(CE$4="休","",IF(COUNTIF(DATA!CF:CF,$A:$A)=0,"×","√")),""))</f>
        <v/>
      </c>
      <c r="CF25" s="34" t="str">
        <f ca="1">IF($A25="","",IF(IF(CF$2&lt;=$A$1,1,0),IF(CF$4="休","",IF(COUNTIF(DATA!CG:CG,$A:$A)=0,"×","√")),""))</f>
        <v/>
      </c>
      <c r="CG25" s="34" t="str">
        <f ca="1">IF($A25="","",IF(IF(CG$2&lt;=$A$1,1,0),IF(CG$4="休","",IF(COUNTIF(DATA!CH:CH,$A:$A)=0,"×","√")),""))</f>
        <v/>
      </c>
      <c r="CH25" s="34" t="str">
        <f ca="1">IF($A25="","",IF(IF(CH$2&lt;=$A$1,1,0),IF(CH$4="休","",IF(COUNTIF(DATA!CI:CI,$A:$A)=0,"×","√")),""))</f>
        <v/>
      </c>
      <c r="CI25" s="34" t="str">
        <f ca="1">IF($A25="","",IF(IF(CI$2&lt;=$A$1,1,0),IF(CI$4="休","",IF(COUNTIF(DATA!CJ:CJ,$A:$A)=0,"×","√")),""))</f>
        <v/>
      </c>
      <c r="CJ25" s="34" t="str">
        <f ca="1">IF($A25="","",IF(IF(CJ$2&lt;=$A$1,1,0),IF(CJ$4="休","",IF(COUNTIF(DATA!CK:CK,$A:$A)=0,"×","√")),""))</f>
        <v/>
      </c>
      <c r="CK25" s="34" t="str">
        <f ca="1">IF($A25="","",IF(IF(CK$2&lt;=$A$1,1,0),IF(CK$4="休","",IF(COUNTIF(DATA!CL:CL,$A:$A)=0,"×","√")),""))</f>
        <v/>
      </c>
      <c r="CL25" s="34" t="str">
        <f ca="1">IF($A25="","",IF(IF(CL$2&lt;=$A$1,1,0),IF(CL$4="休","",IF(COUNTIF(DATA!CM:CM,$A:$A)=0,"×","√")),""))</f>
        <v/>
      </c>
      <c r="CM25" s="34" t="str">
        <f ca="1">IF($A25="","",IF(IF(CM$2&lt;=$A$1,1,0),IF(CM$4="休","",IF(COUNTIF(DATA!CN:CN,$A:$A)=0,"×","√")),""))</f>
        <v/>
      </c>
      <c r="CN25" s="34" t="str">
        <f ca="1">IF($A25="","",IF(IF(CN$2&lt;=$A$1,1,0),IF(CN$4="休","",IF(COUNTIF(DATA!CO:CO,$A:$A)=0,"×","√")),""))</f>
        <v/>
      </c>
      <c r="CO25" s="34" t="str">
        <f ca="1">IF($A25="","",IF(IF(CO$2&lt;=$A$1,1,0),IF(CO$4="休","",IF(COUNTIF(DATA!CP:CP,$A:$A)=0,"×","√")),""))</f>
        <v/>
      </c>
      <c r="CP25" s="34" t="str">
        <f ca="1">IF($A25="","",IF(IF(CP$2&lt;=$A$1,1,0),IF(CP$4="休","",IF(COUNTIF(DATA!CQ:CQ,$A:$A)=0,"×","√")),""))</f>
        <v/>
      </c>
      <c r="CQ25" s="34" t="str">
        <f ca="1">IF($A25="","",IF(IF(CQ$2&lt;=$A$1,1,0),IF(CQ$4="休","",IF(COUNTIF(DATA!CR:CR,$A:$A)=0,"×","√")),""))</f>
        <v/>
      </c>
      <c r="CR25" s="34" t="str">
        <f ca="1">IF($A25="","",IF(IF(CR$2&lt;=$A$1,1,0),IF(CR$4="休","",IF(COUNTIF(DATA!CS:CS,$A:$A)=0,"×","√")),""))</f>
        <v/>
      </c>
    </row>
    <row r="26" s="28" customFormat="1" ht="18.75" spans="1:96">
      <c r="A26" s="34" t="str">
        <f>DATA!$A25&amp;""</f>
        <v>张扬</v>
      </c>
      <c r="B26" s="34" t="str">
        <f ca="1">IF($A26="","",IF(IF(B$2&lt;=$A$1,1,0),IF(B$4="休","",IF(COUNTIF(DATA!C:C,$A:$A)=0,"×","√")),""))</f>
        <v>√</v>
      </c>
      <c r="C26" s="34" t="str">
        <f ca="1">IF($A26="","",IF(IF(C$2&lt;=$A$1,1,0),IF(C$4="休","",IF(COUNTIF(DATA!D:D,$A:$A)=0,"×","√")),""))</f>
        <v>√</v>
      </c>
      <c r="D26" s="34" t="str">
        <f ca="1">IF($A26="","",IF(IF(D$2&lt;=$A$1,1,0),IF(D$4="休","",IF(COUNTIF(DATA!E:E,$A:$A)=0,"×","√")),""))</f>
        <v>√</v>
      </c>
      <c r="E26" s="34" t="str">
        <f ca="1">IF($A26="","",IF(IF(E$2&lt;=$A$1,1,0),IF(E$4="休","",IF(COUNTIF(DATA!F:F,$A:$A)=0,"×","√")),""))</f>
        <v>√</v>
      </c>
      <c r="F26" s="34" t="str">
        <f ca="1">IF($A26="","",IF(IF(F$2&lt;=$A$1,1,0),IF(F$4="休","",IF(COUNTIF(DATA!G:G,$A:$A)=0,"×","√")),""))</f>
        <v>√</v>
      </c>
      <c r="G26" s="34" t="str">
        <f ca="1">IF($A26="","",IF(IF(G$2&lt;=$A$1,1,0),IF(G$4="休","",IF(COUNTIF(DATA!H:H,$A:$A)=0,"×","√")),""))</f>
        <v>√</v>
      </c>
      <c r="H26" s="34" t="str">
        <f ca="1">IF($A26="","",IF(IF(H$2&lt;=$A$1,1,0),IF(H$4="休","",IF(COUNTIF(DATA!I:I,$A:$A)=0,"×","√")),""))</f>
        <v>√</v>
      </c>
      <c r="I26" s="34" t="str">
        <f ca="1">IF($A26="","",IF(IF(I$2&lt;=$A$1,1,0),IF(I$4="休","",IF(COUNTIF(DATA!J:J,$A:$A)=0,"×","√")),""))</f>
        <v>√</v>
      </c>
      <c r="J26" s="34" t="str">
        <f ca="1">IF($A26="","",IF(IF(J$2&lt;=$A$1,1,0),IF(J$4="休","",IF(COUNTIF(DATA!K:K,$A:$A)=0,"×","√")),""))</f>
        <v>√</v>
      </c>
      <c r="K26" s="34" t="str">
        <f ca="1">IF($A26="","",IF(IF(K$2&lt;=$A$1,1,0),IF(K$4="休","",IF(COUNTIF(DATA!L:L,$A:$A)=0,"×","√")),""))</f>
        <v>√</v>
      </c>
      <c r="L26" s="34" t="str">
        <f ca="1">IF($A26="","",IF(IF(L$2&lt;=$A$1,1,0),IF(L$4="休","",IF(COUNTIF(DATA!M:M,$A:$A)=0,"×","√")),""))</f>
        <v>√</v>
      </c>
      <c r="M26" s="34" t="str">
        <f ca="1">IF($A26="","",IF(IF(M$2&lt;=$A$1,1,0),IF(M$4="休","",IF(COUNTIF(DATA!N:N,$A:$A)=0,"×","√")),""))</f>
        <v>√</v>
      </c>
      <c r="N26" s="34" t="str">
        <f ca="1">IF($A26="","",IF(IF(N$2&lt;=$A$1,1,0),IF(N$4="休","",IF(COUNTIF(DATA!O:O,$A:$A)=0,"×","√")),""))</f>
        <v>√</v>
      </c>
      <c r="O26" s="34" t="str">
        <f ca="1">IF($A26="","",IF(IF(O$2&lt;=$A$1,1,0),IF(O$4="休","",IF(COUNTIF(DATA!P:P,$A:$A)=0,"×","√")),""))</f>
        <v>×</v>
      </c>
      <c r="P26" s="34" t="str">
        <f ca="1">IF($A26="","",IF(IF(P$2&lt;=$A$1,1,0),IF(P$4="休","",IF(COUNTIF(DATA!Q:Q,$A:$A)=0,"×","√")),""))</f>
        <v/>
      </c>
      <c r="Q26" s="34" t="str">
        <f ca="1">IF($A26="","",IF(IF(Q$2&lt;=$A$1,1,0),IF(Q$4="休","",IF(COUNTIF(DATA!R:R,$A:$A)=0,"×","√")),""))</f>
        <v/>
      </c>
      <c r="R26" s="34" t="str">
        <f ca="1">IF($A26="","",IF(IF(R$2&lt;=$A$1,1,0),IF(R$4="休","",IF(COUNTIF(DATA!S:S,$A:$A)=0,"×","√")),""))</f>
        <v/>
      </c>
      <c r="S26" s="34" t="str">
        <f ca="1">IF($A26="","",IF(IF(S$2&lt;=$A$1,1,0),IF(S$4="休","",IF(COUNTIF(DATA!T:T,$A:$A)=0,"×","√")),""))</f>
        <v/>
      </c>
      <c r="T26" s="34" t="str">
        <f ca="1">IF($A26="","",IF(IF(T$2&lt;=$A$1,1,0),IF(T$4="休","",IF(COUNTIF(DATA!U:U,$A:$A)=0,"×","√")),""))</f>
        <v/>
      </c>
      <c r="U26" s="34" t="str">
        <f ca="1">IF($A26="","",IF(IF(U$2&lt;=$A$1,1,0),IF(U$4="休","",IF(COUNTIF(DATA!V:V,$A:$A)=0,"×","√")),""))</f>
        <v/>
      </c>
      <c r="V26" s="34" t="str">
        <f ca="1">IF($A26="","",IF(IF(V$2&lt;=$A$1,1,0),IF(V$4="休","",IF(COUNTIF(DATA!W:W,$A:$A)=0,"×","√")),""))</f>
        <v/>
      </c>
      <c r="W26" s="34" t="str">
        <f ca="1">IF($A26="","",IF(IF(W$2&lt;=$A$1,1,0),IF(W$4="休","",IF(COUNTIF(DATA!X:X,$A:$A)=0,"×","√")),""))</f>
        <v/>
      </c>
      <c r="X26" s="34" t="str">
        <f ca="1">IF($A26="","",IF(IF(X$2&lt;=$A$1,1,0),IF(X$4="休","",IF(COUNTIF(DATA!Y:Y,$A:$A)=0,"×","√")),""))</f>
        <v/>
      </c>
      <c r="Y26" s="34" t="str">
        <f ca="1">IF($A26="","",IF(IF(Y$2&lt;=$A$1,1,0),IF(Y$4="休","",IF(COUNTIF(DATA!Z:Z,$A:$A)=0,"×","√")),""))</f>
        <v/>
      </c>
      <c r="Z26" s="34" t="str">
        <f ca="1">IF($A26="","",IF(IF(Z$2&lt;=$A$1,1,0),IF(Z$4="休","",IF(COUNTIF(DATA!AA:AA,$A:$A)=0,"×","√")),""))</f>
        <v/>
      </c>
      <c r="AA26" s="34" t="str">
        <f ca="1">IF($A26="","",IF(IF(AA$2&lt;=$A$1,1,0),IF(AA$4="休","",IF(COUNTIF(DATA!AB:AB,$A:$A)=0,"×","√")),""))</f>
        <v/>
      </c>
      <c r="AB26" s="34" t="str">
        <f ca="1">IF($A26="","",IF(IF(AB$2&lt;=$A$1,1,0),IF(AB$4="休","",IF(COUNTIF(DATA!AC:AC,$A:$A)=0,"×","√")),""))</f>
        <v/>
      </c>
      <c r="AC26" s="34" t="str">
        <f ca="1">IF($A26="","",IF(IF(AC$2&lt;=$A$1,1,0),IF(AC$4="休","",IF(COUNTIF(DATA!AD:AD,$A:$A)=0,"×","√")),""))</f>
        <v/>
      </c>
      <c r="AD26" s="34" t="str">
        <f ca="1">IF($A26="","",IF(IF(AD$2&lt;=$A$1,1,0),IF(AD$4="休","",IF(COUNTIF(DATA!AE:AE,$A:$A)=0,"×","√")),""))</f>
        <v/>
      </c>
      <c r="AE26" s="34" t="str">
        <f ca="1">IF($A26="","",IF(IF(AE$2&lt;=$A$1,1,0),IF(AE$4="休","",IF(COUNTIF(DATA!AF:AF,$A:$A)=0,"×","√")),""))</f>
        <v/>
      </c>
      <c r="AF26" s="34" t="str">
        <f ca="1">IF($A26="","",IF(IF(AF$2&lt;=$A$1,1,0),IF(AF$4="休","",IF(COUNTIF(DATA!AG:AG,$A:$A)=0,"×","√")),""))</f>
        <v/>
      </c>
      <c r="AG26" s="34" t="str">
        <f ca="1">IF($A26="","",IF(IF(AG$2&lt;=$A$1,1,0),IF(AG$4="休","",IF(COUNTIF(DATA!AH:AH,$A:$A)=0,"×","√")),""))</f>
        <v/>
      </c>
      <c r="AH26" s="34" t="str">
        <f ca="1">IF($A26="","",IF(IF(AH$2&lt;=$A$1,1,0),IF(AH$4="休","",IF(COUNTIF(DATA!AI:AI,$A:$A)=0,"×","√")),""))</f>
        <v/>
      </c>
      <c r="AI26" s="34" t="str">
        <f ca="1">IF($A26="","",IF(IF(AI$2&lt;=$A$1,1,0),IF(AI$4="休","",IF(COUNTIF(DATA!AJ:AJ,$A:$A)=0,"×","√")),""))</f>
        <v/>
      </c>
      <c r="AJ26" s="34" t="str">
        <f ca="1">IF($A26="","",IF(IF(AJ$2&lt;=$A$1,1,0),IF(AJ$4="休","",IF(COUNTIF(DATA!AK:AK,$A:$A)=0,"×","√")),""))</f>
        <v/>
      </c>
      <c r="AK26" s="34" t="str">
        <f ca="1">IF($A26="","",IF(IF(AK$2&lt;=$A$1,1,0),IF(AK$4="休","",IF(COUNTIF(DATA!AL:AL,$A:$A)=0,"×","√")),""))</f>
        <v/>
      </c>
      <c r="AL26" s="34" t="str">
        <f ca="1">IF($A26="","",IF(IF(AL$2&lt;=$A$1,1,0),IF(AL$4="休","",IF(COUNTIF(DATA!AM:AM,$A:$A)=0,"×","√")),""))</f>
        <v/>
      </c>
      <c r="AM26" s="34" t="str">
        <f ca="1">IF($A26="","",IF(IF(AM$2&lt;=$A$1,1,0),IF(AM$4="休","",IF(COUNTIF(DATA!AN:AN,$A:$A)=0,"×","√")),""))</f>
        <v/>
      </c>
      <c r="AN26" s="34" t="str">
        <f ca="1">IF($A26="","",IF(IF(AN$2&lt;=$A$1,1,0),IF(AN$4="休","",IF(COUNTIF(DATA!AO:AO,$A:$A)=0,"×","√")),""))</f>
        <v/>
      </c>
      <c r="AO26" s="34" t="str">
        <f ca="1">IF($A26="","",IF(IF(AO$2&lt;=$A$1,1,0),IF(AO$4="休","",IF(COUNTIF(DATA!AP:AP,$A:$A)=0,"×","√")),""))</f>
        <v/>
      </c>
      <c r="AP26" s="34" t="str">
        <f ca="1">IF($A26="","",IF(IF(AP$2&lt;=$A$1,1,0),IF(AP$4="休","",IF(COUNTIF(DATA!AQ:AQ,$A:$A)=0,"×","√")),""))</f>
        <v/>
      </c>
      <c r="AQ26" s="34" t="str">
        <f ca="1">IF($A26="","",IF(IF(AQ$2&lt;=$A$1,1,0),IF(AQ$4="休","",IF(COUNTIF(DATA!AR:AR,$A:$A)=0,"×","√")),""))</f>
        <v/>
      </c>
      <c r="AR26" s="34" t="str">
        <f ca="1">IF($A26="","",IF(IF(AR$2&lt;=$A$1,1,0),IF(AR$4="休","",IF(COUNTIF(DATA!AS:AS,$A:$A)=0,"×","√")),""))</f>
        <v/>
      </c>
      <c r="AS26" s="34" t="str">
        <f ca="1">IF($A26="","",IF(IF(AS$2&lt;=$A$1,1,0),IF(AS$4="休","",IF(COUNTIF(DATA!AT:AT,$A:$A)=0,"×","√")),""))</f>
        <v/>
      </c>
      <c r="AT26" s="34" t="str">
        <f ca="1">IF($A26="","",IF(IF(AT$2&lt;=$A$1,1,0),IF(AT$4="休","",IF(COUNTIF(DATA!AU:AU,$A:$A)=0,"×","√")),""))</f>
        <v/>
      </c>
      <c r="AU26" s="34" t="str">
        <f ca="1">IF($A26="","",IF(IF(AU$2&lt;=$A$1,1,0),IF(AU$4="休","",IF(COUNTIF(DATA!AV:AV,$A:$A)=0,"×","√")),""))</f>
        <v/>
      </c>
      <c r="AV26" s="34" t="str">
        <f ca="1">IF($A26="","",IF(IF(AV$2&lt;=$A$1,1,0),IF(AV$4="休","",IF(COUNTIF(DATA!AW:AW,$A:$A)=0,"×","√")),""))</f>
        <v/>
      </c>
      <c r="AW26" s="34" t="str">
        <f ca="1">IF($A26="","",IF(IF(AW$2&lt;=$A$1,1,0),IF(AW$4="休","",IF(COUNTIF(DATA!AX:AX,$A:$A)=0,"×","√")),""))</f>
        <v/>
      </c>
      <c r="AX26" s="34" t="str">
        <f ca="1">IF($A26="","",IF(IF(AX$2&lt;=$A$1,1,0),IF(AX$4="休","",IF(COUNTIF(DATA!AY:AY,$A:$A)=0,"×","√")),""))</f>
        <v/>
      </c>
      <c r="AY26" s="34" t="str">
        <f ca="1">IF($A26="","",IF(IF(AY$2&lt;=$A$1,1,0),IF(AY$4="休","",IF(COUNTIF(DATA!AZ:AZ,$A:$A)=0,"×","√")),""))</f>
        <v/>
      </c>
      <c r="AZ26" s="34" t="str">
        <f ca="1">IF($A26="","",IF(IF(AZ$2&lt;=$A$1,1,0),IF(AZ$4="休","",IF(COUNTIF(DATA!BA:BA,$A:$A)=0,"×","√")),""))</f>
        <v/>
      </c>
      <c r="BA26" s="34" t="str">
        <f ca="1">IF($A26="","",IF(IF(BA$2&lt;=$A$1,1,0),IF(BA$4="休","",IF(COUNTIF(DATA!BB:BB,$A:$A)=0,"×","√")),""))</f>
        <v/>
      </c>
      <c r="BB26" s="34" t="str">
        <f ca="1">IF($A26="","",IF(IF(BB$2&lt;=$A$1,1,0),IF(BB$4="休","",IF(COUNTIF(DATA!BC:BC,$A:$A)=0,"×","√")),""))</f>
        <v/>
      </c>
      <c r="BC26" s="34" t="str">
        <f ca="1">IF($A26="","",IF(IF(BC$2&lt;=$A$1,1,0),IF(BC$4="休","",IF(COUNTIF(DATA!BD:BD,$A:$A)=0,"×","√")),""))</f>
        <v/>
      </c>
      <c r="BD26" s="34" t="str">
        <f ca="1">IF($A26="","",IF(IF(BD$2&lt;=$A$1,1,0),IF(BD$4="休","",IF(COUNTIF(DATA!BE:BE,$A:$A)=0,"×","√")),""))</f>
        <v/>
      </c>
      <c r="BE26" s="34" t="str">
        <f ca="1">IF($A26="","",IF(IF(BE$2&lt;=$A$1,1,0),IF(BE$4="休","",IF(COUNTIF(DATA!BF:BF,$A:$A)=0,"×","√")),""))</f>
        <v/>
      </c>
      <c r="BF26" s="34" t="str">
        <f ca="1">IF($A26="","",IF(IF(BF$2&lt;=$A$1,1,0),IF(BF$4="休","",IF(COUNTIF(DATA!BG:BG,$A:$A)=0,"×","√")),""))</f>
        <v/>
      </c>
      <c r="BG26" s="34" t="str">
        <f ca="1">IF($A26="","",IF(IF(BG$2&lt;=$A$1,1,0),IF(BG$4="休","",IF(COUNTIF(DATA!BH:BH,$A:$A)=0,"×","√")),""))</f>
        <v/>
      </c>
      <c r="BH26" s="34" t="str">
        <f ca="1">IF($A26="","",IF(IF(BH$2&lt;=$A$1,1,0),IF(BH$4="休","",IF(COUNTIF(DATA!BI:BI,$A:$A)=0,"×","√")),""))</f>
        <v/>
      </c>
      <c r="BI26" s="34" t="str">
        <f ca="1">IF($A26="","",IF(IF(BI$2&lt;=$A$1,1,0),IF(BI$4="休","",IF(COUNTIF(DATA!BJ:BJ,$A:$A)=0,"×","√")),""))</f>
        <v/>
      </c>
      <c r="BJ26" s="34" t="str">
        <f ca="1">IF($A26="","",IF(IF(BJ$2&lt;=$A$1,1,0),IF(BJ$4="休","",IF(COUNTIF(DATA!BK:BK,$A:$A)=0,"×","√")),""))</f>
        <v/>
      </c>
      <c r="BK26" s="34" t="str">
        <f ca="1">IF($A26="","",IF(IF(BK$2&lt;=$A$1,1,0),IF(BK$4="休","",IF(COUNTIF(DATA!BL:BL,$A:$A)=0,"×","√")),""))</f>
        <v/>
      </c>
      <c r="BL26" s="34" t="str">
        <f ca="1">IF($A26="","",IF(IF(BL$2&lt;=$A$1,1,0),IF(BL$4="休","",IF(COUNTIF(DATA!BM:BM,$A:$A)=0,"×","√")),""))</f>
        <v/>
      </c>
      <c r="BM26" s="34" t="str">
        <f ca="1">IF($A26="","",IF(IF(BM$2&lt;=$A$1,1,0),IF(BM$4="休","",IF(COUNTIF(DATA!BN:BN,$A:$A)=0,"×","√")),""))</f>
        <v/>
      </c>
      <c r="BN26" s="34" t="str">
        <f ca="1">IF($A26="","",IF(IF(BN$2&lt;=$A$1,1,0),IF(BN$4="休","",IF(COUNTIF(DATA!BO:BO,$A:$A)=0,"×","√")),""))</f>
        <v/>
      </c>
      <c r="BO26" s="34" t="str">
        <f ca="1">IF($A26="","",IF(IF(BO$2&lt;=$A$1,1,0),IF(BO$4="休","",IF(COUNTIF(DATA!BP:BP,$A:$A)=0,"×","√")),""))</f>
        <v/>
      </c>
      <c r="BP26" s="34" t="str">
        <f ca="1">IF($A26="","",IF(IF(BP$2&lt;=$A$1,1,0),IF(BP$4="休","",IF(COUNTIF(DATA!BQ:BQ,$A:$A)=0,"×","√")),""))</f>
        <v/>
      </c>
      <c r="BQ26" s="34" t="str">
        <f ca="1">IF($A26="","",IF(IF(BQ$2&lt;=$A$1,1,0),IF(BQ$4="休","",IF(COUNTIF(DATA!BR:BR,$A:$A)=0,"×","√")),""))</f>
        <v/>
      </c>
      <c r="BR26" s="34" t="str">
        <f ca="1">IF($A26="","",IF(IF(BR$2&lt;=$A$1,1,0),IF(BR$4="休","",IF(COUNTIF(DATA!BS:BS,$A:$A)=0,"×","√")),""))</f>
        <v/>
      </c>
      <c r="BS26" s="34" t="str">
        <f ca="1">IF($A26="","",IF(IF(BS$2&lt;=$A$1,1,0),IF(BS$4="休","",IF(COUNTIF(DATA!BT:BT,$A:$A)=0,"×","√")),""))</f>
        <v/>
      </c>
      <c r="BT26" s="34" t="str">
        <f ca="1">IF($A26="","",IF(IF(BT$2&lt;=$A$1,1,0),IF(BT$4="休","",IF(COUNTIF(DATA!BU:BU,$A:$A)=0,"×","√")),""))</f>
        <v/>
      </c>
      <c r="BU26" s="34" t="str">
        <f ca="1">IF($A26="","",IF(IF(BU$2&lt;=$A$1,1,0),IF(BU$4="休","",IF(COUNTIF(DATA!BV:BV,$A:$A)=0,"×","√")),""))</f>
        <v/>
      </c>
      <c r="BV26" s="34" t="str">
        <f ca="1">IF($A26="","",IF(IF(BV$2&lt;=$A$1,1,0),IF(BV$4="休","",IF(COUNTIF(DATA!BW:BW,$A:$A)=0,"×","√")),""))</f>
        <v/>
      </c>
      <c r="BW26" s="34" t="str">
        <f ca="1">IF($A26="","",IF(IF(BW$2&lt;=$A$1,1,0),IF(BW$4="休","",IF(COUNTIF(DATA!BX:BX,$A:$A)=0,"×","√")),""))</f>
        <v/>
      </c>
      <c r="BX26" s="34" t="str">
        <f ca="1">IF($A26="","",IF(IF(BX$2&lt;=$A$1,1,0),IF(BX$4="休","",IF(COUNTIF(DATA!BY:BY,$A:$A)=0,"×","√")),""))</f>
        <v/>
      </c>
      <c r="BY26" s="34" t="str">
        <f ca="1">IF($A26="","",IF(IF(BY$2&lt;=$A$1,1,0),IF(BY$4="休","",IF(COUNTIF(DATA!BZ:BZ,$A:$A)=0,"×","√")),""))</f>
        <v/>
      </c>
      <c r="BZ26" s="34" t="str">
        <f ca="1">IF($A26="","",IF(IF(BZ$2&lt;=$A$1,1,0),IF(BZ$4="休","",IF(COUNTIF(DATA!CA:CA,$A:$A)=0,"×","√")),""))</f>
        <v/>
      </c>
      <c r="CA26" s="34" t="str">
        <f ca="1">IF($A26="","",IF(IF(CA$2&lt;=$A$1,1,0),IF(CA$4="休","",IF(COUNTIF(DATA!CB:CB,$A:$A)=0,"×","√")),""))</f>
        <v/>
      </c>
      <c r="CB26" s="34" t="str">
        <f ca="1">IF($A26="","",IF(IF(CB$2&lt;=$A$1,1,0),IF(CB$4="休","",IF(COUNTIF(DATA!CC:CC,$A:$A)=0,"×","√")),""))</f>
        <v/>
      </c>
      <c r="CC26" s="34" t="str">
        <f ca="1">IF($A26="","",IF(IF(CC$2&lt;=$A$1,1,0),IF(CC$4="休","",IF(COUNTIF(DATA!CD:CD,$A:$A)=0,"×","√")),""))</f>
        <v/>
      </c>
      <c r="CD26" s="34" t="str">
        <f ca="1">IF($A26="","",IF(IF(CD$2&lt;=$A$1,1,0),IF(CD$4="休","",IF(COUNTIF(DATA!CE:CE,$A:$A)=0,"×","√")),""))</f>
        <v/>
      </c>
      <c r="CE26" s="34" t="str">
        <f ca="1">IF($A26="","",IF(IF(CE$2&lt;=$A$1,1,0),IF(CE$4="休","",IF(COUNTIF(DATA!CF:CF,$A:$A)=0,"×","√")),""))</f>
        <v/>
      </c>
      <c r="CF26" s="34" t="str">
        <f ca="1">IF($A26="","",IF(IF(CF$2&lt;=$A$1,1,0),IF(CF$4="休","",IF(COUNTIF(DATA!CG:CG,$A:$A)=0,"×","√")),""))</f>
        <v/>
      </c>
      <c r="CG26" s="34" t="str">
        <f ca="1">IF($A26="","",IF(IF(CG$2&lt;=$A$1,1,0),IF(CG$4="休","",IF(COUNTIF(DATA!CH:CH,$A:$A)=0,"×","√")),""))</f>
        <v/>
      </c>
      <c r="CH26" s="34" t="str">
        <f ca="1">IF($A26="","",IF(IF(CH$2&lt;=$A$1,1,0),IF(CH$4="休","",IF(COUNTIF(DATA!CI:CI,$A:$A)=0,"×","√")),""))</f>
        <v/>
      </c>
      <c r="CI26" s="34" t="str">
        <f ca="1">IF($A26="","",IF(IF(CI$2&lt;=$A$1,1,0),IF(CI$4="休","",IF(COUNTIF(DATA!CJ:CJ,$A:$A)=0,"×","√")),""))</f>
        <v/>
      </c>
      <c r="CJ26" s="34" t="str">
        <f ca="1">IF($A26="","",IF(IF(CJ$2&lt;=$A$1,1,0),IF(CJ$4="休","",IF(COUNTIF(DATA!CK:CK,$A:$A)=0,"×","√")),""))</f>
        <v/>
      </c>
      <c r="CK26" s="34" t="str">
        <f ca="1">IF($A26="","",IF(IF(CK$2&lt;=$A$1,1,0),IF(CK$4="休","",IF(COUNTIF(DATA!CL:CL,$A:$A)=0,"×","√")),""))</f>
        <v/>
      </c>
      <c r="CL26" s="34" t="str">
        <f ca="1">IF($A26="","",IF(IF(CL$2&lt;=$A$1,1,0),IF(CL$4="休","",IF(COUNTIF(DATA!CM:CM,$A:$A)=0,"×","√")),""))</f>
        <v/>
      </c>
      <c r="CM26" s="34" t="str">
        <f ca="1">IF($A26="","",IF(IF(CM$2&lt;=$A$1,1,0),IF(CM$4="休","",IF(COUNTIF(DATA!CN:CN,$A:$A)=0,"×","√")),""))</f>
        <v/>
      </c>
      <c r="CN26" s="34" t="str">
        <f ca="1">IF($A26="","",IF(IF(CN$2&lt;=$A$1,1,0),IF(CN$4="休","",IF(COUNTIF(DATA!CO:CO,$A:$A)=0,"×","√")),""))</f>
        <v/>
      </c>
      <c r="CO26" s="34" t="str">
        <f ca="1">IF($A26="","",IF(IF(CO$2&lt;=$A$1,1,0),IF(CO$4="休","",IF(COUNTIF(DATA!CP:CP,$A:$A)=0,"×","√")),""))</f>
        <v/>
      </c>
      <c r="CP26" s="34" t="str">
        <f ca="1">IF($A26="","",IF(IF(CP$2&lt;=$A$1,1,0),IF(CP$4="休","",IF(COUNTIF(DATA!CQ:CQ,$A:$A)=0,"×","√")),""))</f>
        <v/>
      </c>
      <c r="CQ26" s="34" t="str">
        <f ca="1">IF($A26="","",IF(IF(CQ$2&lt;=$A$1,1,0),IF(CQ$4="休","",IF(COUNTIF(DATA!CR:CR,$A:$A)=0,"×","√")),""))</f>
        <v/>
      </c>
      <c r="CR26" s="34" t="str">
        <f ca="1">IF($A26="","",IF(IF(CR$2&lt;=$A$1,1,0),IF(CR$4="休","",IF(COUNTIF(DATA!CS:CS,$A:$A)=0,"×","√")),""))</f>
        <v/>
      </c>
    </row>
    <row r="27" s="28" customFormat="1" ht="18.75" spans="1:96">
      <c r="A27" s="34" t="str">
        <f>DATA!$A26&amp;""</f>
        <v>周美霖</v>
      </c>
      <c r="B27" s="34" t="str">
        <f ca="1">IF($A27="","",IF(IF(B$2&lt;=$A$1,1,0),IF(B$4="休","",IF(COUNTIF(DATA!C:C,$A:$A)=0,"×","√")),""))</f>
        <v>√</v>
      </c>
      <c r="C27" s="34" t="str">
        <f ca="1">IF($A27="","",IF(IF(C$2&lt;=$A$1,1,0),IF(C$4="休","",IF(COUNTIF(DATA!D:D,$A:$A)=0,"×","√")),""))</f>
        <v>√</v>
      </c>
      <c r="D27" s="34" t="str">
        <f ca="1">IF($A27="","",IF(IF(D$2&lt;=$A$1,1,0),IF(D$4="休","",IF(COUNTIF(DATA!E:E,$A:$A)=0,"×","√")),""))</f>
        <v>√</v>
      </c>
      <c r="E27" s="34" t="str">
        <f ca="1">IF($A27="","",IF(IF(E$2&lt;=$A$1,1,0),IF(E$4="休","",IF(COUNTIF(DATA!F:F,$A:$A)=0,"×","√")),""))</f>
        <v>√</v>
      </c>
      <c r="F27" s="34" t="str">
        <f ca="1">IF($A27="","",IF(IF(F$2&lt;=$A$1,1,0),IF(F$4="休","",IF(COUNTIF(DATA!G:G,$A:$A)=0,"×","√")),""))</f>
        <v>√</v>
      </c>
      <c r="G27" s="34" t="str">
        <f ca="1">IF($A27="","",IF(IF(G$2&lt;=$A$1,1,0),IF(G$4="休","",IF(COUNTIF(DATA!H:H,$A:$A)=0,"×","√")),""))</f>
        <v>√</v>
      </c>
      <c r="H27" s="34" t="str">
        <f ca="1">IF($A27="","",IF(IF(H$2&lt;=$A$1,1,0),IF(H$4="休","",IF(COUNTIF(DATA!I:I,$A:$A)=0,"×","√")),""))</f>
        <v>√</v>
      </c>
      <c r="I27" s="34" t="str">
        <f ca="1">IF($A27="","",IF(IF(I$2&lt;=$A$1,1,0),IF(I$4="休","",IF(COUNTIF(DATA!J:J,$A:$A)=0,"×","√")),""))</f>
        <v>√</v>
      </c>
      <c r="J27" s="34" t="str">
        <f ca="1">IF($A27="","",IF(IF(J$2&lt;=$A$1,1,0),IF(J$4="休","",IF(COUNTIF(DATA!K:K,$A:$A)=0,"×","√")),""))</f>
        <v>√</v>
      </c>
      <c r="K27" s="34" t="str">
        <f ca="1">IF($A27="","",IF(IF(K$2&lt;=$A$1,1,0),IF(K$4="休","",IF(COUNTIF(DATA!L:L,$A:$A)=0,"×","√")),""))</f>
        <v>√</v>
      </c>
      <c r="L27" s="34" t="str">
        <f ca="1">IF($A27="","",IF(IF(L$2&lt;=$A$1,1,0),IF(L$4="休","",IF(COUNTIF(DATA!M:M,$A:$A)=0,"×","√")),""))</f>
        <v>√</v>
      </c>
      <c r="M27" s="34" t="str">
        <f ca="1">IF($A27="","",IF(IF(M$2&lt;=$A$1,1,0),IF(M$4="休","",IF(COUNTIF(DATA!N:N,$A:$A)=0,"×","√")),""))</f>
        <v>√</v>
      </c>
      <c r="N27" s="34" t="str">
        <f ca="1">IF($A27="","",IF(IF(N$2&lt;=$A$1,1,0),IF(N$4="休","",IF(COUNTIF(DATA!O:O,$A:$A)=0,"×","√")),""))</f>
        <v>√</v>
      </c>
      <c r="O27" s="34" t="str">
        <f ca="1">IF($A27="","",IF(IF(O$2&lt;=$A$1,1,0),IF(O$4="休","",IF(COUNTIF(DATA!P:P,$A:$A)=0,"×","√")),""))</f>
        <v>×</v>
      </c>
      <c r="P27" s="34" t="str">
        <f ca="1">IF($A27="","",IF(IF(P$2&lt;=$A$1,1,0),IF(P$4="休","",IF(COUNTIF(DATA!Q:Q,$A:$A)=0,"×","√")),""))</f>
        <v/>
      </c>
      <c r="Q27" s="34" t="str">
        <f ca="1">IF($A27="","",IF(IF(Q$2&lt;=$A$1,1,0),IF(Q$4="休","",IF(COUNTIF(DATA!R:R,$A:$A)=0,"×","√")),""))</f>
        <v/>
      </c>
      <c r="R27" s="34" t="str">
        <f ca="1">IF($A27="","",IF(IF(R$2&lt;=$A$1,1,0),IF(R$4="休","",IF(COUNTIF(DATA!S:S,$A:$A)=0,"×","√")),""))</f>
        <v/>
      </c>
      <c r="S27" s="34" t="str">
        <f ca="1">IF($A27="","",IF(IF(S$2&lt;=$A$1,1,0),IF(S$4="休","",IF(COUNTIF(DATA!T:T,$A:$A)=0,"×","√")),""))</f>
        <v/>
      </c>
      <c r="T27" s="34" t="str">
        <f ca="1">IF($A27="","",IF(IF(T$2&lt;=$A$1,1,0),IF(T$4="休","",IF(COUNTIF(DATA!U:U,$A:$A)=0,"×","√")),""))</f>
        <v/>
      </c>
      <c r="U27" s="34" t="str">
        <f ca="1">IF($A27="","",IF(IF(U$2&lt;=$A$1,1,0),IF(U$4="休","",IF(COUNTIF(DATA!V:V,$A:$A)=0,"×","√")),""))</f>
        <v/>
      </c>
      <c r="V27" s="34" t="str">
        <f ca="1">IF($A27="","",IF(IF(V$2&lt;=$A$1,1,0),IF(V$4="休","",IF(COUNTIF(DATA!W:W,$A:$A)=0,"×","√")),""))</f>
        <v/>
      </c>
      <c r="W27" s="34" t="str">
        <f ca="1">IF($A27="","",IF(IF(W$2&lt;=$A$1,1,0),IF(W$4="休","",IF(COUNTIF(DATA!X:X,$A:$A)=0,"×","√")),""))</f>
        <v/>
      </c>
      <c r="X27" s="34" t="str">
        <f ca="1">IF($A27="","",IF(IF(X$2&lt;=$A$1,1,0),IF(X$4="休","",IF(COUNTIF(DATA!Y:Y,$A:$A)=0,"×","√")),""))</f>
        <v/>
      </c>
      <c r="Y27" s="34" t="str">
        <f ca="1">IF($A27="","",IF(IF(Y$2&lt;=$A$1,1,0),IF(Y$4="休","",IF(COUNTIF(DATA!Z:Z,$A:$A)=0,"×","√")),""))</f>
        <v/>
      </c>
      <c r="Z27" s="34" t="str">
        <f ca="1">IF($A27="","",IF(IF(Z$2&lt;=$A$1,1,0),IF(Z$4="休","",IF(COUNTIF(DATA!AA:AA,$A:$A)=0,"×","√")),""))</f>
        <v/>
      </c>
      <c r="AA27" s="34" t="str">
        <f ca="1">IF($A27="","",IF(IF(AA$2&lt;=$A$1,1,0),IF(AA$4="休","",IF(COUNTIF(DATA!AB:AB,$A:$A)=0,"×","√")),""))</f>
        <v/>
      </c>
      <c r="AB27" s="34" t="str">
        <f ca="1">IF($A27="","",IF(IF(AB$2&lt;=$A$1,1,0),IF(AB$4="休","",IF(COUNTIF(DATA!AC:AC,$A:$A)=0,"×","√")),""))</f>
        <v/>
      </c>
      <c r="AC27" s="34" t="str">
        <f ca="1">IF($A27="","",IF(IF(AC$2&lt;=$A$1,1,0),IF(AC$4="休","",IF(COUNTIF(DATA!AD:AD,$A:$A)=0,"×","√")),""))</f>
        <v/>
      </c>
      <c r="AD27" s="34" t="str">
        <f ca="1">IF($A27="","",IF(IF(AD$2&lt;=$A$1,1,0),IF(AD$4="休","",IF(COUNTIF(DATA!AE:AE,$A:$A)=0,"×","√")),""))</f>
        <v/>
      </c>
      <c r="AE27" s="34" t="str">
        <f ca="1">IF($A27="","",IF(IF(AE$2&lt;=$A$1,1,0),IF(AE$4="休","",IF(COUNTIF(DATA!AF:AF,$A:$A)=0,"×","√")),""))</f>
        <v/>
      </c>
      <c r="AF27" s="34" t="str">
        <f ca="1">IF($A27="","",IF(IF(AF$2&lt;=$A$1,1,0),IF(AF$4="休","",IF(COUNTIF(DATA!AG:AG,$A:$A)=0,"×","√")),""))</f>
        <v/>
      </c>
      <c r="AG27" s="34" t="str">
        <f ca="1">IF($A27="","",IF(IF(AG$2&lt;=$A$1,1,0),IF(AG$4="休","",IF(COUNTIF(DATA!AH:AH,$A:$A)=0,"×","√")),""))</f>
        <v/>
      </c>
      <c r="AH27" s="34" t="str">
        <f ca="1">IF($A27="","",IF(IF(AH$2&lt;=$A$1,1,0),IF(AH$4="休","",IF(COUNTIF(DATA!AI:AI,$A:$A)=0,"×","√")),""))</f>
        <v/>
      </c>
      <c r="AI27" s="34" t="str">
        <f ca="1">IF($A27="","",IF(IF(AI$2&lt;=$A$1,1,0),IF(AI$4="休","",IF(COUNTIF(DATA!AJ:AJ,$A:$A)=0,"×","√")),""))</f>
        <v/>
      </c>
      <c r="AJ27" s="34" t="str">
        <f ca="1">IF($A27="","",IF(IF(AJ$2&lt;=$A$1,1,0),IF(AJ$4="休","",IF(COUNTIF(DATA!AK:AK,$A:$A)=0,"×","√")),""))</f>
        <v/>
      </c>
      <c r="AK27" s="34" t="str">
        <f ca="1">IF($A27="","",IF(IF(AK$2&lt;=$A$1,1,0),IF(AK$4="休","",IF(COUNTIF(DATA!AL:AL,$A:$A)=0,"×","√")),""))</f>
        <v/>
      </c>
      <c r="AL27" s="34" t="str">
        <f ca="1">IF($A27="","",IF(IF(AL$2&lt;=$A$1,1,0),IF(AL$4="休","",IF(COUNTIF(DATA!AM:AM,$A:$A)=0,"×","√")),""))</f>
        <v/>
      </c>
      <c r="AM27" s="34" t="str">
        <f ca="1">IF($A27="","",IF(IF(AM$2&lt;=$A$1,1,0),IF(AM$4="休","",IF(COUNTIF(DATA!AN:AN,$A:$A)=0,"×","√")),""))</f>
        <v/>
      </c>
      <c r="AN27" s="34" t="str">
        <f ca="1">IF($A27="","",IF(IF(AN$2&lt;=$A$1,1,0),IF(AN$4="休","",IF(COUNTIF(DATA!AO:AO,$A:$A)=0,"×","√")),""))</f>
        <v/>
      </c>
      <c r="AO27" s="34" t="str">
        <f ca="1">IF($A27="","",IF(IF(AO$2&lt;=$A$1,1,0),IF(AO$4="休","",IF(COUNTIF(DATA!AP:AP,$A:$A)=0,"×","√")),""))</f>
        <v/>
      </c>
      <c r="AP27" s="34" t="str">
        <f ca="1">IF($A27="","",IF(IF(AP$2&lt;=$A$1,1,0),IF(AP$4="休","",IF(COUNTIF(DATA!AQ:AQ,$A:$A)=0,"×","√")),""))</f>
        <v/>
      </c>
      <c r="AQ27" s="34" t="str">
        <f ca="1">IF($A27="","",IF(IF(AQ$2&lt;=$A$1,1,0),IF(AQ$4="休","",IF(COUNTIF(DATA!AR:AR,$A:$A)=0,"×","√")),""))</f>
        <v/>
      </c>
      <c r="AR27" s="34" t="str">
        <f ca="1">IF($A27="","",IF(IF(AR$2&lt;=$A$1,1,0),IF(AR$4="休","",IF(COUNTIF(DATA!AS:AS,$A:$A)=0,"×","√")),""))</f>
        <v/>
      </c>
      <c r="AS27" s="34" t="str">
        <f ca="1">IF($A27="","",IF(IF(AS$2&lt;=$A$1,1,0),IF(AS$4="休","",IF(COUNTIF(DATA!AT:AT,$A:$A)=0,"×","√")),""))</f>
        <v/>
      </c>
      <c r="AT27" s="34" t="str">
        <f ca="1">IF($A27="","",IF(IF(AT$2&lt;=$A$1,1,0),IF(AT$4="休","",IF(COUNTIF(DATA!AU:AU,$A:$A)=0,"×","√")),""))</f>
        <v/>
      </c>
      <c r="AU27" s="34" t="str">
        <f ca="1">IF($A27="","",IF(IF(AU$2&lt;=$A$1,1,0),IF(AU$4="休","",IF(COUNTIF(DATA!AV:AV,$A:$A)=0,"×","√")),""))</f>
        <v/>
      </c>
      <c r="AV27" s="34" t="str">
        <f ca="1">IF($A27="","",IF(IF(AV$2&lt;=$A$1,1,0),IF(AV$4="休","",IF(COUNTIF(DATA!AW:AW,$A:$A)=0,"×","√")),""))</f>
        <v/>
      </c>
      <c r="AW27" s="34" t="str">
        <f ca="1">IF($A27="","",IF(IF(AW$2&lt;=$A$1,1,0),IF(AW$4="休","",IF(COUNTIF(DATA!AX:AX,$A:$A)=0,"×","√")),""))</f>
        <v/>
      </c>
      <c r="AX27" s="34" t="str">
        <f ca="1">IF($A27="","",IF(IF(AX$2&lt;=$A$1,1,0),IF(AX$4="休","",IF(COUNTIF(DATA!AY:AY,$A:$A)=0,"×","√")),""))</f>
        <v/>
      </c>
      <c r="AY27" s="34" t="str">
        <f ca="1">IF($A27="","",IF(IF(AY$2&lt;=$A$1,1,0),IF(AY$4="休","",IF(COUNTIF(DATA!AZ:AZ,$A:$A)=0,"×","√")),""))</f>
        <v/>
      </c>
      <c r="AZ27" s="34" t="str">
        <f ca="1">IF($A27="","",IF(IF(AZ$2&lt;=$A$1,1,0),IF(AZ$4="休","",IF(COUNTIF(DATA!BA:BA,$A:$A)=0,"×","√")),""))</f>
        <v/>
      </c>
      <c r="BA27" s="34" t="str">
        <f ca="1">IF($A27="","",IF(IF(BA$2&lt;=$A$1,1,0),IF(BA$4="休","",IF(COUNTIF(DATA!BB:BB,$A:$A)=0,"×","√")),""))</f>
        <v/>
      </c>
      <c r="BB27" s="34" t="str">
        <f ca="1">IF($A27="","",IF(IF(BB$2&lt;=$A$1,1,0),IF(BB$4="休","",IF(COUNTIF(DATA!BC:BC,$A:$A)=0,"×","√")),""))</f>
        <v/>
      </c>
      <c r="BC27" s="34" t="str">
        <f ca="1">IF($A27="","",IF(IF(BC$2&lt;=$A$1,1,0),IF(BC$4="休","",IF(COUNTIF(DATA!BD:BD,$A:$A)=0,"×","√")),""))</f>
        <v/>
      </c>
      <c r="BD27" s="34" t="str">
        <f ca="1">IF($A27="","",IF(IF(BD$2&lt;=$A$1,1,0),IF(BD$4="休","",IF(COUNTIF(DATA!BE:BE,$A:$A)=0,"×","√")),""))</f>
        <v/>
      </c>
      <c r="BE27" s="34" t="str">
        <f ca="1">IF($A27="","",IF(IF(BE$2&lt;=$A$1,1,0),IF(BE$4="休","",IF(COUNTIF(DATA!BF:BF,$A:$A)=0,"×","√")),""))</f>
        <v/>
      </c>
      <c r="BF27" s="34" t="str">
        <f ca="1">IF($A27="","",IF(IF(BF$2&lt;=$A$1,1,0),IF(BF$4="休","",IF(COUNTIF(DATA!BG:BG,$A:$A)=0,"×","√")),""))</f>
        <v/>
      </c>
      <c r="BG27" s="34" t="str">
        <f ca="1">IF($A27="","",IF(IF(BG$2&lt;=$A$1,1,0),IF(BG$4="休","",IF(COUNTIF(DATA!BH:BH,$A:$A)=0,"×","√")),""))</f>
        <v/>
      </c>
      <c r="BH27" s="34" t="str">
        <f ca="1">IF($A27="","",IF(IF(BH$2&lt;=$A$1,1,0),IF(BH$4="休","",IF(COUNTIF(DATA!BI:BI,$A:$A)=0,"×","√")),""))</f>
        <v/>
      </c>
      <c r="BI27" s="34" t="str">
        <f ca="1">IF($A27="","",IF(IF(BI$2&lt;=$A$1,1,0),IF(BI$4="休","",IF(COUNTIF(DATA!BJ:BJ,$A:$A)=0,"×","√")),""))</f>
        <v/>
      </c>
      <c r="BJ27" s="34" t="str">
        <f ca="1">IF($A27="","",IF(IF(BJ$2&lt;=$A$1,1,0),IF(BJ$4="休","",IF(COUNTIF(DATA!BK:BK,$A:$A)=0,"×","√")),""))</f>
        <v/>
      </c>
      <c r="BK27" s="34" t="str">
        <f ca="1">IF($A27="","",IF(IF(BK$2&lt;=$A$1,1,0),IF(BK$4="休","",IF(COUNTIF(DATA!BL:BL,$A:$A)=0,"×","√")),""))</f>
        <v/>
      </c>
      <c r="BL27" s="34" t="str">
        <f ca="1">IF($A27="","",IF(IF(BL$2&lt;=$A$1,1,0),IF(BL$4="休","",IF(COUNTIF(DATA!BM:BM,$A:$A)=0,"×","√")),""))</f>
        <v/>
      </c>
      <c r="BM27" s="34" t="str">
        <f ca="1">IF($A27="","",IF(IF(BM$2&lt;=$A$1,1,0),IF(BM$4="休","",IF(COUNTIF(DATA!BN:BN,$A:$A)=0,"×","√")),""))</f>
        <v/>
      </c>
      <c r="BN27" s="34" t="str">
        <f ca="1">IF($A27="","",IF(IF(BN$2&lt;=$A$1,1,0),IF(BN$4="休","",IF(COUNTIF(DATA!BO:BO,$A:$A)=0,"×","√")),""))</f>
        <v/>
      </c>
      <c r="BO27" s="34" t="str">
        <f ca="1">IF($A27="","",IF(IF(BO$2&lt;=$A$1,1,0),IF(BO$4="休","",IF(COUNTIF(DATA!BP:BP,$A:$A)=0,"×","√")),""))</f>
        <v/>
      </c>
      <c r="BP27" s="34" t="str">
        <f ca="1">IF($A27="","",IF(IF(BP$2&lt;=$A$1,1,0),IF(BP$4="休","",IF(COUNTIF(DATA!BQ:BQ,$A:$A)=0,"×","√")),""))</f>
        <v/>
      </c>
      <c r="BQ27" s="34" t="str">
        <f ca="1">IF($A27="","",IF(IF(BQ$2&lt;=$A$1,1,0),IF(BQ$4="休","",IF(COUNTIF(DATA!BR:BR,$A:$A)=0,"×","√")),""))</f>
        <v/>
      </c>
      <c r="BR27" s="34" t="str">
        <f ca="1">IF($A27="","",IF(IF(BR$2&lt;=$A$1,1,0),IF(BR$4="休","",IF(COUNTIF(DATA!BS:BS,$A:$A)=0,"×","√")),""))</f>
        <v/>
      </c>
      <c r="BS27" s="34" t="str">
        <f ca="1">IF($A27="","",IF(IF(BS$2&lt;=$A$1,1,0),IF(BS$4="休","",IF(COUNTIF(DATA!BT:BT,$A:$A)=0,"×","√")),""))</f>
        <v/>
      </c>
      <c r="BT27" s="34" t="str">
        <f ca="1">IF($A27="","",IF(IF(BT$2&lt;=$A$1,1,0),IF(BT$4="休","",IF(COUNTIF(DATA!BU:BU,$A:$A)=0,"×","√")),""))</f>
        <v/>
      </c>
      <c r="BU27" s="34" t="str">
        <f ca="1">IF($A27="","",IF(IF(BU$2&lt;=$A$1,1,0),IF(BU$4="休","",IF(COUNTIF(DATA!BV:BV,$A:$A)=0,"×","√")),""))</f>
        <v/>
      </c>
      <c r="BV27" s="34" t="str">
        <f ca="1">IF($A27="","",IF(IF(BV$2&lt;=$A$1,1,0),IF(BV$4="休","",IF(COUNTIF(DATA!BW:BW,$A:$A)=0,"×","√")),""))</f>
        <v/>
      </c>
      <c r="BW27" s="34" t="str">
        <f ca="1">IF($A27="","",IF(IF(BW$2&lt;=$A$1,1,0),IF(BW$4="休","",IF(COUNTIF(DATA!BX:BX,$A:$A)=0,"×","√")),""))</f>
        <v/>
      </c>
      <c r="BX27" s="34" t="str">
        <f ca="1">IF($A27="","",IF(IF(BX$2&lt;=$A$1,1,0),IF(BX$4="休","",IF(COUNTIF(DATA!BY:BY,$A:$A)=0,"×","√")),""))</f>
        <v/>
      </c>
      <c r="BY27" s="34" t="str">
        <f ca="1">IF($A27="","",IF(IF(BY$2&lt;=$A$1,1,0),IF(BY$4="休","",IF(COUNTIF(DATA!BZ:BZ,$A:$A)=0,"×","√")),""))</f>
        <v/>
      </c>
      <c r="BZ27" s="34" t="str">
        <f ca="1">IF($A27="","",IF(IF(BZ$2&lt;=$A$1,1,0),IF(BZ$4="休","",IF(COUNTIF(DATA!CA:CA,$A:$A)=0,"×","√")),""))</f>
        <v/>
      </c>
      <c r="CA27" s="34" t="str">
        <f ca="1">IF($A27="","",IF(IF(CA$2&lt;=$A$1,1,0),IF(CA$4="休","",IF(COUNTIF(DATA!CB:CB,$A:$A)=0,"×","√")),""))</f>
        <v/>
      </c>
      <c r="CB27" s="34" t="str">
        <f ca="1">IF($A27="","",IF(IF(CB$2&lt;=$A$1,1,0),IF(CB$4="休","",IF(COUNTIF(DATA!CC:CC,$A:$A)=0,"×","√")),""))</f>
        <v/>
      </c>
      <c r="CC27" s="34" t="str">
        <f ca="1">IF($A27="","",IF(IF(CC$2&lt;=$A$1,1,0),IF(CC$4="休","",IF(COUNTIF(DATA!CD:CD,$A:$A)=0,"×","√")),""))</f>
        <v/>
      </c>
      <c r="CD27" s="34" t="str">
        <f ca="1">IF($A27="","",IF(IF(CD$2&lt;=$A$1,1,0),IF(CD$4="休","",IF(COUNTIF(DATA!CE:CE,$A:$A)=0,"×","√")),""))</f>
        <v/>
      </c>
      <c r="CE27" s="34" t="str">
        <f ca="1">IF($A27="","",IF(IF(CE$2&lt;=$A$1,1,0),IF(CE$4="休","",IF(COUNTIF(DATA!CF:CF,$A:$A)=0,"×","√")),""))</f>
        <v/>
      </c>
      <c r="CF27" s="34" t="str">
        <f ca="1">IF($A27="","",IF(IF(CF$2&lt;=$A$1,1,0),IF(CF$4="休","",IF(COUNTIF(DATA!CG:CG,$A:$A)=0,"×","√")),""))</f>
        <v/>
      </c>
      <c r="CG27" s="34" t="str">
        <f ca="1">IF($A27="","",IF(IF(CG$2&lt;=$A$1,1,0),IF(CG$4="休","",IF(COUNTIF(DATA!CH:CH,$A:$A)=0,"×","√")),""))</f>
        <v/>
      </c>
      <c r="CH27" s="34" t="str">
        <f ca="1">IF($A27="","",IF(IF(CH$2&lt;=$A$1,1,0),IF(CH$4="休","",IF(COUNTIF(DATA!CI:CI,$A:$A)=0,"×","√")),""))</f>
        <v/>
      </c>
      <c r="CI27" s="34" t="str">
        <f ca="1">IF($A27="","",IF(IF(CI$2&lt;=$A$1,1,0),IF(CI$4="休","",IF(COUNTIF(DATA!CJ:CJ,$A:$A)=0,"×","√")),""))</f>
        <v/>
      </c>
      <c r="CJ27" s="34" t="str">
        <f ca="1">IF($A27="","",IF(IF(CJ$2&lt;=$A$1,1,0),IF(CJ$4="休","",IF(COUNTIF(DATA!CK:CK,$A:$A)=0,"×","√")),""))</f>
        <v/>
      </c>
      <c r="CK27" s="34" t="str">
        <f ca="1">IF($A27="","",IF(IF(CK$2&lt;=$A$1,1,0),IF(CK$4="休","",IF(COUNTIF(DATA!CL:CL,$A:$A)=0,"×","√")),""))</f>
        <v/>
      </c>
      <c r="CL27" s="34" t="str">
        <f ca="1">IF($A27="","",IF(IF(CL$2&lt;=$A$1,1,0),IF(CL$4="休","",IF(COUNTIF(DATA!CM:CM,$A:$A)=0,"×","√")),""))</f>
        <v/>
      </c>
      <c r="CM27" s="34" t="str">
        <f ca="1">IF($A27="","",IF(IF(CM$2&lt;=$A$1,1,0),IF(CM$4="休","",IF(COUNTIF(DATA!CN:CN,$A:$A)=0,"×","√")),""))</f>
        <v/>
      </c>
      <c r="CN27" s="34" t="str">
        <f ca="1">IF($A27="","",IF(IF(CN$2&lt;=$A$1,1,0),IF(CN$4="休","",IF(COUNTIF(DATA!CO:CO,$A:$A)=0,"×","√")),""))</f>
        <v/>
      </c>
      <c r="CO27" s="34" t="str">
        <f ca="1">IF($A27="","",IF(IF(CO$2&lt;=$A$1,1,0),IF(CO$4="休","",IF(COUNTIF(DATA!CP:CP,$A:$A)=0,"×","√")),""))</f>
        <v/>
      </c>
      <c r="CP27" s="34" t="str">
        <f ca="1">IF($A27="","",IF(IF(CP$2&lt;=$A$1,1,0),IF(CP$4="休","",IF(COUNTIF(DATA!CQ:CQ,$A:$A)=0,"×","√")),""))</f>
        <v/>
      </c>
      <c r="CQ27" s="34" t="str">
        <f ca="1">IF($A27="","",IF(IF(CQ$2&lt;=$A$1,1,0),IF(CQ$4="休","",IF(COUNTIF(DATA!CR:CR,$A:$A)=0,"×","√")),""))</f>
        <v/>
      </c>
      <c r="CR27" s="34" t="str">
        <f ca="1">IF($A27="","",IF(IF(CR$2&lt;=$A$1,1,0),IF(CR$4="休","",IF(COUNTIF(DATA!CS:CS,$A:$A)=0,"×","√")),""))</f>
        <v/>
      </c>
    </row>
    <row r="28" s="28" customFormat="1" ht="18.75" spans="1:96">
      <c r="A28" s="34" t="str">
        <f>DATA!$A27&amp;""</f>
        <v>柯常铝</v>
      </c>
      <c r="B28" s="34" t="str">
        <f ca="1">IF($A28="","",IF(IF(B$2&lt;=$A$1,1,0),IF(B$4="休","",IF(COUNTIF(DATA!C:C,$A:$A)=0,"×","√")),""))</f>
        <v>√</v>
      </c>
      <c r="C28" s="34" t="str">
        <f ca="1">IF($A28="","",IF(IF(C$2&lt;=$A$1,1,0),IF(C$4="休","",IF(COUNTIF(DATA!D:D,$A:$A)=0,"×","√")),""))</f>
        <v>√</v>
      </c>
      <c r="D28" s="34" t="str">
        <f ca="1">IF($A28="","",IF(IF(D$2&lt;=$A$1,1,0),IF(D$4="休","",IF(COUNTIF(DATA!E:E,$A:$A)=0,"×","√")),""))</f>
        <v>√</v>
      </c>
      <c r="E28" s="34" t="str">
        <f ca="1">IF($A28="","",IF(IF(E$2&lt;=$A$1,1,0),IF(E$4="休","",IF(COUNTIF(DATA!F:F,$A:$A)=0,"×","√")),""))</f>
        <v>√</v>
      </c>
      <c r="F28" s="34" t="str">
        <f ca="1">IF($A28="","",IF(IF(F$2&lt;=$A$1,1,0),IF(F$4="休","",IF(COUNTIF(DATA!G:G,$A:$A)=0,"×","√")),""))</f>
        <v>√</v>
      </c>
      <c r="G28" s="34" t="str">
        <f ca="1">IF($A28="","",IF(IF(G$2&lt;=$A$1,1,0),IF(G$4="休","",IF(COUNTIF(DATA!H:H,$A:$A)=0,"×","√")),""))</f>
        <v>√</v>
      </c>
      <c r="H28" s="34" t="str">
        <f ca="1">IF($A28="","",IF(IF(H$2&lt;=$A$1,1,0),IF(H$4="休","",IF(COUNTIF(DATA!I:I,$A:$A)=0,"×","√")),""))</f>
        <v>√</v>
      </c>
      <c r="I28" s="34" t="str">
        <f ca="1">IF($A28="","",IF(IF(I$2&lt;=$A$1,1,0),IF(I$4="休","",IF(COUNTIF(DATA!J:J,$A:$A)=0,"×","√")),""))</f>
        <v>√</v>
      </c>
      <c r="J28" s="34" t="str">
        <f ca="1">IF($A28="","",IF(IF(J$2&lt;=$A$1,1,0),IF(J$4="休","",IF(COUNTIF(DATA!K:K,$A:$A)=0,"×","√")),""))</f>
        <v>√</v>
      </c>
      <c r="K28" s="34" t="str">
        <f ca="1">IF($A28="","",IF(IF(K$2&lt;=$A$1,1,0),IF(K$4="休","",IF(COUNTIF(DATA!L:L,$A:$A)=0,"×","√")),""))</f>
        <v>√</v>
      </c>
      <c r="L28" s="34" t="str">
        <f ca="1">IF($A28="","",IF(IF(L$2&lt;=$A$1,1,0),IF(L$4="休","",IF(COUNTIF(DATA!M:M,$A:$A)=0,"×","√")),""))</f>
        <v>√</v>
      </c>
      <c r="M28" s="34" t="str">
        <f ca="1">IF($A28="","",IF(IF(M$2&lt;=$A$1,1,0),IF(M$4="休","",IF(COUNTIF(DATA!N:N,$A:$A)=0,"×","√")),""))</f>
        <v>√</v>
      </c>
      <c r="N28" s="34" t="str">
        <f ca="1">IF($A28="","",IF(IF(N$2&lt;=$A$1,1,0),IF(N$4="休","",IF(COUNTIF(DATA!O:O,$A:$A)=0,"×","√")),""))</f>
        <v>√</v>
      </c>
      <c r="O28" s="34" t="str">
        <f ca="1">IF($A28="","",IF(IF(O$2&lt;=$A$1,1,0),IF(O$4="休","",IF(COUNTIF(DATA!P:P,$A:$A)=0,"×","√")),""))</f>
        <v>×</v>
      </c>
      <c r="P28" s="34" t="str">
        <f ca="1">IF($A28="","",IF(IF(P$2&lt;=$A$1,1,0),IF(P$4="休","",IF(COUNTIF(DATA!Q:Q,$A:$A)=0,"×","√")),""))</f>
        <v/>
      </c>
      <c r="Q28" s="34" t="str">
        <f ca="1">IF($A28="","",IF(IF(Q$2&lt;=$A$1,1,0),IF(Q$4="休","",IF(COUNTIF(DATA!R:R,$A:$A)=0,"×","√")),""))</f>
        <v/>
      </c>
      <c r="R28" s="34" t="str">
        <f ca="1">IF($A28="","",IF(IF(R$2&lt;=$A$1,1,0),IF(R$4="休","",IF(COUNTIF(DATA!S:S,$A:$A)=0,"×","√")),""))</f>
        <v/>
      </c>
      <c r="S28" s="34" t="str">
        <f ca="1">IF($A28="","",IF(IF(S$2&lt;=$A$1,1,0),IF(S$4="休","",IF(COUNTIF(DATA!T:T,$A:$A)=0,"×","√")),""))</f>
        <v/>
      </c>
      <c r="T28" s="34" t="str">
        <f ca="1">IF($A28="","",IF(IF(T$2&lt;=$A$1,1,0),IF(T$4="休","",IF(COUNTIF(DATA!U:U,$A:$A)=0,"×","√")),""))</f>
        <v/>
      </c>
      <c r="U28" s="34" t="str">
        <f ca="1">IF($A28="","",IF(IF(U$2&lt;=$A$1,1,0),IF(U$4="休","",IF(COUNTIF(DATA!V:V,$A:$A)=0,"×","√")),""))</f>
        <v/>
      </c>
      <c r="V28" s="34" t="str">
        <f ca="1">IF($A28="","",IF(IF(V$2&lt;=$A$1,1,0),IF(V$4="休","",IF(COUNTIF(DATA!W:W,$A:$A)=0,"×","√")),""))</f>
        <v/>
      </c>
      <c r="W28" s="34" t="str">
        <f ca="1">IF($A28="","",IF(IF(W$2&lt;=$A$1,1,0),IF(W$4="休","",IF(COUNTIF(DATA!X:X,$A:$A)=0,"×","√")),""))</f>
        <v/>
      </c>
      <c r="X28" s="34" t="str">
        <f ca="1">IF($A28="","",IF(IF(X$2&lt;=$A$1,1,0),IF(X$4="休","",IF(COUNTIF(DATA!Y:Y,$A:$A)=0,"×","√")),""))</f>
        <v/>
      </c>
      <c r="Y28" s="34" t="str">
        <f ca="1">IF($A28="","",IF(IF(Y$2&lt;=$A$1,1,0),IF(Y$4="休","",IF(COUNTIF(DATA!Z:Z,$A:$A)=0,"×","√")),""))</f>
        <v/>
      </c>
      <c r="Z28" s="34" t="str">
        <f ca="1">IF($A28="","",IF(IF(Z$2&lt;=$A$1,1,0),IF(Z$4="休","",IF(COUNTIF(DATA!AA:AA,$A:$A)=0,"×","√")),""))</f>
        <v/>
      </c>
      <c r="AA28" s="34" t="str">
        <f ca="1">IF($A28="","",IF(IF(AA$2&lt;=$A$1,1,0),IF(AA$4="休","",IF(COUNTIF(DATA!AB:AB,$A:$A)=0,"×","√")),""))</f>
        <v/>
      </c>
      <c r="AB28" s="34" t="str">
        <f ca="1">IF($A28="","",IF(IF(AB$2&lt;=$A$1,1,0),IF(AB$4="休","",IF(COUNTIF(DATA!AC:AC,$A:$A)=0,"×","√")),""))</f>
        <v/>
      </c>
      <c r="AC28" s="34" t="str">
        <f ca="1">IF($A28="","",IF(IF(AC$2&lt;=$A$1,1,0),IF(AC$4="休","",IF(COUNTIF(DATA!AD:AD,$A:$A)=0,"×","√")),""))</f>
        <v/>
      </c>
      <c r="AD28" s="34" t="str">
        <f ca="1">IF($A28="","",IF(IF(AD$2&lt;=$A$1,1,0),IF(AD$4="休","",IF(COUNTIF(DATA!AE:AE,$A:$A)=0,"×","√")),""))</f>
        <v/>
      </c>
      <c r="AE28" s="34" t="str">
        <f ca="1">IF($A28="","",IF(IF(AE$2&lt;=$A$1,1,0),IF(AE$4="休","",IF(COUNTIF(DATA!AF:AF,$A:$A)=0,"×","√")),""))</f>
        <v/>
      </c>
      <c r="AF28" s="34" t="str">
        <f ca="1">IF($A28="","",IF(IF(AF$2&lt;=$A$1,1,0),IF(AF$4="休","",IF(COUNTIF(DATA!AG:AG,$A:$A)=0,"×","√")),""))</f>
        <v/>
      </c>
      <c r="AG28" s="34" t="str">
        <f ca="1">IF($A28="","",IF(IF(AG$2&lt;=$A$1,1,0),IF(AG$4="休","",IF(COUNTIF(DATA!AH:AH,$A:$A)=0,"×","√")),""))</f>
        <v/>
      </c>
      <c r="AH28" s="34" t="str">
        <f ca="1">IF($A28="","",IF(IF(AH$2&lt;=$A$1,1,0),IF(AH$4="休","",IF(COUNTIF(DATA!AI:AI,$A:$A)=0,"×","√")),""))</f>
        <v/>
      </c>
      <c r="AI28" s="34" t="str">
        <f ca="1">IF($A28="","",IF(IF(AI$2&lt;=$A$1,1,0),IF(AI$4="休","",IF(COUNTIF(DATA!AJ:AJ,$A:$A)=0,"×","√")),""))</f>
        <v/>
      </c>
      <c r="AJ28" s="34" t="str">
        <f ca="1">IF($A28="","",IF(IF(AJ$2&lt;=$A$1,1,0),IF(AJ$4="休","",IF(COUNTIF(DATA!AK:AK,$A:$A)=0,"×","√")),""))</f>
        <v/>
      </c>
      <c r="AK28" s="34" t="str">
        <f ca="1">IF($A28="","",IF(IF(AK$2&lt;=$A$1,1,0),IF(AK$4="休","",IF(COUNTIF(DATA!AL:AL,$A:$A)=0,"×","√")),""))</f>
        <v/>
      </c>
      <c r="AL28" s="34" t="str">
        <f ca="1">IF($A28="","",IF(IF(AL$2&lt;=$A$1,1,0),IF(AL$4="休","",IF(COUNTIF(DATA!AM:AM,$A:$A)=0,"×","√")),""))</f>
        <v/>
      </c>
      <c r="AM28" s="34" t="str">
        <f ca="1">IF($A28="","",IF(IF(AM$2&lt;=$A$1,1,0),IF(AM$4="休","",IF(COUNTIF(DATA!AN:AN,$A:$A)=0,"×","√")),""))</f>
        <v/>
      </c>
      <c r="AN28" s="34" t="str">
        <f ca="1">IF($A28="","",IF(IF(AN$2&lt;=$A$1,1,0),IF(AN$4="休","",IF(COUNTIF(DATA!AO:AO,$A:$A)=0,"×","√")),""))</f>
        <v/>
      </c>
      <c r="AO28" s="34" t="str">
        <f ca="1">IF($A28="","",IF(IF(AO$2&lt;=$A$1,1,0),IF(AO$4="休","",IF(COUNTIF(DATA!AP:AP,$A:$A)=0,"×","√")),""))</f>
        <v/>
      </c>
      <c r="AP28" s="34" t="str">
        <f ca="1">IF($A28="","",IF(IF(AP$2&lt;=$A$1,1,0),IF(AP$4="休","",IF(COUNTIF(DATA!AQ:AQ,$A:$A)=0,"×","√")),""))</f>
        <v/>
      </c>
      <c r="AQ28" s="34" t="str">
        <f ca="1">IF($A28="","",IF(IF(AQ$2&lt;=$A$1,1,0),IF(AQ$4="休","",IF(COUNTIF(DATA!AR:AR,$A:$A)=0,"×","√")),""))</f>
        <v/>
      </c>
      <c r="AR28" s="34" t="str">
        <f ca="1">IF($A28="","",IF(IF(AR$2&lt;=$A$1,1,0),IF(AR$4="休","",IF(COUNTIF(DATA!AS:AS,$A:$A)=0,"×","√")),""))</f>
        <v/>
      </c>
      <c r="AS28" s="34" t="str">
        <f ca="1">IF($A28="","",IF(IF(AS$2&lt;=$A$1,1,0),IF(AS$4="休","",IF(COUNTIF(DATA!AT:AT,$A:$A)=0,"×","√")),""))</f>
        <v/>
      </c>
      <c r="AT28" s="34" t="str">
        <f ca="1">IF($A28="","",IF(IF(AT$2&lt;=$A$1,1,0),IF(AT$4="休","",IF(COUNTIF(DATA!AU:AU,$A:$A)=0,"×","√")),""))</f>
        <v/>
      </c>
      <c r="AU28" s="34" t="str">
        <f ca="1">IF($A28="","",IF(IF(AU$2&lt;=$A$1,1,0),IF(AU$4="休","",IF(COUNTIF(DATA!AV:AV,$A:$A)=0,"×","√")),""))</f>
        <v/>
      </c>
      <c r="AV28" s="34" t="str">
        <f ca="1">IF($A28="","",IF(IF(AV$2&lt;=$A$1,1,0),IF(AV$4="休","",IF(COUNTIF(DATA!AW:AW,$A:$A)=0,"×","√")),""))</f>
        <v/>
      </c>
      <c r="AW28" s="34" t="str">
        <f ca="1">IF($A28="","",IF(IF(AW$2&lt;=$A$1,1,0),IF(AW$4="休","",IF(COUNTIF(DATA!AX:AX,$A:$A)=0,"×","√")),""))</f>
        <v/>
      </c>
      <c r="AX28" s="34" t="str">
        <f ca="1">IF($A28="","",IF(IF(AX$2&lt;=$A$1,1,0),IF(AX$4="休","",IF(COUNTIF(DATA!AY:AY,$A:$A)=0,"×","√")),""))</f>
        <v/>
      </c>
      <c r="AY28" s="34" t="str">
        <f ca="1">IF($A28="","",IF(IF(AY$2&lt;=$A$1,1,0),IF(AY$4="休","",IF(COUNTIF(DATA!AZ:AZ,$A:$A)=0,"×","√")),""))</f>
        <v/>
      </c>
      <c r="AZ28" s="34" t="str">
        <f ca="1">IF($A28="","",IF(IF(AZ$2&lt;=$A$1,1,0),IF(AZ$4="休","",IF(COUNTIF(DATA!BA:BA,$A:$A)=0,"×","√")),""))</f>
        <v/>
      </c>
      <c r="BA28" s="34" t="str">
        <f ca="1">IF($A28="","",IF(IF(BA$2&lt;=$A$1,1,0),IF(BA$4="休","",IF(COUNTIF(DATA!BB:BB,$A:$A)=0,"×","√")),""))</f>
        <v/>
      </c>
      <c r="BB28" s="34" t="str">
        <f ca="1">IF($A28="","",IF(IF(BB$2&lt;=$A$1,1,0),IF(BB$4="休","",IF(COUNTIF(DATA!BC:BC,$A:$A)=0,"×","√")),""))</f>
        <v/>
      </c>
      <c r="BC28" s="34" t="str">
        <f ca="1">IF($A28="","",IF(IF(BC$2&lt;=$A$1,1,0),IF(BC$4="休","",IF(COUNTIF(DATA!BD:BD,$A:$A)=0,"×","√")),""))</f>
        <v/>
      </c>
      <c r="BD28" s="34" t="str">
        <f ca="1">IF($A28="","",IF(IF(BD$2&lt;=$A$1,1,0),IF(BD$4="休","",IF(COUNTIF(DATA!BE:BE,$A:$A)=0,"×","√")),""))</f>
        <v/>
      </c>
      <c r="BE28" s="34" t="str">
        <f ca="1">IF($A28="","",IF(IF(BE$2&lt;=$A$1,1,0),IF(BE$4="休","",IF(COUNTIF(DATA!BF:BF,$A:$A)=0,"×","√")),""))</f>
        <v/>
      </c>
      <c r="BF28" s="34" t="str">
        <f ca="1">IF($A28="","",IF(IF(BF$2&lt;=$A$1,1,0),IF(BF$4="休","",IF(COUNTIF(DATA!BG:BG,$A:$A)=0,"×","√")),""))</f>
        <v/>
      </c>
      <c r="BG28" s="34" t="str">
        <f ca="1">IF($A28="","",IF(IF(BG$2&lt;=$A$1,1,0),IF(BG$4="休","",IF(COUNTIF(DATA!BH:BH,$A:$A)=0,"×","√")),""))</f>
        <v/>
      </c>
      <c r="BH28" s="34" t="str">
        <f ca="1">IF($A28="","",IF(IF(BH$2&lt;=$A$1,1,0),IF(BH$4="休","",IF(COUNTIF(DATA!BI:BI,$A:$A)=0,"×","√")),""))</f>
        <v/>
      </c>
      <c r="BI28" s="34" t="str">
        <f ca="1">IF($A28="","",IF(IF(BI$2&lt;=$A$1,1,0),IF(BI$4="休","",IF(COUNTIF(DATA!BJ:BJ,$A:$A)=0,"×","√")),""))</f>
        <v/>
      </c>
      <c r="BJ28" s="34" t="str">
        <f ca="1">IF($A28="","",IF(IF(BJ$2&lt;=$A$1,1,0),IF(BJ$4="休","",IF(COUNTIF(DATA!BK:BK,$A:$A)=0,"×","√")),""))</f>
        <v/>
      </c>
      <c r="BK28" s="34" t="str">
        <f ca="1">IF($A28="","",IF(IF(BK$2&lt;=$A$1,1,0),IF(BK$4="休","",IF(COUNTIF(DATA!BL:BL,$A:$A)=0,"×","√")),""))</f>
        <v/>
      </c>
      <c r="BL28" s="34" t="str">
        <f ca="1">IF($A28="","",IF(IF(BL$2&lt;=$A$1,1,0),IF(BL$4="休","",IF(COUNTIF(DATA!BM:BM,$A:$A)=0,"×","√")),""))</f>
        <v/>
      </c>
      <c r="BM28" s="34" t="str">
        <f ca="1">IF($A28="","",IF(IF(BM$2&lt;=$A$1,1,0),IF(BM$4="休","",IF(COUNTIF(DATA!BN:BN,$A:$A)=0,"×","√")),""))</f>
        <v/>
      </c>
      <c r="BN28" s="34" t="str">
        <f ca="1">IF($A28="","",IF(IF(BN$2&lt;=$A$1,1,0),IF(BN$4="休","",IF(COUNTIF(DATA!BO:BO,$A:$A)=0,"×","√")),""))</f>
        <v/>
      </c>
      <c r="BO28" s="34" t="str">
        <f ca="1">IF($A28="","",IF(IF(BO$2&lt;=$A$1,1,0),IF(BO$4="休","",IF(COUNTIF(DATA!BP:BP,$A:$A)=0,"×","√")),""))</f>
        <v/>
      </c>
      <c r="BP28" s="34" t="str">
        <f ca="1">IF($A28="","",IF(IF(BP$2&lt;=$A$1,1,0),IF(BP$4="休","",IF(COUNTIF(DATA!BQ:BQ,$A:$A)=0,"×","√")),""))</f>
        <v/>
      </c>
      <c r="BQ28" s="34" t="str">
        <f ca="1">IF($A28="","",IF(IF(BQ$2&lt;=$A$1,1,0),IF(BQ$4="休","",IF(COUNTIF(DATA!BR:BR,$A:$A)=0,"×","√")),""))</f>
        <v/>
      </c>
      <c r="BR28" s="34" t="str">
        <f ca="1">IF($A28="","",IF(IF(BR$2&lt;=$A$1,1,0),IF(BR$4="休","",IF(COUNTIF(DATA!BS:BS,$A:$A)=0,"×","√")),""))</f>
        <v/>
      </c>
      <c r="BS28" s="34" t="str">
        <f ca="1">IF($A28="","",IF(IF(BS$2&lt;=$A$1,1,0),IF(BS$4="休","",IF(COUNTIF(DATA!BT:BT,$A:$A)=0,"×","√")),""))</f>
        <v/>
      </c>
      <c r="BT28" s="34" t="str">
        <f ca="1">IF($A28="","",IF(IF(BT$2&lt;=$A$1,1,0),IF(BT$4="休","",IF(COUNTIF(DATA!BU:BU,$A:$A)=0,"×","√")),""))</f>
        <v/>
      </c>
      <c r="BU28" s="34" t="str">
        <f ca="1">IF($A28="","",IF(IF(BU$2&lt;=$A$1,1,0),IF(BU$4="休","",IF(COUNTIF(DATA!BV:BV,$A:$A)=0,"×","√")),""))</f>
        <v/>
      </c>
      <c r="BV28" s="34" t="str">
        <f ca="1">IF($A28="","",IF(IF(BV$2&lt;=$A$1,1,0),IF(BV$4="休","",IF(COUNTIF(DATA!BW:BW,$A:$A)=0,"×","√")),""))</f>
        <v/>
      </c>
      <c r="BW28" s="34" t="str">
        <f ca="1">IF($A28="","",IF(IF(BW$2&lt;=$A$1,1,0),IF(BW$4="休","",IF(COUNTIF(DATA!BX:BX,$A:$A)=0,"×","√")),""))</f>
        <v/>
      </c>
      <c r="BX28" s="34" t="str">
        <f ca="1">IF($A28="","",IF(IF(BX$2&lt;=$A$1,1,0),IF(BX$4="休","",IF(COUNTIF(DATA!BY:BY,$A:$A)=0,"×","√")),""))</f>
        <v/>
      </c>
      <c r="BY28" s="34" t="str">
        <f ca="1">IF($A28="","",IF(IF(BY$2&lt;=$A$1,1,0),IF(BY$4="休","",IF(COUNTIF(DATA!BZ:BZ,$A:$A)=0,"×","√")),""))</f>
        <v/>
      </c>
      <c r="BZ28" s="34" t="str">
        <f ca="1">IF($A28="","",IF(IF(BZ$2&lt;=$A$1,1,0),IF(BZ$4="休","",IF(COUNTIF(DATA!CA:CA,$A:$A)=0,"×","√")),""))</f>
        <v/>
      </c>
      <c r="CA28" s="34" t="str">
        <f ca="1">IF($A28="","",IF(IF(CA$2&lt;=$A$1,1,0),IF(CA$4="休","",IF(COUNTIF(DATA!CB:CB,$A:$A)=0,"×","√")),""))</f>
        <v/>
      </c>
      <c r="CB28" s="34" t="str">
        <f ca="1">IF($A28="","",IF(IF(CB$2&lt;=$A$1,1,0),IF(CB$4="休","",IF(COUNTIF(DATA!CC:CC,$A:$A)=0,"×","√")),""))</f>
        <v/>
      </c>
      <c r="CC28" s="34" t="str">
        <f ca="1">IF($A28="","",IF(IF(CC$2&lt;=$A$1,1,0),IF(CC$4="休","",IF(COUNTIF(DATA!CD:CD,$A:$A)=0,"×","√")),""))</f>
        <v/>
      </c>
      <c r="CD28" s="34" t="str">
        <f ca="1">IF($A28="","",IF(IF(CD$2&lt;=$A$1,1,0),IF(CD$4="休","",IF(COUNTIF(DATA!CE:CE,$A:$A)=0,"×","√")),""))</f>
        <v/>
      </c>
      <c r="CE28" s="34" t="str">
        <f ca="1">IF($A28="","",IF(IF(CE$2&lt;=$A$1,1,0),IF(CE$4="休","",IF(COUNTIF(DATA!CF:CF,$A:$A)=0,"×","√")),""))</f>
        <v/>
      </c>
      <c r="CF28" s="34" t="str">
        <f ca="1">IF($A28="","",IF(IF(CF$2&lt;=$A$1,1,0),IF(CF$4="休","",IF(COUNTIF(DATA!CG:CG,$A:$A)=0,"×","√")),""))</f>
        <v/>
      </c>
      <c r="CG28" s="34" t="str">
        <f ca="1">IF($A28="","",IF(IF(CG$2&lt;=$A$1,1,0),IF(CG$4="休","",IF(COUNTIF(DATA!CH:CH,$A:$A)=0,"×","√")),""))</f>
        <v/>
      </c>
      <c r="CH28" s="34" t="str">
        <f ca="1">IF($A28="","",IF(IF(CH$2&lt;=$A$1,1,0),IF(CH$4="休","",IF(COUNTIF(DATA!CI:CI,$A:$A)=0,"×","√")),""))</f>
        <v/>
      </c>
      <c r="CI28" s="34" t="str">
        <f ca="1">IF($A28="","",IF(IF(CI$2&lt;=$A$1,1,0),IF(CI$4="休","",IF(COUNTIF(DATA!CJ:CJ,$A:$A)=0,"×","√")),""))</f>
        <v/>
      </c>
      <c r="CJ28" s="34" t="str">
        <f ca="1">IF($A28="","",IF(IF(CJ$2&lt;=$A$1,1,0),IF(CJ$4="休","",IF(COUNTIF(DATA!CK:CK,$A:$A)=0,"×","√")),""))</f>
        <v/>
      </c>
      <c r="CK28" s="34" t="str">
        <f ca="1">IF($A28="","",IF(IF(CK$2&lt;=$A$1,1,0),IF(CK$4="休","",IF(COUNTIF(DATA!CL:CL,$A:$A)=0,"×","√")),""))</f>
        <v/>
      </c>
      <c r="CL28" s="34" t="str">
        <f ca="1">IF($A28="","",IF(IF(CL$2&lt;=$A$1,1,0),IF(CL$4="休","",IF(COUNTIF(DATA!CM:CM,$A:$A)=0,"×","√")),""))</f>
        <v/>
      </c>
      <c r="CM28" s="34" t="str">
        <f ca="1">IF($A28="","",IF(IF(CM$2&lt;=$A$1,1,0),IF(CM$4="休","",IF(COUNTIF(DATA!CN:CN,$A:$A)=0,"×","√")),""))</f>
        <v/>
      </c>
      <c r="CN28" s="34" t="str">
        <f ca="1">IF($A28="","",IF(IF(CN$2&lt;=$A$1,1,0),IF(CN$4="休","",IF(COUNTIF(DATA!CO:CO,$A:$A)=0,"×","√")),""))</f>
        <v/>
      </c>
      <c r="CO28" s="34" t="str">
        <f ca="1">IF($A28="","",IF(IF(CO$2&lt;=$A$1,1,0),IF(CO$4="休","",IF(COUNTIF(DATA!CP:CP,$A:$A)=0,"×","√")),""))</f>
        <v/>
      </c>
      <c r="CP28" s="34" t="str">
        <f ca="1">IF($A28="","",IF(IF(CP$2&lt;=$A$1,1,0),IF(CP$4="休","",IF(COUNTIF(DATA!CQ:CQ,$A:$A)=0,"×","√")),""))</f>
        <v/>
      </c>
      <c r="CQ28" s="34" t="str">
        <f ca="1">IF($A28="","",IF(IF(CQ$2&lt;=$A$1,1,0),IF(CQ$4="休","",IF(COUNTIF(DATA!CR:CR,$A:$A)=0,"×","√")),""))</f>
        <v/>
      </c>
      <c r="CR28" s="34" t="str">
        <f ca="1">IF($A28="","",IF(IF(CR$2&lt;=$A$1,1,0),IF(CR$4="休","",IF(COUNTIF(DATA!CS:CS,$A:$A)=0,"×","√")),""))</f>
        <v/>
      </c>
    </row>
    <row r="29" s="28" customFormat="1" ht="18.75" spans="1:96">
      <c r="A29" s="34" t="str">
        <f>DATA!$A28&amp;""</f>
        <v>余良成</v>
      </c>
      <c r="B29" s="34" t="str">
        <f ca="1">IF($A29="","",IF(IF(B$2&lt;=$A$1,1,0),IF(B$4="休","",IF(COUNTIF(DATA!C:C,$A:$A)=0,"×","√")),""))</f>
        <v>√</v>
      </c>
      <c r="C29" s="34" t="str">
        <f ca="1">IF($A29="","",IF(IF(C$2&lt;=$A$1,1,0),IF(C$4="休","",IF(COUNTIF(DATA!D:D,$A:$A)=0,"×","√")),""))</f>
        <v>√</v>
      </c>
      <c r="D29" s="34" t="str">
        <f ca="1">IF($A29="","",IF(IF(D$2&lt;=$A$1,1,0),IF(D$4="休","",IF(COUNTIF(DATA!E:E,$A:$A)=0,"×","√")),""))</f>
        <v>√</v>
      </c>
      <c r="E29" s="34" t="str">
        <f ca="1">IF($A29="","",IF(IF(E$2&lt;=$A$1,1,0),IF(E$4="休","",IF(COUNTIF(DATA!F:F,$A:$A)=0,"×","√")),""))</f>
        <v>√</v>
      </c>
      <c r="F29" s="34" t="str">
        <f ca="1">IF($A29="","",IF(IF(F$2&lt;=$A$1,1,0),IF(F$4="休","",IF(COUNTIF(DATA!G:G,$A:$A)=0,"×","√")),""))</f>
        <v>√</v>
      </c>
      <c r="G29" s="34" t="str">
        <f ca="1">IF($A29="","",IF(IF(G$2&lt;=$A$1,1,0),IF(G$4="休","",IF(COUNTIF(DATA!H:H,$A:$A)=0,"×","√")),""))</f>
        <v>√</v>
      </c>
      <c r="H29" s="34" t="str">
        <f ca="1">IF($A29="","",IF(IF(H$2&lt;=$A$1,1,0),IF(H$4="休","",IF(COUNTIF(DATA!I:I,$A:$A)=0,"×","√")),""))</f>
        <v>√</v>
      </c>
      <c r="I29" s="34" t="str">
        <f ca="1">IF($A29="","",IF(IF(I$2&lt;=$A$1,1,0),IF(I$4="休","",IF(COUNTIF(DATA!J:J,$A:$A)=0,"×","√")),""))</f>
        <v>√</v>
      </c>
      <c r="J29" s="34" t="str">
        <f ca="1">IF($A29="","",IF(IF(J$2&lt;=$A$1,1,0),IF(J$4="休","",IF(COUNTIF(DATA!K:K,$A:$A)=0,"×","√")),""))</f>
        <v>√</v>
      </c>
      <c r="K29" s="34" t="str">
        <f ca="1">IF($A29="","",IF(IF(K$2&lt;=$A$1,1,0),IF(K$4="休","",IF(COUNTIF(DATA!L:L,$A:$A)=0,"×","√")),""))</f>
        <v>√</v>
      </c>
      <c r="L29" s="34" t="str">
        <f ca="1">IF($A29="","",IF(IF(L$2&lt;=$A$1,1,0),IF(L$4="休","",IF(COUNTIF(DATA!M:M,$A:$A)=0,"×","√")),""))</f>
        <v>√</v>
      </c>
      <c r="M29" s="34" t="str">
        <f ca="1">IF($A29="","",IF(IF(M$2&lt;=$A$1,1,0),IF(M$4="休","",IF(COUNTIF(DATA!N:N,$A:$A)=0,"×","√")),""))</f>
        <v>√</v>
      </c>
      <c r="N29" s="34" t="str">
        <f ca="1">IF($A29="","",IF(IF(N$2&lt;=$A$1,1,0),IF(N$4="休","",IF(COUNTIF(DATA!O:O,$A:$A)=0,"×","√")),""))</f>
        <v>√</v>
      </c>
      <c r="O29" s="34" t="str">
        <f ca="1">IF($A29="","",IF(IF(O$2&lt;=$A$1,1,0),IF(O$4="休","",IF(COUNTIF(DATA!P:P,$A:$A)=0,"×","√")),""))</f>
        <v>×</v>
      </c>
      <c r="P29" s="34" t="str">
        <f ca="1">IF($A29="","",IF(IF(P$2&lt;=$A$1,1,0),IF(P$4="休","",IF(COUNTIF(DATA!Q:Q,$A:$A)=0,"×","√")),""))</f>
        <v/>
      </c>
      <c r="Q29" s="34" t="str">
        <f ca="1">IF($A29="","",IF(IF(Q$2&lt;=$A$1,1,0),IF(Q$4="休","",IF(COUNTIF(DATA!R:R,$A:$A)=0,"×","√")),""))</f>
        <v/>
      </c>
      <c r="R29" s="34" t="str">
        <f ca="1">IF($A29="","",IF(IF(R$2&lt;=$A$1,1,0),IF(R$4="休","",IF(COUNTIF(DATA!S:S,$A:$A)=0,"×","√")),""))</f>
        <v/>
      </c>
      <c r="S29" s="34" t="str">
        <f ca="1">IF($A29="","",IF(IF(S$2&lt;=$A$1,1,0),IF(S$4="休","",IF(COUNTIF(DATA!T:T,$A:$A)=0,"×","√")),""))</f>
        <v/>
      </c>
      <c r="T29" s="34" t="str">
        <f ca="1">IF($A29="","",IF(IF(T$2&lt;=$A$1,1,0),IF(T$4="休","",IF(COUNTIF(DATA!U:U,$A:$A)=0,"×","√")),""))</f>
        <v/>
      </c>
      <c r="U29" s="34" t="str">
        <f ca="1">IF($A29="","",IF(IF(U$2&lt;=$A$1,1,0),IF(U$4="休","",IF(COUNTIF(DATA!V:V,$A:$A)=0,"×","√")),""))</f>
        <v/>
      </c>
      <c r="V29" s="34" t="str">
        <f ca="1">IF($A29="","",IF(IF(V$2&lt;=$A$1,1,0),IF(V$4="休","",IF(COUNTIF(DATA!W:W,$A:$A)=0,"×","√")),""))</f>
        <v/>
      </c>
      <c r="W29" s="34" t="str">
        <f ca="1">IF($A29="","",IF(IF(W$2&lt;=$A$1,1,0),IF(W$4="休","",IF(COUNTIF(DATA!X:X,$A:$A)=0,"×","√")),""))</f>
        <v/>
      </c>
      <c r="X29" s="34" t="str">
        <f ca="1">IF($A29="","",IF(IF(X$2&lt;=$A$1,1,0),IF(X$4="休","",IF(COUNTIF(DATA!Y:Y,$A:$A)=0,"×","√")),""))</f>
        <v/>
      </c>
      <c r="Y29" s="34" t="str">
        <f ca="1">IF($A29="","",IF(IF(Y$2&lt;=$A$1,1,0),IF(Y$4="休","",IF(COUNTIF(DATA!Z:Z,$A:$A)=0,"×","√")),""))</f>
        <v/>
      </c>
      <c r="Z29" s="34" t="str">
        <f ca="1">IF($A29="","",IF(IF(Z$2&lt;=$A$1,1,0),IF(Z$4="休","",IF(COUNTIF(DATA!AA:AA,$A:$A)=0,"×","√")),""))</f>
        <v/>
      </c>
      <c r="AA29" s="34" t="str">
        <f ca="1">IF($A29="","",IF(IF(AA$2&lt;=$A$1,1,0),IF(AA$4="休","",IF(COUNTIF(DATA!AB:AB,$A:$A)=0,"×","√")),""))</f>
        <v/>
      </c>
      <c r="AB29" s="34" t="str">
        <f ca="1">IF($A29="","",IF(IF(AB$2&lt;=$A$1,1,0),IF(AB$4="休","",IF(COUNTIF(DATA!AC:AC,$A:$A)=0,"×","√")),""))</f>
        <v/>
      </c>
      <c r="AC29" s="34" t="str">
        <f ca="1">IF($A29="","",IF(IF(AC$2&lt;=$A$1,1,0),IF(AC$4="休","",IF(COUNTIF(DATA!AD:AD,$A:$A)=0,"×","√")),""))</f>
        <v/>
      </c>
      <c r="AD29" s="34" t="str">
        <f ca="1">IF($A29="","",IF(IF(AD$2&lt;=$A$1,1,0),IF(AD$4="休","",IF(COUNTIF(DATA!AE:AE,$A:$A)=0,"×","√")),""))</f>
        <v/>
      </c>
      <c r="AE29" s="34" t="str">
        <f ca="1">IF($A29="","",IF(IF(AE$2&lt;=$A$1,1,0),IF(AE$4="休","",IF(COUNTIF(DATA!AF:AF,$A:$A)=0,"×","√")),""))</f>
        <v/>
      </c>
      <c r="AF29" s="34" t="str">
        <f ca="1">IF($A29="","",IF(IF(AF$2&lt;=$A$1,1,0),IF(AF$4="休","",IF(COUNTIF(DATA!AG:AG,$A:$A)=0,"×","√")),""))</f>
        <v/>
      </c>
      <c r="AG29" s="34" t="str">
        <f ca="1">IF($A29="","",IF(IF(AG$2&lt;=$A$1,1,0),IF(AG$4="休","",IF(COUNTIF(DATA!AH:AH,$A:$A)=0,"×","√")),""))</f>
        <v/>
      </c>
      <c r="AH29" s="34" t="str">
        <f ca="1">IF($A29="","",IF(IF(AH$2&lt;=$A$1,1,0),IF(AH$4="休","",IF(COUNTIF(DATA!AI:AI,$A:$A)=0,"×","√")),""))</f>
        <v/>
      </c>
      <c r="AI29" s="34" t="str">
        <f ca="1">IF($A29="","",IF(IF(AI$2&lt;=$A$1,1,0),IF(AI$4="休","",IF(COUNTIF(DATA!AJ:AJ,$A:$A)=0,"×","√")),""))</f>
        <v/>
      </c>
      <c r="AJ29" s="34" t="str">
        <f ca="1">IF($A29="","",IF(IF(AJ$2&lt;=$A$1,1,0),IF(AJ$4="休","",IF(COUNTIF(DATA!AK:AK,$A:$A)=0,"×","√")),""))</f>
        <v/>
      </c>
      <c r="AK29" s="34" t="str">
        <f ca="1">IF($A29="","",IF(IF(AK$2&lt;=$A$1,1,0),IF(AK$4="休","",IF(COUNTIF(DATA!AL:AL,$A:$A)=0,"×","√")),""))</f>
        <v/>
      </c>
      <c r="AL29" s="34" t="str">
        <f ca="1">IF($A29="","",IF(IF(AL$2&lt;=$A$1,1,0),IF(AL$4="休","",IF(COUNTIF(DATA!AM:AM,$A:$A)=0,"×","√")),""))</f>
        <v/>
      </c>
      <c r="AM29" s="34" t="str">
        <f ca="1">IF($A29="","",IF(IF(AM$2&lt;=$A$1,1,0),IF(AM$4="休","",IF(COUNTIF(DATA!AN:AN,$A:$A)=0,"×","√")),""))</f>
        <v/>
      </c>
      <c r="AN29" s="34" t="str">
        <f ca="1">IF($A29="","",IF(IF(AN$2&lt;=$A$1,1,0),IF(AN$4="休","",IF(COUNTIF(DATA!AO:AO,$A:$A)=0,"×","√")),""))</f>
        <v/>
      </c>
      <c r="AO29" s="34" t="str">
        <f ca="1">IF($A29="","",IF(IF(AO$2&lt;=$A$1,1,0),IF(AO$4="休","",IF(COUNTIF(DATA!AP:AP,$A:$A)=0,"×","√")),""))</f>
        <v/>
      </c>
      <c r="AP29" s="34" t="str">
        <f ca="1">IF($A29="","",IF(IF(AP$2&lt;=$A$1,1,0),IF(AP$4="休","",IF(COUNTIF(DATA!AQ:AQ,$A:$A)=0,"×","√")),""))</f>
        <v/>
      </c>
      <c r="AQ29" s="34" t="str">
        <f ca="1">IF($A29="","",IF(IF(AQ$2&lt;=$A$1,1,0),IF(AQ$4="休","",IF(COUNTIF(DATA!AR:AR,$A:$A)=0,"×","√")),""))</f>
        <v/>
      </c>
      <c r="AR29" s="34" t="str">
        <f ca="1">IF($A29="","",IF(IF(AR$2&lt;=$A$1,1,0),IF(AR$4="休","",IF(COUNTIF(DATA!AS:AS,$A:$A)=0,"×","√")),""))</f>
        <v/>
      </c>
      <c r="AS29" s="34" t="str">
        <f ca="1">IF($A29="","",IF(IF(AS$2&lt;=$A$1,1,0),IF(AS$4="休","",IF(COUNTIF(DATA!AT:AT,$A:$A)=0,"×","√")),""))</f>
        <v/>
      </c>
      <c r="AT29" s="34" t="str">
        <f ca="1">IF($A29="","",IF(IF(AT$2&lt;=$A$1,1,0),IF(AT$4="休","",IF(COUNTIF(DATA!AU:AU,$A:$A)=0,"×","√")),""))</f>
        <v/>
      </c>
      <c r="AU29" s="34" t="str">
        <f ca="1">IF($A29="","",IF(IF(AU$2&lt;=$A$1,1,0),IF(AU$4="休","",IF(COUNTIF(DATA!AV:AV,$A:$A)=0,"×","√")),""))</f>
        <v/>
      </c>
      <c r="AV29" s="34" t="str">
        <f ca="1">IF($A29="","",IF(IF(AV$2&lt;=$A$1,1,0),IF(AV$4="休","",IF(COUNTIF(DATA!AW:AW,$A:$A)=0,"×","√")),""))</f>
        <v/>
      </c>
      <c r="AW29" s="34" t="str">
        <f ca="1">IF($A29="","",IF(IF(AW$2&lt;=$A$1,1,0),IF(AW$4="休","",IF(COUNTIF(DATA!AX:AX,$A:$A)=0,"×","√")),""))</f>
        <v/>
      </c>
      <c r="AX29" s="34" t="str">
        <f ca="1">IF($A29="","",IF(IF(AX$2&lt;=$A$1,1,0),IF(AX$4="休","",IF(COUNTIF(DATA!AY:AY,$A:$A)=0,"×","√")),""))</f>
        <v/>
      </c>
      <c r="AY29" s="34" t="str">
        <f ca="1">IF($A29="","",IF(IF(AY$2&lt;=$A$1,1,0),IF(AY$4="休","",IF(COUNTIF(DATA!AZ:AZ,$A:$A)=0,"×","√")),""))</f>
        <v/>
      </c>
      <c r="AZ29" s="34" t="str">
        <f ca="1">IF($A29="","",IF(IF(AZ$2&lt;=$A$1,1,0),IF(AZ$4="休","",IF(COUNTIF(DATA!BA:BA,$A:$A)=0,"×","√")),""))</f>
        <v/>
      </c>
      <c r="BA29" s="34" t="str">
        <f ca="1">IF($A29="","",IF(IF(BA$2&lt;=$A$1,1,0),IF(BA$4="休","",IF(COUNTIF(DATA!BB:BB,$A:$A)=0,"×","√")),""))</f>
        <v/>
      </c>
      <c r="BB29" s="34" t="str">
        <f ca="1">IF($A29="","",IF(IF(BB$2&lt;=$A$1,1,0),IF(BB$4="休","",IF(COUNTIF(DATA!BC:BC,$A:$A)=0,"×","√")),""))</f>
        <v/>
      </c>
      <c r="BC29" s="34" t="str">
        <f ca="1">IF($A29="","",IF(IF(BC$2&lt;=$A$1,1,0),IF(BC$4="休","",IF(COUNTIF(DATA!BD:BD,$A:$A)=0,"×","√")),""))</f>
        <v/>
      </c>
      <c r="BD29" s="34" t="str">
        <f ca="1">IF($A29="","",IF(IF(BD$2&lt;=$A$1,1,0),IF(BD$4="休","",IF(COUNTIF(DATA!BE:BE,$A:$A)=0,"×","√")),""))</f>
        <v/>
      </c>
      <c r="BE29" s="34" t="str">
        <f ca="1">IF($A29="","",IF(IF(BE$2&lt;=$A$1,1,0),IF(BE$4="休","",IF(COUNTIF(DATA!BF:BF,$A:$A)=0,"×","√")),""))</f>
        <v/>
      </c>
      <c r="BF29" s="34" t="str">
        <f ca="1">IF($A29="","",IF(IF(BF$2&lt;=$A$1,1,0),IF(BF$4="休","",IF(COUNTIF(DATA!BG:BG,$A:$A)=0,"×","√")),""))</f>
        <v/>
      </c>
      <c r="BG29" s="34" t="str">
        <f ca="1">IF($A29="","",IF(IF(BG$2&lt;=$A$1,1,0),IF(BG$4="休","",IF(COUNTIF(DATA!BH:BH,$A:$A)=0,"×","√")),""))</f>
        <v/>
      </c>
      <c r="BH29" s="34" t="str">
        <f ca="1">IF($A29="","",IF(IF(BH$2&lt;=$A$1,1,0),IF(BH$4="休","",IF(COUNTIF(DATA!BI:BI,$A:$A)=0,"×","√")),""))</f>
        <v/>
      </c>
      <c r="BI29" s="34" t="str">
        <f ca="1">IF($A29="","",IF(IF(BI$2&lt;=$A$1,1,0),IF(BI$4="休","",IF(COUNTIF(DATA!BJ:BJ,$A:$A)=0,"×","√")),""))</f>
        <v/>
      </c>
      <c r="BJ29" s="34" t="str">
        <f ca="1">IF($A29="","",IF(IF(BJ$2&lt;=$A$1,1,0),IF(BJ$4="休","",IF(COUNTIF(DATA!BK:BK,$A:$A)=0,"×","√")),""))</f>
        <v/>
      </c>
      <c r="BK29" s="34" t="str">
        <f ca="1">IF($A29="","",IF(IF(BK$2&lt;=$A$1,1,0),IF(BK$4="休","",IF(COUNTIF(DATA!BL:BL,$A:$A)=0,"×","√")),""))</f>
        <v/>
      </c>
      <c r="BL29" s="34" t="str">
        <f ca="1">IF($A29="","",IF(IF(BL$2&lt;=$A$1,1,0),IF(BL$4="休","",IF(COUNTIF(DATA!BM:BM,$A:$A)=0,"×","√")),""))</f>
        <v/>
      </c>
      <c r="BM29" s="34" t="str">
        <f ca="1">IF($A29="","",IF(IF(BM$2&lt;=$A$1,1,0),IF(BM$4="休","",IF(COUNTIF(DATA!BN:BN,$A:$A)=0,"×","√")),""))</f>
        <v/>
      </c>
      <c r="BN29" s="34" t="str">
        <f ca="1">IF($A29="","",IF(IF(BN$2&lt;=$A$1,1,0),IF(BN$4="休","",IF(COUNTIF(DATA!BO:BO,$A:$A)=0,"×","√")),""))</f>
        <v/>
      </c>
      <c r="BO29" s="34" t="str">
        <f ca="1">IF($A29="","",IF(IF(BO$2&lt;=$A$1,1,0),IF(BO$4="休","",IF(COUNTIF(DATA!BP:BP,$A:$A)=0,"×","√")),""))</f>
        <v/>
      </c>
      <c r="BP29" s="34" t="str">
        <f ca="1">IF($A29="","",IF(IF(BP$2&lt;=$A$1,1,0),IF(BP$4="休","",IF(COUNTIF(DATA!BQ:BQ,$A:$A)=0,"×","√")),""))</f>
        <v/>
      </c>
      <c r="BQ29" s="34" t="str">
        <f ca="1">IF($A29="","",IF(IF(BQ$2&lt;=$A$1,1,0),IF(BQ$4="休","",IF(COUNTIF(DATA!BR:BR,$A:$A)=0,"×","√")),""))</f>
        <v/>
      </c>
      <c r="BR29" s="34" t="str">
        <f ca="1">IF($A29="","",IF(IF(BR$2&lt;=$A$1,1,0),IF(BR$4="休","",IF(COUNTIF(DATA!BS:BS,$A:$A)=0,"×","√")),""))</f>
        <v/>
      </c>
      <c r="BS29" s="34" t="str">
        <f ca="1">IF($A29="","",IF(IF(BS$2&lt;=$A$1,1,0),IF(BS$4="休","",IF(COUNTIF(DATA!BT:BT,$A:$A)=0,"×","√")),""))</f>
        <v/>
      </c>
      <c r="BT29" s="34" t="str">
        <f ca="1">IF($A29="","",IF(IF(BT$2&lt;=$A$1,1,0),IF(BT$4="休","",IF(COUNTIF(DATA!BU:BU,$A:$A)=0,"×","√")),""))</f>
        <v/>
      </c>
      <c r="BU29" s="34" t="str">
        <f ca="1">IF($A29="","",IF(IF(BU$2&lt;=$A$1,1,0),IF(BU$4="休","",IF(COUNTIF(DATA!BV:BV,$A:$A)=0,"×","√")),""))</f>
        <v/>
      </c>
      <c r="BV29" s="34" t="str">
        <f ca="1">IF($A29="","",IF(IF(BV$2&lt;=$A$1,1,0),IF(BV$4="休","",IF(COUNTIF(DATA!BW:BW,$A:$A)=0,"×","√")),""))</f>
        <v/>
      </c>
      <c r="BW29" s="34" t="str">
        <f ca="1">IF($A29="","",IF(IF(BW$2&lt;=$A$1,1,0),IF(BW$4="休","",IF(COUNTIF(DATA!BX:BX,$A:$A)=0,"×","√")),""))</f>
        <v/>
      </c>
      <c r="BX29" s="34" t="str">
        <f ca="1">IF($A29="","",IF(IF(BX$2&lt;=$A$1,1,0),IF(BX$4="休","",IF(COUNTIF(DATA!BY:BY,$A:$A)=0,"×","√")),""))</f>
        <v/>
      </c>
      <c r="BY29" s="34" t="str">
        <f ca="1">IF($A29="","",IF(IF(BY$2&lt;=$A$1,1,0),IF(BY$4="休","",IF(COUNTIF(DATA!BZ:BZ,$A:$A)=0,"×","√")),""))</f>
        <v/>
      </c>
      <c r="BZ29" s="34" t="str">
        <f ca="1">IF($A29="","",IF(IF(BZ$2&lt;=$A$1,1,0),IF(BZ$4="休","",IF(COUNTIF(DATA!CA:CA,$A:$A)=0,"×","√")),""))</f>
        <v/>
      </c>
      <c r="CA29" s="34" t="str">
        <f ca="1">IF($A29="","",IF(IF(CA$2&lt;=$A$1,1,0),IF(CA$4="休","",IF(COUNTIF(DATA!CB:CB,$A:$A)=0,"×","√")),""))</f>
        <v/>
      </c>
      <c r="CB29" s="34" t="str">
        <f ca="1">IF($A29="","",IF(IF(CB$2&lt;=$A$1,1,0),IF(CB$4="休","",IF(COUNTIF(DATA!CC:CC,$A:$A)=0,"×","√")),""))</f>
        <v/>
      </c>
      <c r="CC29" s="34" t="str">
        <f ca="1">IF($A29="","",IF(IF(CC$2&lt;=$A$1,1,0),IF(CC$4="休","",IF(COUNTIF(DATA!CD:CD,$A:$A)=0,"×","√")),""))</f>
        <v/>
      </c>
      <c r="CD29" s="34" t="str">
        <f ca="1">IF($A29="","",IF(IF(CD$2&lt;=$A$1,1,0),IF(CD$4="休","",IF(COUNTIF(DATA!CE:CE,$A:$A)=0,"×","√")),""))</f>
        <v/>
      </c>
      <c r="CE29" s="34" t="str">
        <f ca="1">IF($A29="","",IF(IF(CE$2&lt;=$A$1,1,0),IF(CE$4="休","",IF(COUNTIF(DATA!CF:CF,$A:$A)=0,"×","√")),""))</f>
        <v/>
      </c>
      <c r="CF29" s="34" t="str">
        <f ca="1">IF($A29="","",IF(IF(CF$2&lt;=$A$1,1,0),IF(CF$4="休","",IF(COUNTIF(DATA!CG:CG,$A:$A)=0,"×","√")),""))</f>
        <v/>
      </c>
      <c r="CG29" s="34" t="str">
        <f ca="1">IF($A29="","",IF(IF(CG$2&lt;=$A$1,1,0),IF(CG$4="休","",IF(COUNTIF(DATA!CH:CH,$A:$A)=0,"×","√")),""))</f>
        <v/>
      </c>
      <c r="CH29" s="34" t="str">
        <f ca="1">IF($A29="","",IF(IF(CH$2&lt;=$A$1,1,0),IF(CH$4="休","",IF(COUNTIF(DATA!CI:CI,$A:$A)=0,"×","√")),""))</f>
        <v/>
      </c>
      <c r="CI29" s="34" t="str">
        <f ca="1">IF($A29="","",IF(IF(CI$2&lt;=$A$1,1,0),IF(CI$4="休","",IF(COUNTIF(DATA!CJ:CJ,$A:$A)=0,"×","√")),""))</f>
        <v/>
      </c>
      <c r="CJ29" s="34" t="str">
        <f ca="1">IF($A29="","",IF(IF(CJ$2&lt;=$A$1,1,0),IF(CJ$4="休","",IF(COUNTIF(DATA!CK:CK,$A:$A)=0,"×","√")),""))</f>
        <v/>
      </c>
      <c r="CK29" s="34" t="str">
        <f ca="1">IF($A29="","",IF(IF(CK$2&lt;=$A$1,1,0),IF(CK$4="休","",IF(COUNTIF(DATA!CL:CL,$A:$A)=0,"×","√")),""))</f>
        <v/>
      </c>
      <c r="CL29" s="34" t="str">
        <f ca="1">IF($A29="","",IF(IF(CL$2&lt;=$A$1,1,0),IF(CL$4="休","",IF(COUNTIF(DATA!CM:CM,$A:$A)=0,"×","√")),""))</f>
        <v/>
      </c>
      <c r="CM29" s="34" t="str">
        <f ca="1">IF($A29="","",IF(IF(CM$2&lt;=$A$1,1,0),IF(CM$4="休","",IF(COUNTIF(DATA!CN:CN,$A:$A)=0,"×","√")),""))</f>
        <v/>
      </c>
      <c r="CN29" s="34" t="str">
        <f ca="1">IF($A29="","",IF(IF(CN$2&lt;=$A$1,1,0),IF(CN$4="休","",IF(COUNTIF(DATA!CO:CO,$A:$A)=0,"×","√")),""))</f>
        <v/>
      </c>
      <c r="CO29" s="34" t="str">
        <f ca="1">IF($A29="","",IF(IF(CO$2&lt;=$A$1,1,0),IF(CO$4="休","",IF(COUNTIF(DATA!CP:CP,$A:$A)=0,"×","√")),""))</f>
        <v/>
      </c>
      <c r="CP29" s="34" t="str">
        <f ca="1">IF($A29="","",IF(IF(CP$2&lt;=$A$1,1,0),IF(CP$4="休","",IF(COUNTIF(DATA!CQ:CQ,$A:$A)=0,"×","√")),""))</f>
        <v/>
      </c>
      <c r="CQ29" s="34" t="str">
        <f ca="1">IF($A29="","",IF(IF(CQ$2&lt;=$A$1,1,0),IF(CQ$4="休","",IF(COUNTIF(DATA!CR:CR,$A:$A)=0,"×","√")),""))</f>
        <v/>
      </c>
      <c r="CR29" s="34" t="str">
        <f ca="1">IF($A29="","",IF(IF(CR$2&lt;=$A$1,1,0),IF(CR$4="休","",IF(COUNTIF(DATA!CS:CS,$A:$A)=0,"×","√")),""))</f>
        <v/>
      </c>
    </row>
    <row r="30" s="28" customFormat="1" ht="18.75" spans="1:96">
      <c r="A30" s="34" t="str">
        <f>DATA!$A29&amp;""</f>
        <v>黄文辉</v>
      </c>
      <c r="B30" s="34" t="str">
        <f ca="1">IF($A30="","",IF(IF(B$2&lt;=$A$1,1,0),IF(B$4="休","",IF(COUNTIF(DATA!C:C,$A:$A)=0,"×","√")),""))</f>
        <v>√</v>
      </c>
      <c r="C30" s="34" t="str">
        <f ca="1">IF($A30="","",IF(IF(C$2&lt;=$A$1,1,0),IF(C$4="休","",IF(COUNTIF(DATA!D:D,$A:$A)=0,"×","√")),""))</f>
        <v>√</v>
      </c>
      <c r="D30" s="34" t="str">
        <f ca="1">IF($A30="","",IF(IF(D$2&lt;=$A$1,1,0),IF(D$4="休","",IF(COUNTIF(DATA!E:E,$A:$A)=0,"×","√")),""))</f>
        <v>√</v>
      </c>
      <c r="E30" s="34" t="str">
        <f ca="1">IF($A30="","",IF(IF(E$2&lt;=$A$1,1,0),IF(E$4="休","",IF(COUNTIF(DATA!F:F,$A:$A)=0,"×","√")),""))</f>
        <v>√</v>
      </c>
      <c r="F30" s="34" t="str">
        <f ca="1">IF($A30="","",IF(IF(F$2&lt;=$A$1,1,0),IF(F$4="休","",IF(COUNTIF(DATA!G:G,$A:$A)=0,"×","√")),""))</f>
        <v>√</v>
      </c>
      <c r="G30" s="34" t="str">
        <f ca="1">IF($A30="","",IF(IF(G$2&lt;=$A$1,1,0),IF(G$4="休","",IF(COUNTIF(DATA!H:H,$A:$A)=0,"×","√")),""))</f>
        <v>√</v>
      </c>
      <c r="H30" s="34" t="str">
        <f ca="1">IF($A30="","",IF(IF(H$2&lt;=$A$1,1,0),IF(H$4="休","",IF(COUNTIF(DATA!I:I,$A:$A)=0,"×","√")),""))</f>
        <v>√</v>
      </c>
      <c r="I30" s="34" t="str">
        <f ca="1">IF($A30="","",IF(IF(I$2&lt;=$A$1,1,0),IF(I$4="休","",IF(COUNTIF(DATA!J:J,$A:$A)=0,"×","√")),""))</f>
        <v>√</v>
      </c>
      <c r="J30" s="34" t="str">
        <f ca="1">IF($A30="","",IF(IF(J$2&lt;=$A$1,1,0),IF(J$4="休","",IF(COUNTIF(DATA!K:K,$A:$A)=0,"×","√")),""))</f>
        <v>√</v>
      </c>
      <c r="K30" s="34" t="str">
        <f ca="1">IF($A30="","",IF(IF(K$2&lt;=$A$1,1,0),IF(K$4="休","",IF(COUNTIF(DATA!L:L,$A:$A)=0,"×","√")),""))</f>
        <v>√</v>
      </c>
      <c r="L30" s="34" t="str">
        <f ca="1">IF($A30="","",IF(IF(L$2&lt;=$A$1,1,0),IF(L$4="休","",IF(COUNTIF(DATA!M:M,$A:$A)=0,"×","√")),""))</f>
        <v>√</v>
      </c>
      <c r="M30" s="34" t="str">
        <f ca="1">IF($A30="","",IF(IF(M$2&lt;=$A$1,1,0),IF(M$4="休","",IF(COUNTIF(DATA!N:N,$A:$A)=0,"×","√")),""))</f>
        <v>√</v>
      </c>
      <c r="N30" s="34" t="str">
        <f ca="1">IF($A30="","",IF(IF(N$2&lt;=$A$1,1,0),IF(N$4="休","",IF(COUNTIF(DATA!O:O,$A:$A)=0,"×","√")),""))</f>
        <v>√</v>
      </c>
      <c r="O30" s="34" t="str">
        <f ca="1">IF($A30="","",IF(IF(O$2&lt;=$A$1,1,0),IF(O$4="休","",IF(COUNTIF(DATA!P:P,$A:$A)=0,"×","√")),""))</f>
        <v>×</v>
      </c>
      <c r="P30" s="34" t="str">
        <f ca="1">IF($A30="","",IF(IF(P$2&lt;=$A$1,1,0),IF(P$4="休","",IF(COUNTIF(DATA!Q:Q,$A:$A)=0,"×","√")),""))</f>
        <v/>
      </c>
      <c r="Q30" s="34" t="str">
        <f ca="1">IF($A30="","",IF(IF(Q$2&lt;=$A$1,1,0),IF(Q$4="休","",IF(COUNTIF(DATA!R:R,$A:$A)=0,"×","√")),""))</f>
        <v/>
      </c>
      <c r="R30" s="34" t="str">
        <f ca="1">IF($A30="","",IF(IF(R$2&lt;=$A$1,1,0),IF(R$4="休","",IF(COUNTIF(DATA!S:S,$A:$A)=0,"×","√")),""))</f>
        <v/>
      </c>
      <c r="S30" s="34" t="str">
        <f ca="1">IF($A30="","",IF(IF(S$2&lt;=$A$1,1,0),IF(S$4="休","",IF(COUNTIF(DATA!T:T,$A:$A)=0,"×","√")),""))</f>
        <v/>
      </c>
      <c r="T30" s="34" t="str">
        <f ca="1">IF($A30="","",IF(IF(T$2&lt;=$A$1,1,0),IF(T$4="休","",IF(COUNTIF(DATA!U:U,$A:$A)=0,"×","√")),""))</f>
        <v/>
      </c>
      <c r="U30" s="34" t="str">
        <f ca="1">IF($A30="","",IF(IF(U$2&lt;=$A$1,1,0),IF(U$4="休","",IF(COUNTIF(DATA!V:V,$A:$A)=0,"×","√")),""))</f>
        <v/>
      </c>
      <c r="V30" s="34" t="str">
        <f ca="1">IF($A30="","",IF(IF(V$2&lt;=$A$1,1,0),IF(V$4="休","",IF(COUNTIF(DATA!W:W,$A:$A)=0,"×","√")),""))</f>
        <v/>
      </c>
      <c r="W30" s="34" t="str">
        <f ca="1">IF($A30="","",IF(IF(W$2&lt;=$A$1,1,0),IF(W$4="休","",IF(COUNTIF(DATA!X:X,$A:$A)=0,"×","√")),""))</f>
        <v/>
      </c>
      <c r="X30" s="34" t="str">
        <f ca="1">IF($A30="","",IF(IF(X$2&lt;=$A$1,1,0),IF(X$4="休","",IF(COUNTIF(DATA!Y:Y,$A:$A)=0,"×","√")),""))</f>
        <v/>
      </c>
      <c r="Y30" s="34" t="str">
        <f ca="1">IF($A30="","",IF(IF(Y$2&lt;=$A$1,1,0),IF(Y$4="休","",IF(COUNTIF(DATA!Z:Z,$A:$A)=0,"×","√")),""))</f>
        <v/>
      </c>
      <c r="Z30" s="34" t="str">
        <f ca="1">IF($A30="","",IF(IF(Z$2&lt;=$A$1,1,0),IF(Z$4="休","",IF(COUNTIF(DATA!AA:AA,$A:$A)=0,"×","√")),""))</f>
        <v/>
      </c>
      <c r="AA30" s="34" t="str">
        <f ca="1">IF($A30="","",IF(IF(AA$2&lt;=$A$1,1,0),IF(AA$4="休","",IF(COUNTIF(DATA!AB:AB,$A:$A)=0,"×","√")),""))</f>
        <v/>
      </c>
      <c r="AB30" s="34" t="str">
        <f ca="1">IF($A30="","",IF(IF(AB$2&lt;=$A$1,1,0),IF(AB$4="休","",IF(COUNTIF(DATA!AC:AC,$A:$A)=0,"×","√")),""))</f>
        <v/>
      </c>
      <c r="AC30" s="34" t="str">
        <f ca="1">IF($A30="","",IF(IF(AC$2&lt;=$A$1,1,0),IF(AC$4="休","",IF(COUNTIF(DATA!AD:AD,$A:$A)=0,"×","√")),""))</f>
        <v/>
      </c>
      <c r="AD30" s="34" t="str">
        <f ca="1">IF($A30="","",IF(IF(AD$2&lt;=$A$1,1,0),IF(AD$4="休","",IF(COUNTIF(DATA!AE:AE,$A:$A)=0,"×","√")),""))</f>
        <v/>
      </c>
      <c r="AE30" s="34" t="str">
        <f ca="1">IF($A30="","",IF(IF(AE$2&lt;=$A$1,1,0),IF(AE$4="休","",IF(COUNTIF(DATA!AF:AF,$A:$A)=0,"×","√")),""))</f>
        <v/>
      </c>
      <c r="AF30" s="34" t="str">
        <f ca="1">IF($A30="","",IF(IF(AF$2&lt;=$A$1,1,0),IF(AF$4="休","",IF(COUNTIF(DATA!AG:AG,$A:$A)=0,"×","√")),""))</f>
        <v/>
      </c>
      <c r="AG30" s="34" t="str">
        <f ca="1">IF($A30="","",IF(IF(AG$2&lt;=$A$1,1,0),IF(AG$4="休","",IF(COUNTIF(DATA!AH:AH,$A:$A)=0,"×","√")),""))</f>
        <v/>
      </c>
      <c r="AH30" s="34" t="str">
        <f ca="1">IF($A30="","",IF(IF(AH$2&lt;=$A$1,1,0),IF(AH$4="休","",IF(COUNTIF(DATA!AI:AI,$A:$A)=0,"×","√")),""))</f>
        <v/>
      </c>
      <c r="AI30" s="34" t="str">
        <f ca="1">IF($A30="","",IF(IF(AI$2&lt;=$A$1,1,0),IF(AI$4="休","",IF(COUNTIF(DATA!AJ:AJ,$A:$A)=0,"×","√")),""))</f>
        <v/>
      </c>
      <c r="AJ30" s="34" t="str">
        <f ca="1">IF($A30="","",IF(IF(AJ$2&lt;=$A$1,1,0),IF(AJ$4="休","",IF(COUNTIF(DATA!AK:AK,$A:$A)=0,"×","√")),""))</f>
        <v/>
      </c>
      <c r="AK30" s="34" t="str">
        <f ca="1">IF($A30="","",IF(IF(AK$2&lt;=$A$1,1,0),IF(AK$4="休","",IF(COUNTIF(DATA!AL:AL,$A:$A)=0,"×","√")),""))</f>
        <v/>
      </c>
      <c r="AL30" s="34" t="str">
        <f ca="1">IF($A30="","",IF(IF(AL$2&lt;=$A$1,1,0),IF(AL$4="休","",IF(COUNTIF(DATA!AM:AM,$A:$A)=0,"×","√")),""))</f>
        <v/>
      </c>
      <c r="AM30" s="34" t="str">
        <f ca="1">IF($A30="","",IF(IF(AM$2&lt;=$A$1,1,0),IF(AM$4="休","",IF(COUNTIF(DATA!AN:AN,$A:$A)=0,"×","√")),""))</f>
        <v/>
      </c>
      <c r="AN30" s="34" t="str">
        <f ca="1">IF($A30="","",IF(IF(AN$2&lt;=$A$1,1,0),IF(AN$4="休","",IF(COUNTIF(DATA!AO:AO,$A:$A)=0,"×","√")),""))</f>
        <v/>
      </c>
      <c r="AO30" s="34" t="str">
        <f ca="1">IF($A30="","",IF(IF(AO$2&lt;=$A$1,1,0),IF(AO$4="休","",IF(COUNTIF(DATA!AP:AP,$A:$A)=0,"×","√")),""))</f>
        <v/>
      </c>
      <c r="AP30" s="34" t="str">
        <f ca="1">IF($A30="","",IF(IF(AP$2&lt;=$A$1,1,0),IF(AP$4="休","",IF(COUNTIF(DATA!AQ:AQ,$A:$A)=0,"×","√")),""))</f>
        <v/>
      </c>
      <c r="AQ30" s="34" t="str">
        <f ca="1">IF($A30="","",IF(IF(AQ$2&lt;=$A$1,1,0),IF(AQ$4="休","",IF(COUNTIF(DATA!AR:AR,$A:$A)=0,"×","√")),""))</f>
        <v/>
      </c>
      <c r="AR30" s="34" t="str">
        <f ca="1">IF($A30="","",IF(IF(AR$2&lt;=$A$1,1,0),IF(AR$4="休","",IF(COUNTIF(DATA!AS:AS,$A:$A)=0,"×","√")),""))</f>
        <v/>
      </c>
      <c r="AS30" s="34" t="str">
        <f ca="1">IF($A30="","",IF(IF(AS$2&lt;=$A$1,1,0),IF(AS$4="休","",IF(COUNTIF(DATA!AT:AT,$A:$A)=0,"×","√")),""))</f>
        <v/>
      </c>
      <c r="AT30" s="34" t="str">
        <f ca="1">IF($A30="","",IF(IF(AT$2&lt;=$A$1,1,0),IF(AT$4="休","",IF(COUNTIF(DATA!AU:AU,$A:$A)=0,"×","√")),""))</f>
        <v/>
      </c>
      <c r="AU30" s="34" t="str">
        <f ca="1">IF($A30="","",IF(IF(AU$2&lt;=$A$1,1,0),IF(AU$4="休","",IF(COUNTIF(DATA!AV:AV,$A:$A)=0,"×","√")),""))</f>
        <v/>
      </c>
      <c r="AV30" s="34" t="str">
        <f ca="1">IF($A30="","",IF(IF(AV$2&lt;=$A$1,1,0),IF(AV$4="休","",IF(COUNTIF(DATA!AW:AW,$A:$A)=0,"×","√")),""))</f>
        <v/>
      </c>
      <c r="AW30" s="34" t="str">
        <f ca="1">IF($A30="","",IF(IF(AW$2&lt;=$A$1,1,0),IF(AW$4="休","",IF(COUNTIF(DATA!AX:AX,$A:$A)=0,"×","√")),""))</f>
        <v/>
      </c>
      <c r="AX30" s="34" t="str">
        <f ca="1">IF($A30="","",IF(IF(AX$2&lt;=$A$1,1,0),IF(AX$4="休","",IF(COUNTIF(DATA!AY:AY,$A:$A)=0,"×","√")),""))</f>
        <v/>
      </c>
      <c r="AY30" s="34" t="str">
        <f ca="1">IF($A30="","",IF(IF(AY$2&lt;=$A$1,1,0),IF(AY$4="休","",IF(COUNTIF(DATA!AZ:AZ,$A:$A)=0,"×","√")),""))</f>
        <v/>
      </c>
      <c r="AZ30" s="34" t="str">
        <f ca="1">IF($A30="","",IF(IF(AZ$2&lt;=$A$1,1,0),IF(AZ$4="休","",IF(COUNTIF(DATA!BA:BA,$A:$A)=0,"×","√")),""))</f>
        <v/>
      </c>
      <c r="BA30" s="34" t="str">
        <f ca="1">IF($A30="","",IF(IF(BA$2&lt;=$A$1,1,0),IF(BA$4="休","",IF(COUNTIF(DATA!BB:BB,$A:$A)=0,"×","√")),""))</f>
        <v/>
      </c>
      <c r="BB30" s="34" t="str">
        <f ca="1">IF($A30="","",IF(IF(BB$2&lt;=$A$1,1,0),IF(BB$4="休","",IF(COUNTIF(DATA!BC:BC,$A:$A)=0,"×","√")),""))</f>
        <v/>
      </c>
      <c r="BC30" s="34" t="str">
        <f ca="1">IF($A30="","",IF(IF(BC$2&lt;=$A$1,1,0),IF(BC$4="休","",IF(COUNTIF(DATA!BD:BD,$A:$A)=0,"×","√")),""))</f>
        <v/>
      </c>
      <c r="BD30" s="34" t="str">
        <f ca="1">IF($A30="","",IF(IF(BD$2&lt;=$A$1,1,0),IF(BD$4="休","",IF(COUNTIF(DATA!BE:BE,$A:$A)=0,"×","√")),""))</f>
        <v/>
      </c>
      <c r="BE30" s="34" t="str">
        <f ca="1">IF($A30="","",IF(IF(BE$2&lt;=$A$1,1,0),IF(BE$4="休","",IF(COUNTIF(DATA!BF:BF,$A:$A)=0,"×","√")),""))</f>
        <v/>
      </c>
      <c r="BF30" s="34" t="str">
        <f ca="1">IF($A30="","",IF(IF(BF$2&lt;=$A$1,1,0),IF(BF$4="休","",IF(COUNTIF(DATA!BG:BG,$A:$A)=0,"×","√")),""))</f>
        <v/>
      </c>
      <c r="BG30" s="34" t="str">
        <f ca="1">IF($A30="","",IF(IF(BG$2&lt;=$A$1,1,0),IF(BG$4="休","",IF(COUNTIF(DATA!BH:BH,$A:$A)=0,"×","√")),""))</f>
        <v/>
      </c>
      <c r="BH30" s="34" t="str">
        <f ca="1">IF($A30="","",IF(IF(BH$2&lt;=$A$1,1,0),IF(BH$4="休","",IF(COUNTIF(DATA!BI:BI,$A:$A)=0,"×","√")),""))</f>
        <v/>
      </c>
      <c r="BI30" s="34" t="str">
        <f ca="1">IF($A30="","",IF(IF(BI$2&lt;=$A$1,1,0),IF(BI$4="休","",IF(COUNTIF(DATA!BJ:BJ,$A:$A)=0,"×","√")),""))</f>
        <v/>
      </c>
      <c r="BJ30" s="34" t="str">
        <f ca="1">IF($A30="","",IF(IF(BJ$2&lt;=$A$1,1,0),IF(BJ$4="休","",IF(COUNTIF(DATA!BK:BK,$A:$A)=0,"×","√")),""))</f>
        <v/>
      </c>
      <c r="BK30" s="34" t="str">
        <f ca="1">IF($A30="","",IF(IF(BK$2&lt;=$A$1,1,0),IF(BK$4="休","",IF(COUNTIF(DATA!BL:BL,$A:$A)=0,"×","√")),""))</f>
        <v/>
      </c>
      <c r="BL30" s="34" t="str">
        <f ca="1">IF($A30="","",IF(IF(BL$2&lt;=$A$1,1,0),IF(BL$4="休","",IF(COUNTIF(DATA!BM:BM,$A:$A)=0,"×","√")),""))</f>
        <v/>
      </c>
      <c r="BM30" s="34" t="str">
        <f ca="1">IF($A30="","",IF(IF(BM$2&lt;=$A$1,1,0),IF(BM$4="休","",IF(COUNTIF(DATA!BN:BN,$A:$A)=0,"×","√")),""))</f>
        <v/>
      </c>
      <c r="BN30" s="34" t="str">
        <f ca="1">IF($A30="","",IF(IF(BN$2&lt;=$A$1,1,0),IF(BN$4="休","",IF(COUNTIF(DATA!BO:BO,$A:$A)=0,"×","√")),""))</f>
        <v/>
      </c>
      <c r="BO30" s="34" t="str">
        <f ca="1">IF($A30="","",IF(IF(BO$2&lt;=$A$1,1,0),IF(BO$4="休","",IF(COUNTIF(DATA!BP:BP,$A:$A)=0,"×","√")),""))</f>
        <v/>
      </c>
      <c r="BP30" s="34" t="str">
        <f ca="1">IF($A30="","",IF(IF(BP$2&lt;=$A$1,1,0),IF(BP$4="休","",IF(COUNTIF(DATA!BQ:BQ,$A:$A)=0,"×","√")),""))</f>
        <v/>
      </c>
      <c r="BQ30" s="34" t="str">
        <f ca="1">IF($A30="","",IF(IF(BQ$2&lt;=$A$1,1,0),IF(BQ$4="休","",IF(COUNTIF(DATA!BR:BR,$A:$A)=0,"×","√")),""))</f>
        <v/>
      </c>
      <c r="BR30" s="34" t="str">
        <f ca="1">IF($A30="","",IF(IF(BR$2&lt;=$A$1,1,0),IF(BR$4="休","",IF(COUNTIF(DATA!BS:BS,$A:$A)=0,"×","√")),""))</f>
        <v/>
      </c>
      <c r="BS30" s="34" t="str">
        <f ca="1">IF($A30="","",IF(IF(BS$2&lt;=$A$1,1,0),IF(BS$4="休","",IF(COUNTIF(DATA!BT:BT,$A:$A)=0,"×","√")),""))</f>
        <v/>
      </c>
      <c r="BT30" s="34" t="str">
        <f ca="1">IF($A30="","",IF(IF(BT$2&lt;=$A$1,1,0),IF(BT$4="休","",IF(COUNTIF(DATA!BU:BU,$A:$A)=0,"×","√")),""))</f>
        <v/>
      </c>
      <c r="BU30" s="34" t="str">
        <f ca="1">IF($A30="","",IF(IF(BU$2&lt;=$A$1,1,0),IF(BU$4="休","",IF(COUNTIF(DATA!BV:BV,$A:$A)=0,"×","√")),""))</f>
        <v/>
      </c>
      <c r="BV30" s="34" t="str">
        <f ca="1">IF($A30="","",IF(IF(BV$2&lt;=$A$1,1,0),IF(BV$4="休","",IF(COUNTIF(DATA!BW:BW,$A:$A)=0,"×","√")),""))</f>
        <v/>
      </c>
      <c r="BW30" s="34" t="str">
        <f ca="1">IF($A30="","",IF(IF(BW$2&lt;=$A$1,1,0),IF(BW$4="休","",IF(COUNTIF(DATA!BX:BX,$A:$A)=0,"×","√")),""))</f>
        <v/>
      </c>
      <c r="BX30" s="34" t="str">
        <f ca="1">IF($A30="","",IF(IF(BX$2&lt;=$A$1,1,0),IF(BX$4="休","",IF(COUNTIF(DATA!BY:BY,$A:$A)=0,"×","√")),""))</f>
        <v/>
      </c>
      <c r="BY30" s="34" t="str">
        <f ca="1">IF($A30="","",IF(IF(BY$2&lt;=$A$1,1,0),IF(BY$4="休","",IF(COUNTIF(DATA!BZ:BZ,$A:$A)=0,"×","√")),""))</f>
        <v/>
      </c>
      <c r="BZ30" s="34" t="str">
        <f ca="1">IF($A30="","",IF(IF(BZ$2&lt;=$A$1,1,0),IF(BZ$4="休","",IF(COUNTIF(DATA!CA:CA,$A:$A)=0,"×","√")),""))</f>
        <v/>
      </c>
      <c r="CA30" s="34" t="str">
        <f ca="1">IF($A30="","",IF(IF(CA$2&lt;=$A$1,1,0),IF(CA$4="休","",IF(COUNTIF(DATA!CB:CB,$A:$A)=0,"×","√")),""))</f>
        <v/>
      </c>
      <c r="CB30" s="34" t="str">
        <f ca="1">IF($A30="","",IF(IF(CB$2&lt;=$A$1,1,0),IF(CB$4="休","",IF(COUNTIF(DATA!CC:CC,$A:$A)=0,"×","√")),""))</f>
        <v/>
      </c>
      <c r="CC30" s="34" t="str">
        <f ca="1">IF($A30="","",IF(IF(CC$2&lt;=$A$1,1,0),IF(CC$4="休","",IF(COUNTIF(DATA!CD:CD,$A:$A)=0,"×","√")),""))</f>
        <v/>
      </c>
      <c r="CD30" s="34" t="str">
        <f ca="1">IF($A30="","",IF(IF(CD$2&lt;=$A$1,1,0),IF(CD$4="休","",IF(COUNTIF(DATA!CE:CE,$A:$A)=0,"×","√")),""))</f>
        <v/>
      </c>
      <c r="CE30" s="34" t="str">
        <f ca="1">IF($A30="","",IF(IF(CE$2&lt;=$A$1,1,0),IF(CE$4="休","",IF(COUNTIF(DATA!CF:CF,$A:$A)=0,"×","√")),""))</f>
        <v/>
      </c>
      <c r="CF30" s="34" t="str">
        <f ca="1">IF($A30="","",IF(IF(CF$2&lt;=$A$1,1,0),IF(CF$4="休","",IF(COUNTIF(DATA!CG:CG,$A:$A)=0,"×","√")),""))</f>
        <v/>
      </c>
      <c r="CG30" s="34" t="str">
        <f ca="1">IF($A30="","",IF(IF(CG$2&lt;=$A$1,1,0),IF(CG$4="休","",IF(COUNTIF(DATA!CH:CH,$A:$A)=0,"×","√")),""))</f>
        <v/>
      </c>
      <c r="CH30" s="34" t="str">
        <f ca="1">IF($A30="","",IF(IF(CH$2&lt;=$A$1,1,0),IF(CH$4="休","",IF(COUNTIF(DATA!CI:CI,$A:$A)=0,"×","√")),""))</f>
        <v/>
      </c>
      <c r="CI30" s="34" t="str">
        <f ca="1">IF($A30="","",IF(IF(CI$2&lt;=$A$1,1,0),IF(CI$4="休","",IF(COUNTIF(DATA!CJ:CJ,$A:$A)=0,"×","√")),""))</f>
        <v/>
      </c>
      <c r="CJ30" s="34" t="str">
        <f ca="1">IF($A30="","",IF(IF(CJ$2&lt;=$A$1,1,0),IF(CJ$4="休","",IF(COUNTIF(DATA!CK:CK,$A:$A)=0,"×","√")),""))</f>
        <v/>
      </c>
      <c r="CK30" s="34" t="str">
        <f ca="1">IF($A30="","",IF(IF(CK$2&lt;=$A$1,1,0),IF(CK$4="休","",IF(COUNTIF(DATA!CL:CL,$A:$A)=0,"×","√")),""))</f>
        <v/>
      </c>
      <c r="CL30" s="34" t="str">
        <f ca="1">IF($A30="","",IF(IF(CL$2&lt;=$A$1,1,0),IF(CL$4="休","",IF(COUNTIF(DATA!CM:CM,$A:$A)=0,"×","√")),""))</f>
        <v/>
      </c>
      <c r="CM30" s="34" t="str">
        <f ca="1">IF($A30="","",IF(IF(CM$2&lt;=$A$1,1,0),IF(CM$4="休","",IF(COUNTIF(DATA!CN:CN,$A:$A)=0,"×","√")),""))</f>
        <v/>
      </c>
      <c r="CN30" s="34" t="str">
        <f ca="1">IF($A30="","",IF(IF(CN$2&lt;=$A$1,1,0),IF(CN$4="休","",IF(COUNTIF(DATA!CO:CO,$A:$A)=0,"×","√")),""))</f>
        <v/>
      </c>
      <c r="CO30" s="34" t="str">
        <f ca="1">IF($A30="","",IF(IF(CO$2&lt;=$A$1,1,0),IF(CO$4="休","",IF(COUNTIF(DATA!CP:CP,$A:$A)=0,"×","√")),""))</f>
        <v/>
      </c>
      <c r="CP30" s="34" t="str">
        <f ca="1">IF($A30="","",IF(IF(CP$2&lt;=$A$1,1,0),IF(CP$4="休","",IF(COUNTIF(DATA!CQ:CQ,$A:$A)=0,"×","√")),""))</f>
        <v/>
      </c>
      <c r="CQ30" s="34" t="str">
        <f ca="1">IF($A30="","",IF(IF(CQ$2&lt;=$A$1,1,0),IF(CQ$4="休","",IF(COUNTIF(DATA!CR:CR,$A:$A)=0,"×","√")),""))</f>
        <v/>
      </c>
      <c r="CR30" s="34" t="str">
        <f ca="1">IF($A30="","",IF(IF(CR$2&lt;=$A$1,1,0),IF(CR$4="休","",IF(COUNTIF(DATA!CS:CS,$A:$A)=0,"×","√")),""))</f>
        <v/>
      </c>
    </row>
    <row r="31" s="28" customFormat="1" ht="18.75" spans="1:96">
      <c r="A31" s="34" t="str">
        <f>DATA!$A30&amp;""</f>
        <v>冯俊</v>
      </c>
      <c r="B31" s="34" t="str">
        <f ca="1">IF($A31="","",IF(IF(B$2&lt;=$A$1,1,0),IF(B$4="休","",IF(COUNTIF(DATA!C:C,$A:$A)=0,"×","√")),""))</f>
        <v>×</v>
      </c>
      <c r="C31" s="34" t="str">
        <f ca="1">IF($A31="","",IF(IF(C$2&lt;=$A$1,1,0),IF(C$4="休","",IF(COUNTIF(DATA!D:D,$A:$A)=0,"×","√")),""))</f>
        <v>×</v>
      </c>
      <c r="D31" s="34" t="str">
        <f ca="1">IF($A31="","",IF(IF(D$2&lt;=$A$1,1,0),IF(D$4="休","",IF(COUNTIF(DATA!E:E,$A:$A)=0,"×","√")),""))</f>
        <v>√</v>
      </c>
      <c r="E31" s="34" t="str">
        <f ca="1">IF($A31="","",IF(IF(E$2&lt;=$A$1,1,0),IF(E$4="休","",IF(COUNTIF(DATA!F:F,$A:$A)=0,"×","√")),""))</f>
        <v>√</v>
      </c>
      <c r="F31" s="34" t="str">
        <f ca="1">IF($A31="","",IF(IF(F$2&lt;=$A$1,1,0),IF(F$4="休","",IF(COUNTIF(DATA!G:G,$A:$A)=0,"×","√")),""))</f>
        <v>√</v>
      </c>
      <c r="G31" s="34" t="str">
        <f ca="1">IF($A31="","",IF(IF(G$2&lt;=$A$1,1,0),IF(G$4="休","",IF(COUNTIF(DATA!H:H,$A:$A)=0,"×","√")),""))</f>
        <v>√</v>
      </c>
      <c r="H31" s="34" t="str">
        <f ca="1">IF($A31="","",IF(IF(H$2&lt;=$A$1,1,0),IF(H$4="休","",IF(COUNTIF(DATA!I:I,$A:$A)=0,"×","√")),""))</f>
        <v>√</v>
      </c>
      <c r="I31" s="34" t="str">
        <f ca="1">IF($A31="","",IF(IF(I$2&lt;=$A$1,1,0),IF(I$4="休","",IF(COUNTIF(DATA!J:J,$A:$A)=0,"×","√")),""))</f>
        <v>√</v>
      </c>
      <c r="J31" s="34" t="str">
        <f ca="1">IF($A31="","",IF(IF(J$2&lt;=$A$1,1,0),IF(J$4="休","",IF(COUNTIF(DATA!K:K,$A:$A)=0,"×","√")),""))</f>
        <v>√</v>
      </c>
      <c r="K31" s="34" t="str">
        <f ca="1">IF($A31="","",IF(IF(K$2&lt;=$A$1,1,0),IF(K$4="休","",IF(COUNTIF(DATA!L:L,$A:$A)=0,"×","√")),""))</f>
        <v>√</v>
      </c>
      <c r="L31" s="34" t="str">
        <f ca="1">IF($A31="","",IF(IF(L$2&lt;=$A$1,1,0),IF(L$4="休","",IF(COUNTIF(DATA!M:M,$A:$A)=0,"×","√")),""))</f>
        <v>√</v>
      </c>
      <c r="M31" s="34" t="str">
        <f ca="1">IF($A31="","",IF(IF(M$2&lt;=$A$1,1,0),IF(M$4="休","",IF(COUNTIF(DATA!N:N,$A:$A)=0,"×","√")),""))</f>
        <v>√</v>
      </c>
      <c r="N31" s="34" t="str">
        <f ca="1">IF($A31="","",IF(IF(N$2&lt;=$A$1,1,0),IF(N$4="休","",IF(COUNTIF(DATA!O:O,$A:$A)=0,"×","√")),""))</f>
        <v>√</v>
      </c>
      <c r="O31" s="34" t="str">
        <f ca="1">IF($A31="","",IF(IF(O$2&lt;=$A$1,1,0),IF(O$4="休","",IF(COUNTIF(DATA!P:P,$A:$A)=0,"×","√")),""))</f>
        <v>×</v>
      </c>
      <c r="P31" s="34" t="str">
        <f ca="1">IF($A31="","",IF(IF(P$2&lt;=$A$1,1,0),IF(P$4="休","",IF(COUNTIF(DATA!Q:Q,$A:$A)=0,"×","√")),""))</f>
        <v/>
      </c>
      <c r="Q31" s="34" t="str">
        <f ca="1">IF($A31="","",IF(IF(Q$2&lt;=$A$1,1,0),IF(Q$4="休","",IF(COUNTIF(DATA!R:R,$A:$A)=0,"×","√")),""))</f>
        <v/>
      </c>
      <c r="R31" s="34" t="str">
        <f ca="1">IF($A31="","",IF(IF(R$2&lt;=$A$1,1,0),IF(R$4="休","",IF(COUNTIF(DATA!S:S,$A:$A)=0,"×","√")),""))</f>
        <v/>
      </c>
      <c r="S31" s="34" t="str">
        <f ca="1">IF($A31="","",IF(IF(S$2&lt;=$A$1,1,0),IF(S$4="休","",IF(COUNTIF(DATA!T:T,$A:$A)=0,"×","√")),""))</f>
        <v/>
      </c>
      <c r="T31" s="34" t="str">
        <f ca="1">IF($A31="","",IF(IF(T$2&lt;=$A$1,1,0),IF(T$4="休","",IF(COUNTIF(DATA!U:U,$A:$A)=0,"×","√")),""))</f>
        <v/>
      </c>
      <c r="U31" s="34" t="str">
        <f ca="1">IF($A31="","",IF(IF(U$2&lt;=$A$1,1,0),IF(U$4="休","",IF(COUNTIF(DATA!V:V,$A:$A)=0,"×","√")),""))</f>
        <v/>
      </c>
      <c r="V31" s="34" t="str">
        <f ca="1">IF($A31="","",IF(IF(V$2&lt;=$A$1,1,0),IF(V$4="休","",IF(COUNTIF(DATA!W:W,$A:$A)=0,"×","√")),""))</f>
        <v/>
      </c>
      <c r="W31" s="34" t="str">
        <f ca="1">IF($A31="","",IF(IF(W$2&lt;=$A$1,1,0),IF(W$4="休","",IF(COUNTIF(DATA!X:X,$A:$A)=0,"×","√")),""))</f>
        <v/>
      </c>
      <c r="X31" s="34" t="str">
        <f ca="1">IF($A31="","",IF(IF(X$2&lt;=$A$1,1,0),IF(X$4="休","",IF(COUNTIF(DATA!Y:Y,$A:$A)=0,"×","√")),""))</f>
        <v/>
      </c>
      <c r="Y31" s="34" t="str">
        <f ca="1">IF($A31="","",IF(IF(Y$2&lt;=$A$1,1,0),IF(Y$4="休","",IF(COUNTIF(DATA!Z:Z,$A:$A)=0,"×","√")),""))</f>
        <v/>
      </c>
      <c r="Z31" s="34" t="str">
        <f ca="1">IF($A31="","",IF(IF(Z$2&lt;=$A$1,1,0),IF(Z$4="休","",IF(COUNTIF(DATA!AA:AA,$A:$A)=0,"×","√")),""))</f>
        <v/>
      </c>
      <c r="AA31" s="34" t="str">
        <f ca="1">IF($A31="","",IF(IF(AA$2&lt;=$A$1,1,0),IF(AA$4="休","",IF(COUNTIF(DATA!AB:AB,$A:$A)=0,"×","√")),""))</f>
        <v/>
      </c>
      <c r="AB31" s="34" t="str">
        <f ca="1">IF($A31="","",IF(IF(AB$2&lt;=$A$1,1,0),IF(AB$4="休","",IF(COUNTIF(DATA!AC:AC,$A:$A)=0,"×","√")),""))</f>
        <v/>
      </c>
      <c r="AC31" s="34" t="str">
        <f ca="1">IF($A31="","",IF(IF(AC$2&lt;=$A$1,1,0),IF(AC$4="休","",IF(COUNTIF(DATA!AD:AD,$A:$A)=0,"×","√")),""))</f>
        <v/>
      </c>
      <c r="AD31" s="34" t="str">
        <f ca="1">IF($A31="","",IF(IF(AD$2&lt;=$A$1,1,0),IF(AD$4="休","",IF(COUNTIF(DATA!AE:AE,$A:$A)=0,"×","√")),""))</f>
        <v/>
      </c>
      <c r="AE31" s="34" t="str">
        <f ca="1">IF($A31="","",IF(IF(AE$2&lt;=$A$1,1,0),IF(AE$4="休","",IF(COUNTIF(DATA!AF:AF,$A:$A)=0,"×","√")),""))</f>
        <v/>
      </c>
      <c r="AF31" s="34" t="str">
        <f ca="1">IF($A31="","",IF(IF(AF$2&lt;=$A$1,1,0),IF(AF$4="休","",IF(COUNTIF(DATA!AG:AG,$A:$A)=0,"×","√")),""))</f>
        <v/>
      </c>
      <c r="AG31" s="34" t="str">
        <f ca="1">IF($A31="","",IF(IF(AG$2&lt;=$A$1,1,0),IF(AG$4="休","",IF(COUNTIF(DATA!AH:AH,$A:$A)=0,"×","√")),""))</f>
        <v/>
      </c>
      <c r="AH31" s="34" t="str">
        <f ca="1">IF($A31="","",IF(IF(AH$2&lt;=$A$1,1,0),IF(AH$4="休","",IF(COUNTIF(DATA!AI:AI,$A:$A)=0,"×","√")),""))</f>
        <v/>
      </c>
      <c r="AI31" s="34" t="str">
        <f ca="1">IF($A31="","",IF(IF(AI$2&lt;=$A$1,1,0),IF(AI$4="休","",IF(COUNTIF(DATA!AJ:AJ,$A:$A)=0,"×","√")),""))</f>
        <v/>
      </c>
      <c r="AJ31" s="34" t="str">
        <f ca="1">IF($A31="","",IF(IF(AJ$2&lt;=$A$1,1,0),IF(AJ$4="休","",IF(COUNTIF(DATA!AK:AK,$A:$A)=0,"×","√")),""))</f>
        <v/>
      </c>
      <c r="AK31" s="34" t="str">
        <f ca="1">IF($A31="","",IF(IF(AK$2&lt;=$A$1,1,0),IF(AK$4="休","",IF(COUNTIF(DATA!AL:AL,$A:$A)=0,"×","√")),""))</f>
        <v/>
      </c>
      <c r="AL31" s="34" t="str">
        <f ca="1">IF($A31="","",IF(IF(AL$2&lt;=$A$1,1,0),IF(AL$4="休","",IF(COUNTIF(DATA!AM:AM,$A:$A)=0,"×","√")),""))</f>
        <v/>
      </c>
      <c r="AM31" s="34" t="str">
        <f ca="1">IF($A31="","",IF(IF(AM$2&lt;=$A$1,1,0),IF(AM$4="休","",IF(COUNTIF(DATA!AN:AN,$A:$A)=0,"×","√")),""))</f>
        <v/>
      </c>
      <c r="AN31" s="34" t="str">
        <f ca="1">IF($A31="","",IF(IF(AN$2&lt;=$A$1,1,0),IF(AN$4="休","",IF(COUNTIF(DATA!AO:AO,$A:$A)=0,"×","√")),""))</f>
        <v/>
      </c>
      <c r="AO31" s="34" t="str">
        <f ca="1">IF($A31="","",IF(IF(AO$2&lt;=$A$1,1,0),IF(AO$4="休","",IF(COUNTIF(DATA!AP:AP,$A:$A)=0,"×","√")),""))</f>
        <v/>
      </c>
      <c r="AP31" s="34" t="str">
        <f ca="1">IF($A31="","",IF(IF(AP$2&lt;=$A$1,1,0),IF(AP$4="休","",IF(COUNTIF(DATA!AQ:AQ,$A:$A)=0,"×","√")),""))</f>
        <v/>
      </c>
      <c r="AQ31" s="34" t="str">
        <f ca="1">IF($A31="","",IF(IF(AQ$2&lt;=$A$1,1,0),IF(AQ$4="休","",IF(COUNTIF(DATA!AR:AR,$A:$A)=0,"×","√")),""))</f>
        <v/>
      </c>
      <c r="AR31" s="34" t="str">
        <f ca="1">IF($A31="","",IF(IF(AR$2&lt;=$A$1,1,0),IF(AR$4="休","",IF(COUNTIF(DATA!AS:AS,$A:$A)=0,"×","√")),""))</f>
        <v/>
      </c>
      <c r="AS31" s="34" t="str">
        <f ca="1">IF($A31="","",IF(IF(AS$2&lt;=$A$1,1,0),IF(AS$4="休","",IF(COUNTIF(DATA!AT:AT,$A:$A)=0,"×","√")),""))</f>
        <v/>
      </c>
      <c r="AT31" s="34" t="str">
        <f ca="1">IF($A31="","",IF(IF(AT$2&lt;=$A$1,1,0),IF(AT$4="休","",IF(COUNTIF(DATA!AU:AU,$A:$A)=0,"×","√")),""))</f>
        <v/>
      </c>
      <c r="AU31" s="34" t="str">
        <f ca="1">IF($A31="","",IF(IF(AU$2&lt;=$A$1,1,0),IF(AU$4="休","",IF(COUNTIF(DATA!AV:AV,$A:$A)=0,"×","√")),""))</f>
        <v/>
      </c>
      <c r="AV31" s="34" t="str">
        <f ca="1">IF($A31="","",IF(IF(AV$2&lt;=$A$1,1,0),IF(AV$4="休","",IF(COUNTIF(DATA!AW:AW,$A:$A)=0,"×","√")),""))</f>
        <v/>
      </c>
      <c r="AW31" s="34" t="str">
        <f ca="1">IF($A31="","",IF(IF(AW$2&lt;=$A$1,1,0),IF(AW$4="休","",IF(COUNTIF(DATA!AX:AX,$A:$A)=0,"×","√")),""))</f>
        <v/>
      </c>
      <c r="AX31" s="34" t="str">
        <f ca="1">IF($A31="","",IF(IF(AX$2&lt;=$A$1,1,0),IF(AX$4="休","",IF(COUNTIF(DATA!AY:AY,$A:$A)=0,"×","√")),""))</f>
        <v/>
      </c>
      <c r="AY31" s="34" t="str">
        <f ca="1">IF($A31="","",IF(IF(AY$2&lt;=$A$1,1,0),IF(AY$4="休","",IF(COUNTIF(DATA!AZ:AZ,$A:$A)=0,"×","√")),""))</f>
        <v/>
      </c>
      <c r="AZ31" s="34" t="str">
        <f ca="1">IF($A31="","",IF(IF(AZ$2&lt;=$A$1,1,0),IF(AZ$4="休","",IF(COUNTIF(DATA!BA:BA,$A:$A)=0,"×","√")),""))</f>
        <v/>
      </c>
      <c r="BA31" s="34" t="str">
        <f ca="1">IF($A31="","",IF(IF(BA$2&lt;=$A$1,1,0),IF(BA$4="休","",IF(COUNTIF(DATA!BB:BB,$A:$A)=0,"×","√")),""))</f>
        <v/>
      </c>
      <c r="BB31" s="34" t="str">
        <f ca="1">IF($A31="","",IF(IF(BB$2&lt;=$A$1,1,0),IF(BB$4="休","",IF(COUNTIF(DATA!BC:BC,$A:$A)=0,"×","√")),""))</f>
        <v/>
      </c>
      <c r="BC31" s="34" t="str">
        <f ca="1">IF($A31="","",IF(IF(BC$2&lt;=$A$1,1,0),IF(BC$4="休","",IF(COUNTIF(DATA!BD:BD,$A:$A)=0,"×","√")),""))</f>
        <v/>
      </c>
      <c r="BD31" s="34" t="str">
        <f ca="1">IF($A31="","",IF(IF(BD$2&lt;=$A$1,1,0),IF(BD$4="休","",IF(COUNTIF(DATA!BE:BE,$A:$A)=0,"×","√")),""))</f>
        <v/>
      </c>
      <c r="BE31" s="34" t="str">
        <f ca="1">IF($A31="","",IF(IF(BE$2&lt;=$A$1,1,0),IF(BE$4="休","",IF(COUNTIF(DATA!BF:BF,$A:$A)=0,"×","√")),""))</f>
        <v/>
      </c>
      <c r="BF31" s="34" t="str">
        <f ca="1">IF($A31="","",IF(IF(BF$2&lt;=$A$1,1,0),IF(BF$4="休","",IF(COUNTIF(DATA!BG:BG,$A:$A)=0,"×","√")),""))</f>
        <v/>
      </c>
      <c r="BG31" s="34" t="str">
        <f ca="1">IF($A31="","",IF(IF(BG$2&lt;=$A$1,1,0),IF(BG$4="休","",IF(COUNTIF(DATA!BH:BH,$A:$A)=0,"×","√")),""))</f>
        <v/>
      </c>
      <c r="BH31" s="34" t="str">
        <f ca="1">IF($A31="","",IF(IF(BH$2&lt;=$A$1,1,0),IF(BH$4="休","",IF(COUNTIF(DATA!BI:BI,$A:$A)=0,"×","√")),""))</f>
        <v/>
      </c>
      <c r="BI31" s="34" t="str">
        <f ca="1">IF($A31="","",IF(IF(BI$2&lt;=$A$1,1,0),IF(BI$4="休","",IF(COUNTIF(DATA!BJ:BJ,$A:$A)=0,"×","√")),""))</f>
        <v/>
      </c>
      <c r="BJ31" s="34" t="str">
        <f ca="1">IF($A31="","",IF(IF(BJ$2&lt;=$A$1,1,0),IF(BJ$4="休","",IF(COUNTIF(DATA!BK:BK,$A:$A)=0,"×","√")),""))</f>
        <v/>
      </c>
      <c r="BK31" s="34" t="str">
        <f ca="1">IF($A31="","",IF(IF(BK$2&lt;=$A$1,1,0),IF(BK$4="休","",IF(COUNTIF(DATA!BL:BL,$A:$A)=0,"×","√")),""))</f>
        <v/>
      </c>
      <c r="BL31" s="34" t="str">
        <f ca="1">IF($A31="","",IF(IF(BL$2&lt;=$A$1,1,0),IF(BL$4="休","",IF(COUNTIF(DATA!BM:BM,$A:$A)=0,"×","√")),""))</f>
        <v/>
      </c>
      <c r="BM31" s="34" t="str">
        <f ca="1">IF($A31="","",IF(IF(BM$2&lt;=$A$1,1,0),IF(BM$4="休","",IF(COUNTIF(DATA!BN:BN,$A:$A)=0,"×","√")),""))</f>
        <v/>
      </c>
      <c r="BN31" s="34" t="str">
        <f ca="1">IF($A31="","",IF(IF(BN$2&lt;=$A$1,1,0),IF(BN$4="休","",IF(COUNTIF(DATA!BO:BO,$A:$A)=0,"×","√")),""))</f>
        <v/>
      </c>
      <c r="BO31" s="34" t="str">
        <f ca="1">IF($A31="","",IF(IF(BO$2&lt;=$A$1,1,0),IF(BO$4="休","",IF(COUNTIF(DATA!BP:BP,$A:$A)=0,"×","√")),""))</f>
        <v/>
      </c>
      <c r="BP31" s="34" t="str">
        <f ca="1">IF($A31="","",IF(IF(BP$2&lt;=$A$1,1,0),IF(BP$4="休","",IF(COUNTIF(DATA!BQ:BQ,$A:$A)=0,"×","√")),""))</f>
        <v/>
      </c>
      <c r="BQ31" s="34" t="str">
        <f ca="1">IF($A31="","",IF(IF(BQ$2&lt;=$A$1,1,0),IF(BQ$4="休","",IF(COUNTIF(DATA!BR:BR,$A:$A)=0,"×","√")),""))</f>
        <v/>
      </c>
      <c r="BR31" s="34" t="str">
        <f ca="1">IF($A31="","",IF(IF(BR$2&lt;=$A$1,1,0),IF(BR$4="休","",IF(COUNTIF(DATA!BS:BS,$A:$A)=0,"×","√")),""))</f>
        <v/>
      </c>
      <c r="BS31" s="34" t="str">
        <f ca="1">IF($A31="","",IF(IF(BS$2&lt;=$A$1,1,0),IF(BS$4="休","",IF(COUNTIF(DATA!BT:BT,$A:$A)=0,"×","√")),""))</f>
        <v/>
      </c>
      <c r="BT31" s="34" t="str">
        <f ca="1">IF($A31="","",IF(IF(BT$2&lt;=$A$1,1,0),IF(BT$4="休","",IF(COUNTIF(DATA!BU:BU,$A:$A)=0,"×","√")),""))</f>
        <v/>
      </c>
      <c r="BU31" s="34" t="str">
        <f ca="1">IF($A31="","",IF(IF(BU$2&lt;=$A$1,1,0),IF(BU$4="休","",IF(COUNTIF(DATA!BV:BV,$A:$A)=0,"×","√")),""))</f>
        <v/>
      </c>
      <c r="BV31" s="34" t="str">
        <f ca="1">IF($A31="","",IF(IF(BV$2&lt;=$A$1,1,0),IF(BV$4="休","",IF(COUNTIF(DATA!BW:BW,$A:$A)=0,"×","√")),""))</f>
        <v/>
      </c>
      <c r="BW31" s="34" t="str">
        <f ca="1">IF($A31="","",IF(IF(BW$2&lt;=$A$1,1,0),IF(BW$4="休","",IF(COUNTIF(DATA!BX:BX,$A:$A)=0,"×","√")),""))</f>
        <v/>
      </c>
      <c r="BX31" s="34" t="str">
        <f ca="1">IF($A31="","",IF(IF(BX$2&lt;=$A$1,1,0),IF(BX$4="休","",IF(COUNTIF(DATA!BY:BY,$A:$A)=0,"×","√")),""))</f>
        <v/>
      </c>
      <c r="BY31" s="34" t="str">
        <f ca="1">IF($A31="","",IF(IF(BY$2&lt;=$A$1,1,0),IF(BY$4="休","",IF(COUNTIF(DATA!BZ:BZ,$A:$A)=0,"×","√")),""))</f>
        <v/>
      </c>
      <c r="BZ31" s="34" t="str">
        <f ca="1">IF($A31="","",IF(IF(BZ$2&lt;=$A$1,1,0),IF(BZ$4="休","",IF(COUNTIF(DATA!CA:CA,$A:$A)=0,"×","√")),""))</f>
        <v/>
      </c>
      <c r="CA31" s="34" t="str">
        <f ca="1">IF($A31="","",IF(IF(CA$2&lt;=$A$1,1,0),IF(CA$4="休","",IF(COUNTIF(DATA!CB:CB,$A:$A)=0,"×","√")),""))</f>
        <v/>
      </c>
      <c r="CB31" s="34" t="str">
        <f ca="1">IF($A31="","",IF(IF(CB$2&lt;=$A$1,1,0),IF(CB$4="休","",IF(COUNTIF(DATA!CC:CC,$A:$A)=0,"×","√")),""))</f>
        <v/>
      </c>
      <c r="CC31" s="34" t="str">
        <f ca="1">IF($A31="","",IF(IF(CC$2&lt;=$A$1,1,0),IF(CC$4="休","",IF(COUNTIF(DATA!CD:CD,$A:$A)=0,"×","√")),""))</f>
        <v/>
      </c>
      <c r="CD31" s="34" t="str">
        <f ca="1">IF($A31="","",IF(IF(CD$2&lt;=$A$1,1,0),IF(CD$4="休","",IF(COUNTIF(DATA!CE:CE,$A:$A)=0,"×","√")),""))</f>
        <v/>
      </c>
      <c r="CE31" s="34" t="str">
        <f ca="1">IF($A31="","",IF(IF(CE$2&lt;=$A$1,1,0),IF(CE$4="休","",IF(COUNTIF(DATA!CF:CF,$A:$A)=0,"×","√")),""))</f>
        <v/>
      </c>
      <c r="CF31" s="34" t="str">
        <f ca="1">IF($A31="","",IF(IF(CF$2&lt;=$A$1,1,0),IF(CF$4="休","",IF(COUNTIF(DATA!CG:CG,$A:$A)=0,"×","√")),""))</f>
        <v/>
      </c>
      <c r="CG31" s="34" t="str">
        <f ca="1">IF($A31="","",IF(IF(CG$2&lt;=$A$1,1,0),IF(CG$4="休","",IF(COUNTIF(DATA!CH:CH,$A:$A)=0,"×","√")),""))</f>
        <v/>
      </c>
      <c r="CH31" s="34" t="str">
        <f ca="1">IF($A31="","",IF(IF(CH$2&lt;=$A$1,1,0),IF(CH$4="休","",IF(COUNTIF(DATA!CI:CI,$A:$A)=0,"×","√")),""))</f>
        <v/>
      </c>
      <c r="CI31" s="34" t="str">
        <f ca="1">IF($A31="","",IF(IF(CI$2&lt;=$A$1,1,0),IF(CI$4="休","",IF(COUNTIF(DATA!CJ:CJ,$A:$A)=0,"×","√")),""))</f>
        <v/>
      </c>
      <c r="CJ31" s="34" t="str">
        <f ca="1">IF($A31="","",IF(IF(CJ$2&lt;=$A$1,1,0),IF(CJ$4="休","",IF(COUNTIF(DATA!CK:CK,$A:$A)=0,"×","√")),""))</f>
        <v/>
      </c>
      <c r="CK31" s="34" t="str">
        <f ca="1">IF($A31="","",IF(IF(CK$2&lt;=$A$1,1,0),IF(CK$4="休","",IF(COUNTIF(DATA!CL:CL,$A:$A)=0,"×","√")),""))</f>
        <v/>
      </c>
      <c r="CL31" s="34" t="str">
        <f ca="1">IF($A31="","",IF(IF(CL$2&lt;=$A$1,1,0),IF(CL$4="休","",IF(COUNTIF(DATA!CM:CM,$A:$A)=0,"×","√")),""))</f>
        <v/>
      </c>
      <c r="CM31" s="34" t="str">
        <f ca="1">IF($A31="","",IF(IF(CM$2&lt;=$A$1,1,0),IF(CM$4="休","",IF(COUNTIF(DATA!CN:CN,$A:$A)=0,"×","√")),""))</f>
        <v/>
      </c>
      <c r="CN31" s="34" t="str">
        <f ca="1">IF($A31="","",IF(IF(CN$2&lt;=$A$1,1,0),IF(CN$4="休","",IF(COUNTIF(DATA!CO:CO,$A:$A)=0,"×","√")),""))</f>
        <v/>
      </c>
      <c r="CO31" s="34" t="str">
        <f ca="1">IF($A31="","",IF(IF(CO$2&lt;=$A$1,1,0),IF(CO$4="休","",IF(COUNTIF(DATA!CP:CP,$A:$A)=0,"×","√")),""))</f>
        <v/>
      </c>
      <c r="CP31" s="34" t="str">
        <f ca="1">IF($A31="","",IF(IF(CP$2&lt;=$A$1,1,0),IF(CP$4="休","",IF(COUNTIF(DATA!CQ:CQ,$A:$A)=0,"×","√")),""))</f>
        <v/>
      </c>
      <c r="CQ31" s="34" t="str">
        <f ca="1">IF($A31="","",IF(IF(CQ$2&lt;=$A$1,1,0),IF(CQ$4="休","",IF(COUNTIF(DATA!CR:CR,$A:$A)=0,"×","√")),""))</f>
        <v/>
      </c>
      <c r="CR31" s="34" t="str">
        <f ca="1">IF($A31="","",IF(IF(CR$2&lt;=$A$1,1,0),IF(CR$4="休","",IF(COUNTIF(DATA!CS:CS,$A:$A)=0,"×","√")),""))</f>
        <v/>
      </c>
    </row>
    <row r="32" s="28" customFormat="1" ht="18.75" spans="1:96">
      <c r="A32" s="34" t="str">
        <f>DATA!$A31&amp;""</f>
        <v>陈创业</v>
      </c>
      <c r="B32" s="34" t="str">
        <f ca="1">IF($A32="","",IF(IF(B$2&lt;=$A$1,1,0),IF(B$4="休","",IF(COUNTIF(DATA!C:C,$A:$A)=0,"×","√")),""))</f>
        <v>√</v>
      </c>
      <c r="C32" s="34" t="str">
        <f ca="1">IF($A32="","",IF(IF(C$2&lt;=$A$1,1,0),IF(C$4="休","",IF(COUNTIF(DATA!D:D,$A:$A)=0,"×","√")),""))</f>
        <v>√</v>
      </c>
      <c r="D32" s="34" t="str">
        <f ca="1">IF($A32="","",IF(IF(D$2&lt;=$A$1,1,0),IF(D$4="休","",IF(COUNTIF(DATA!E:E,$A:$A)=0,"×","√")),""))</f>
        <v>√</v>
      </c>
      <c r="E32" s="34" t="str">
        <f ca="1">IF($A32="","",IF(IF(E$2&lt;=$A$1,1,0),IF(E$4="休","",IF(COUNTIF(DATA!F:F,$A:$A)=0,"×","√")),""))</f>
        <v>√</v>
      </c>
      <c r="F32" s="34" t="str">
        <f ca="1">IF($A32="","",IF(IF(F$2&lt;=$A$1,1,0),IF(F$4="休","",IF(COUNTIF(DATA!G:G,$A:$A)=0,"×","√")),""))</f>
        <v>√</v>
      </c>
      <c r="G32" s="34" t="str">
        <f ca="1">IF($A32="","",IF(IF(G$2&lt;=$A$1,1,0),IF(G$4="休","",IF(COUNTIF(DATA!H:H,$A:$A)=0,"×","√")),""))</f>
        <v>√</v>
      </c>
      <c r="H32" s="34" t="str">
        <f ca="1">IF($A32="","",IF(IF(H$2&lt;=$A$1,1,0),IF(H$4="休","",IF(COUNTIF(DATA!I:I,$A:$A)=0,"×","√")),""))</f>
        <v>√</v>
      </c>
      <c r="I32" s="34" t="str">
        <f ca="1">IF($A32="","",IF(IF(I$2&lt;=$A$1,1,0),IF(I$4="休","",IF(COUNTIF(DATA!J:J,$A:$A)=0,"×","√")),""))</f>
        <v>√</v>
      </c>
      <c r="J32" s="34" t="str">
        <f ca="1">IF($A32="","",IF(IF(J$2&lt;=$A$1,1,0),IF(J$4="休","",IF(COUNTIF(DATA!K:K,$A:$A)=0,"×","√")),""))</f>
        <v>√</v>
      </c>
      <c r="K32" s="34" t="str">
        <f ca="1">IF($A32="","",IF(IF(K$2&lt;=$A$1,1,0),IF(K$4="休","",IF(COUNTIF(DATA!L:L,$A:$A)=0,"×","√")),""))</f>
        <v>√</v>
      </c>
      <c r="L32" s="34" t="str">
        <f ca="1">IF($A32="","",IF(IF(L$2&lt;=$A$1,1,0),IF(L$4="休","",IF(COUNTIF(DATA!M:M,$A:$A)=0,"×","√")),""))</f>
        <v>√</v>
      </c>
      <c r="M32" s="34" t="str">
        <f ca="1">IF($A32="","",IF(IF(M$2&lt;=$A$1,1,0),IF(M$4="休","",IF(COUNTIF(DATA!N:N,$A:$A)=0,"×","√")),""))</f>
        <v>√</v>
      </c>
      <c r="N32" s="34" t="str">
        <f ca="1">IF($A32="","",IF(IF(N$2&lt;=$A$1,1,0),IF(N$4="休","",IF(COUNTIF(DATA!O:O,$A:$A)=0,"×","√")),""))</f>
        <v>√</v>
      </c>
      <c r="O32" s="34" t="str">
        <f ca="1">IF($A32="","",IF(IF(O$2&lt;=$A$1,1,0),IF(O$4="休","",IF(COUNTIF(DATA!P:P,$A:$A)=0,"×","√")),""))</f>
        <v>×</v>
      </c>
      <c r="P32" s="34" t="str">
        <f ca="1">IF($A32="","",IF(IF(P$2&lt;=$A$1,1,0),IF(P$4="休","",IF(COUNTIF(DATA!Q:Q,$A:$A)=0,"×","√")),""))</f>
        <v/>
      </c>
      <c r="Q32" s="34" t="str">
        <f ca="1">IF($A32="","",IF(IF(Q$2&lt;=$A$1,1,0),IF(Q$4="休","",IF(COUNTIF(DATA!R:R,$A:$A)=0,"×","√")),""))</f>
        <v/>
      </c>
      <c r="R32" s="34" t="str">
        <f ca="1">IF($A32="","",IF(IF(R$2&lt;=$A$1,1,0),IF(R$4="休","",IF(COUNTIF(DATA!S:S,$A:$A)=0,"×","√")),""))</f>
        <v/>
      </c>
      <c r="S32" s="34" t="str">
        <f ca="1">IF($A32="","",IF(IF(S$2&lt;=$A$1,1,0),IF(S$4="休","",IF(COUNTIF(DATA!T:T,$A:$A)=0,"×","√")),""))</f>
        <v/>
      </c>
      <c r="T32" s="34" t="str">
        <f ca="1">IF($A32="","",IF(IF(T$2&lt;=$A$1,1,0),IF(T$4="休","",IF(COUNTIF(DATA!U:U,$A:$A)=0,"×","√")),""))</f>
        <v/>
      </c>
      <c r="U32" s="34" t="str">
        <f ca="1">IF($A32="","",IF(IF(U$2&lt;=$A$1,1,0),IF(U$4="休","",IF(COUNTIF(DATA!V:V,$A:$A)=0,"×","√")),""))</f>
        <v/>
      </c>
      <c r="V32" s="34" t="str">
        <f ca="1">IF($A32="","",IF(IF(V$2&lt;=$A$1,1,0),IF(V$4="休","",IF(COUNTIF(DATA!W:W,$A:$A)=0,"×","√")),""))</f>
        <v/>
      </c>
      <c r="W32" s="34" t="str">
        <f ca="1">IF($A32="","",IF(IF(W$2&lt;=$A$1,1,0),IF(W$4="休","",IF(COUNTIF(DATA!X:X,$A:$A)=0,"×","√")),""))</f>
        <v/>
      </c>
      <c r="X32" s="34" t="str">
        <f ca="1">IF($A32="","",IF(IF(X$2&lt;=$A$1,1,0),IF(X$4="休","",IF(COUNTIF(DATA!Y:Y,$A:$A)=0,"×","√")),""))</f>
        <v/>
      </c>
      <c r="Y32" s="34" t="str">
        <f ca="1">IF($A32="","",IF(IF(Y$2&lt;=$A$1,1,0),IF(Y$4="休","",IF(COUNTIF(DATA!Z:Z,$A:$A)=0,"×","√")),""))</f>
        <v/>
      </c>
      <c r="Z32" s="34" t="str">
        <f ca="1">IF($A32="","",IF(IF(Z$2&lt;=$A$1,1,0),IF(Z$4="休","",IF(COUNTIF(DATA!AA:AA,$A:$A)=0,"×","√")),""))</f>
        <v/>
      </c>
      <c r="AA32" s="34" t="str">
        <f ca="1">IF($A32="","",IF(IF(AA$2&lt;=$A$1,1,0),IF(AA$4="休","",IF(COUNTIF(DATA!AB:AB,$A:$A)=0,"×","√")),""))</f>
        <v/>
      </c>
      <c r="AB32" s="34" t="str">
        <f ca="1">IF($A32="","",IF(IF(AB$2&lt;=$A$1,1,0),IF(AB$4="休","",IF(COUNTIF(DATA!AC:AC,$A:$A)=0,"×","√")),""))</f>
        <v/>
      </c>
      <c r="AC32" s="34" t="str">
        <f ca="1">IF($A32="","",IF(IF(AC$2&lt;=$A$1,1,0),IF(AC$4="休","",IF(COUNTIF(DATA!AD:AD,$A:$A)=0,"×","√")),""))</f>
        <v/>
      </c>
      <c r="AD32" s="34" t="str">
        <f ca="1">IF($A32="","",IF(IF(AD$2&lt;=$A$1,1,0),IF(AD$4="休","",IF(COUNTIF(DATA!AE:AE,$A:$A)=0,"×","√")),""))</f>
        <v/>
      </c>
      <c r="AE32" s="34" t="str">
        <f ca="1">IF($A32="","",IF(IF(AE$2&lt;=$A$1,1,0),IF(AE$4="休","",IF(COUNTIF(DATA!AF:AF,$A:$A)=0,"×","√")),""))</f>
        <v/>
      </c>
      <c r="AF32" s="34" t="str">
        <f ca="1">IF($A32="","",IF(IF(AF$2&lt;=$A$1,1,0),IF(AF$4="休","",IF(COUNTIF(DATA!AG:AG,$A:$A)=0,"×","√")),""))</f>
        <v/>
      </c>
      <c r="AG32" s="34" t="str">
        <f ca="1">IF($A32="","",IF(IF(AG$2&lt;=$A$1,1,0),IF(AG$4="休","",IF(COUNTIF(DATA!AH:AH,$A:$A)=0,"×","√")),""))</f>
        <v/>
      </c>
      <c r="AH32" s="34" t="str">
        <f ca="1">IF($A32="","",IF(IF(AH$2&lt;=$A$1,1,0),IF(AH$4="休","",IF(COUNTIF(DATA!AI:AI,$A:$A)=0,"×","√")),""))</f>
        <v/>
      </c>
      <c r="AI32" s="34" t="str">
        <f ca="1">IF($A32="","",IF(IF(AI$2&lt;=$A$1,1,0),IF(AI$4="休","",IF(COUNTIF(DATA!AJ:AJ,$A:$A)=0,"×","√")),""))</f>
        <v/>
      </c>
      <c r="AJ32" s="34" t="str">
        <f ca="1">IF($A32="","",IF(IF(AJ$2&lt;=$A$1,1,0),IF(AJ$4="休","",IF(COUNTIF(DATA!AK:AK,$A:$A)=0,"×","√")),""))</f>
        <v/>
      </c>
      <c r="AK32" s="34" t="str">
        <f ca="1">IF($A32="","",IF(IF(AK$2&lt;=$A$1,1,0),IF(AK$4="休","",IF(COUNTIF(DATA!AL:AL,$A:$A)=0,"×","√")),""))</f>
        <v/>
      </c>
      <c r="AL32" s="34" t="str">
        <f ca="1">IF($A32="","",IF(IF(AL$2&lt;=$A$1,1,0),IF(AL$4="休","",IF(COUNTIF(DATA!AM:AM,$A:$A)=0,"×","√")),""))</f>
        <v/>
      </c>
      <c r="AM32" s="34" t="str">
        <f ca="1">IF($A32="","",IF(IF(AM$2&lt;=$A$1,1,0),IF(AM$4="休","",IF(COUNTIF(DATA!AN:AN,$A:$A)=0,"×","√")),""))</f>
        <v/>
      </c>
      <c r="AN32" s="34" t="str">
        <f ca="1">IF($A32="","",IF(IF(AN$2&lt;=$A$1,1,0),IF(AN$4="休","",IF(COUNTIF(DATA!AO:AO,$A:$A)=0,"×","√")),""))</f>
        <v/>
      </c>
      <c r="AO32" s="34" t="str">
        <f ca="1">IF($A32="","",IF(IF(AO$2&lt;=$A$1,1,0),IF(AO$4="休","",IF(COUNTIF(DATA!AP:AP,$A:$A)=0,"×","√")),""))</f>
        <v/>
      </c>
      <c r="AP32" s="34" t="str">
        <f ca="1">IF($A32="","",IF(IF(AP$2&lt;=$A$1,1,0),IF(AP$4="休","",IF(COUNTIF(DATA!AQ:AQ,$A:$A)=0,"×","√")),""))</f>
        <v/>
      </c>
      <c r="AQ32" s="34" t="str">
        <f ca="1">IF($A32="","",IF(IF(AQ$2&lt;=$A$1,1,0),IF(AQ$4="休","",IF(COUNTIF(DATA!AR:AR,$A:$A)=0,"×","√")),""))</f>
        <v/>
      </c>
      <c r="AR32" s="34" t="str">
        <f ca="1">IF($A32="","",IF(IF(AR$2&lt;=$A$1,1,0),IF(AR$4="休","",IF(COUNTIF(DATA!AS:AS,$A:$A)=0,"×","√")),""))</f>
        <v/>
      </c>
      <c r="AS32" s="34" t="str">
        <f ca="1">IF($A32="","",IF(IF(AS$2&lt;=$A$1,1,0),IF(AS$4="休","",IF(COUNTIF(DATA!AT:AT,$A:$A)=0,"×","√")),""))</f>
        <v/>
      </c>
      <c r="AT32" s="34" t="str">
        <f ca="1">IF($A32="","",IF(IF(AT$2&lt;=$A$1,1,0),IF(AT$4="休","",IF(COUNTIF(DATA!AU:AU,$A:$A)=0,"×","√")),""))</f>
        <v/>
      </c>
      <c r="AU32" s="34" t="str">
        <f ca="1">IF($A32="","",IF(IF(AU$2&lt;=$A$1,1,0),IF(AU$4="休","",IF(COUNTIF(DATA!AV:AV,$A:$A)=0,"×","√")),""))</f>
        <v/>
      </c>
      <c r="AV32" s="34" t="str">
        <f ca="1">IF($A32="","",IF(IF(AV$2&lt;=$A$1,1,0),IF(AV$4="休","",IF(COUNTIF(DATA!AW:AW,$A:$A)=0,"×","√")),""))</f>
        <v/>
      </c>
      <c r="AW32" s="34" t="str">
        <f ca="1">IF($A32="","",IF(IF(AW$2&lt;=$A$1,1,0),IF(AW$4="休","",IF(COUNTIF(DATA!AX:AX,$A:$A)=0,"×","√")),""))</f>
        <v/>
      </c>
      <c r="AX32" s="34" t="str">
        <f ca="1">IF($A32="","",IF(IF(AX$2&lt;=$A$1,1,0),IF(AX$4="休","",IF(COUNTIF(DATA!AY:AY,$A:$A)=0,"×","√")),""))</f>
        <v/>
      </c>
      <c r="AY32" s="34" t="str">
        <f ca="1">IF($A32="","",IF(IF(AY$2&lt;=$A$1,1,0),IF(AY$4="休","",IF(COUNTIF(DATA!AZ:AZ,$A:$A)=0,"×","√")),""))</f>
        <v/>
      </c>
      <c r="AZ32" s="34" t="str">
        <f ca="1">IF($A32="","",IF(IF(AZ$2&lt;=$A$1,1,0),IF(AZ$4="休","",IF(COUNTIF(DATA!BA:BA,$A:$A)=0,"×","√")),""))</f>
        <v/>
      </c>
      <c r="BA32" s="34" t="str">
        <f ca="1">IF($A32="","",IF(IF(BA$2&lt;=$A$1,1,0),IF(BA$4="休","",IF(COUNTIF(DATA!BB:BB,$A:$A)=0,"×","√")),""))</f>
        <v/>
      </c>
      <c r="BB32" s="34" t="str">
        <f ca="1">IF($A32="","",IF(IF(BB$2&lt;=$A$1,1,0),IF(BB$4="休","",IF(COUNTIF(DATA!BC:BC,$A:$A)=0,"×","√")),""))</f>
        <v/>
      </c>
      <c r="BC32" s="34" t="str">
        <f ca="1">IF($A32="","",IF(IF(BC$2&lt;=$A$1,1,0),IF(BC$4="休","",IF(COUNTIF(DATA!BD:BD,$A:$A)=0,"×","√")),""))</f>
        <v/>
      </c>
      <c r="BD32" s="34" t="str">
        <f ca="1">IF($A32="","",IF(IF(BD$2&lt;=$A$1,1,0),IF(BD$4="休","",IF(COUNTIF(DATA!BE:BE,$A:$A)=0,"×","√")),""))</f>
        <v/>
      </c>
      <c r="BE32" s="34" t="str">
        <f ca="1">IF($A32="","",IF(IF(BE$2&lt;=$A$1,1,0),IF(BE$4="休","",IF(COUNTIF(DATA!BF:BF,$A:$A)=0,"×","√")),""))</f>
        <v/>
      </c>
      <c r="BF32" s="34" t="str">
        <f ca="1">IF($A32="","",IF(IF(BF$2&lt;=$A$1,1,0),IF(BF$4="休","",IF(COUNTIF(DATA!BG:BG,$A:$A)=0,"×","√")),""))</f>
        <v/>
      </c>
      <c r="BG32" s="34" t="str">
        <f ca="1">IF($A32="","",IF(IF(BG$2&lt;=$A$1,1,0),IF(BG$4="休","",IF(COUNTIF(DATA!BH:BH,$A:$A)=0,"×","√")),""))</f>
        <v/>
      </c>
      <c r="BH32" s="34" t="str">
        <f ca="1">IF($A32="","",IF(IF(BH$2&lt;=$A$1,1,0),IF(BH$4="休","",IF(COUNTIF(DATA!BI:BI,$A:$A)=0,"×","√")),""))</f>
        <v/>
      </c>
      <c r="BI32" s="34" t="str">
        <f ca="1">IF($A32="","",IF(IF(BI$2&lt;=$A$1,1,0),IF(BI$4="休","",IF(COUNTIF(DATA!BJ:BJ,$A:$A)=0,"×","√")),""))</f>
        <v/>
      </c>
      <c r="BJ32" s="34" t="str">
        <f ca="1">IF($A32="","",IF(IF(BJ$2&lt;=$A$1,1,0),IF(BJ$4="休","",IF(COUNTIF(DATA!BK:BK,$A:$A)=0,"×","√")),""))</f>
        <v/>
      </c>
      <c r="BK32" s="34" t="str">
        <f ca="1">IF($A32="","",IF(IF(BK$2&lt;=$A$1,1,0),IF(BK$4="休","",IF(COUNTIF(DATA!BL:BL,$A:$A)=0,"×","√")),""))</f>
        <v/>
      </c>
      <c r="BL32" s="34" t="str">
        <f ca="1">IF($A32="","",IF(IF(BL$2&lt;=$A$1,1,0),IF(BL$4="休","",IF(COUNTIF(DATA!BM:BM,$A:$A)=0,"×","√")),""))</f>
        <v/>
      </c>
      <c r="BM32" s="34" t="str">
        <f ca="1">IF($A32="","",IF(IF(BM$2&lt;=$A$1,1,0),IF(BM$4="休","",IF(COUNTIF(DATA!BN:BN,$A:$A)=0,"×","√")),""))</f>
        <v/>
      </c>
      <c r="BN32" s="34" t="str">
        <f ca="1">IF($A32="","",IF(IF(BN$2&lt;=$A$1,1,0),IF(BN$4="休","",IF(COUNTIF(DATA!BO:BO,$A:$A)=0,"×","√")),""))</f>
        <v/>
      </c>
      <c r="BO32" s="34" t="str">
        <f ca="1">IF($A32="","",IF(IF(BO$2&lt;=$A$1,1,0),IF(BO$4="休","",IF(COUNTIF(DATA!BP:BP,$A:$A)=0,"×","√")),""))</f>
        <v/>
      </c>
      <c r="BP32" s="34" t="str">
        <f ca="1">IF($A32="","",IF(IF(BP$2&lt;=$A$1,1,0),IF(BP$4="休","",IF(COUNTIF(DATA!BQ:BQ,$A:$A)=0,"×","√")),""))</f>
        <v/>
      </c>
      <c r="BQ32" s="34" t="str">
        <f ca="1">IF($A32="","",IF(IF(BQ$2&lt;=$A$1,1,0),IF(BQ$4="休","",IF(COUNTIF(DATA!BR:BR,$A:$A)=0,"×","√")),""))</f>
        <v/>
      </c>
      <c r="BR32" s="34" t="str">
        <f ca="1">IF($A32="","",IF(IF(BR$2&lt;=$A$1,1,0),IF(BR$4="休","",IF(COUNTIF(DATA!BS:BS,$A:$A)=0,"×","√")),""))</f>
        <v/>
      </c>
      <c r="BS32" s="34" t="str">
        <f ca="1">IF($A32="","",IF(IF(BS$2&lt;=$A$1,1,0),IF(BS$4="休","",IF(COUNTIF(DATA!BT:BT,$A:$A)=0,"×","√")),""))</f>
        <v/>
      </c>
      <c r="BT32" s="34" t="str">
        <f ca="1">IF($A32="","",IF(IF(BT$2&lt;=$A$1,1,0),IF(BT$4="休","",IF(COUNTIF(DATA!BU:BU,$A:$A)=0,"×","√")),""))</f>
        <v/>
      </c>
      <c r="BU32" s="34" t="str">
        <f ca="1">IF($A32="","",IF(IF(BU$2&lt;=$A$1,1,0),IF(BU$4="休","",IF(COUNTIF(DATA!BV:BV,$A:$A)=0,"×","√")),""))</f>
        <v/>
      </c>
      <c r="BV32" s="34" t="str">
        <f ca="1">IF($A32="","",IF(IF(BV$2&lt;=$A$1,1,0),IF(BV$4="休","",IF(COUNTIF(DATA!BW:BW,$A:$A)=0,"×","√")),""))</f>
        <v/>
      </c>
      <c r="BW32" s="34" t="str">
        <f ca="1">IF($A32="","",IF(IF(BW$2&lt;=$A$1,1,0),IF(BW$4="休","",IF(COUNTIF(DATA!BX:BX,$A:$A)=0,"×","√")),""))</f>
        <v/>
      </c>
      <c r="BX32" s="34" t="str">
        <f ca="1">IF($A32="","",IF(IF(BX$2&lt;=$A$1,1,0),IF(BX$4="休","",IF(COUNTIF(DATA!BY:BY,$A:$A)=0,"×","√")),""))</f>
        <v/>
      </c>
      <c r="BY32" s="34" t="str">
        <f ca="1">IF($A32="","",IF(IF(BY$2&lt;=$A$1,1,0),IF(BY$4="休","",IF(COUNTIF(DATA!BZ:BZ,$A:$A)=0,"×","√")),""))</f>
        <v/>
      </c>
      <c r="BZ32" s="34" t="str">
        <f ca="1">IF($A32="","",IF(IF(BZ$2&lt;=$A$1,1,0),IF(BZ$4="休","",IF(COUNTIF(DATA!CA:CA,$A:$A)=0,"×","√")),""))</f>
        <v/>
      </c>
      <c r="CA32" s="34" t="str">
        <f ca="1">IF($A32="","",IF(IF(CA$2&lt;=$A$1,1,0),IF(CA$4="休","",IF(COUNTIF(DATA!CB:CB,$A:$A)=0,"×","√")),""))</f>
        <v/>
      </c>
      <c r="CB32" s="34" t="str">
        <f ca="1">IF($A32="","",IF(IF(CB$2&lt;=$A$1,1,0),IF(CB$4="休","",IF(COUNTIF(DATA!CC:CC,$A:$A)=0,"×","√")),""))</f>
        <v/>
      </c>
      <c r="CC32" s="34" t="str">
        <f ca="1">IF($A32="","",IF(IF(CC$2&lt;=$A$1,1,0),IF(CC$4="休","",IF(COUNTIF(DATA!CD:CD,$A:$A)=0,"×","√")),""))</f>
        <v/>
      </c>
      <c r="CD32" s="34" t="str">
        <f ca="1">IF($A32="","",IF(IF(CD$2&lt;=$A$1,1,0),IF(CD$4="休","",IF(COUNTIF(DATA!CE:CE,$A:$A)=0,"×","√")),""))</f>
        <v/>
      </c>
      <c r="CE32" s="34" t="str">
        <f ca="1">IF($A32="","",IF(IF(CE$2&lt;=$A$1,1,0),IF(CE$4="休","",IF(COUNTIF(DATA!CF:CF,$A:$A)=0,"×","√")),""))</f>
        <v/>
      </c>
      <c r="CF32" s="34" t="str">
        <f ca="1">IF($A32="","",IF(IF(CF$2&lt;=$A$1,1,0),IF(CF$4="休","",IF(COUNTIF(DATA!CG:CG,$A:$A)=0,"×","√")),""))</f>
        <v/>
      </c>
      <c r="CG32" s="34" t="str">
        <f ca="1">IF($A32="","",IF(IF(CG$2&lt;=$A$1,1,0),IF(CG$4="休","",IF(COUNTIF(DATA!CH:CH,$A:$A)=0,"×","√")),""))</f>
        <v/>
      </c>
      <c r="CH32" s="34" t="str">
        <f ca="1">IF($A32="","",IF(IF(CH$2&lt;=$A$1,1,0),IF(CH$4="休","",IF(COUNTIF(DATA!CI:CI,$A:$A)=0,"×","√")),""))</f>
        <v/>
      </c>
      <c r="CI32" s="34" t="str">
        <f ca="1">IF($A32="","",IF(IF(CI$2&lt;=$A$1,1,0),IF(CI$4="休","",IF(COUNTIF(DATA!CJ:CJ,$A:$A)=0,"×","√")),""))</f>
        <v/>
      </c>
      <c r="CJ32" s="34" t="str">
        <f ca="1">IF($A32="","",IF(IF(CJ$2&lt;=$A$1,1,0),IF(CJ$4="休","",IF(COUNTIF(DATA!CK:CK,$A:$A)=0,"×","√")),""))</f>
        <v/>
      </c>
      <c r="CK32" s="34" t="str">
        <f ca="1">IF($A32="","",IF(IF(CK$2&lt;=$A$1,1,0),IF(CK$4="休","",IF(COUNTIF(DATA!CL:CL,$A:$A)=0,"×","√")),""))</f>
        <v/>
      </c>
      <c r="CL32" s="34" t="str">
        <f ca="1">IF($A32="","",IF(IF(CL$2&lt;=$A$1,1,0),IF(CL$4="休","",IF(COUNTIF(DATA!CM:CM,$A:$A)=0,"×","√")),""))</f>
        <v/>
      </c>
      <c r="CM32" s="34" t="str">
        <f ca="1">IF($A32="","",IF(IF(CM$2&lt;=$A$1,1,0),IF(CM$4="休","",IF(COUNTIF(DATA!CN:CN,$A:$A)=0,"×","√")),""))</f>
        <v/>
      </c>
      <c r="CN32" s="34" t="str">
        <f ca="1">IF($A32="","",IF(IF(CN$2&lt;=$A$1,1,0),IF(CN$4="休","",IF(COUNTIF(DATA!CO:CO,$A:$A)=0,"×","√")),""))</f>
        <v/>
      </c>
      <c r="CO32" s="34" t="str">
        <f ca="1">IF($A32="","",IF(IF(CO$2&lt;=$A$1,1,0),IF(CO$4="休","",IF(COUNTIF(DATA!CP:CP,$A:$A)=0,"×","√")),""))</f>
        <v/>
      </c>
      <c r="CP32" s="34" t="str">
        <f ca="1">IF($A32="","",IF(IF(CP$2&lt;=$A$1,1,0),IF(CP$4="休","",IF(COUNTIF(DATA!CQ:CQ,$A:$A)=0,"×","√")),""))</f>
        <v/>
      </c>
      <c r="CQ32" s="34" t="str">
        <f ca="1">IF($A32="","",IF(IF(CQ$2&lt;=$A$1,1,0),IF(CQ$4="休","",IF(COUNTIF(DATA!CR:CR,$A:$A)=0,"×","√")),""))</f>
        <v/>
      </c>
      <c r="CR32" s="34" t="str">
        <f ca="1">IF($A32="","",IF(IF(CR$2&lt;=$A$1,1,0),IF(CR$4="休","",IF(COUNTIF(DATA!CS:CS,$A:$A)=0,"×","√")),""))</f>
        <v/>
      </c>
    </row>
    <row r="33" s="28" customFormat="1" ht="18.75" spans="1:96">
      <c r="A33" s="34" t="str">
        <f>DATA!$A32&amp;""</f>
        <v>丁江</v>
      </c>
      <c r="B33" s="34" t="str">
        <f ca="1">IF($A33="","",IF(IF(B$2&lt;=$A$1,1,0),IF(B$4="休","",IF(COUNTIF(DATA!C:C,$A:$A)=0,"×","√")),""))</f>
        <v>√</v>
      </c>
      <c r="C33" s="34" t="str">
        <f ca="1">IF($A33="","",IF(IF(C$2&lt;=$A$1,1,0),IF(C$4="休","",IF(COUNTIF(DATA!D:D,$A:$A)=0,"×","√")),""))</f>
        <v>√</v>
      </c>
      <c r="D33" s="34" t="str">
        <f ca="1">IF($A33="","",IF(IF(D$2&lt;=$A$1,1,0),IF(D$4="休","",IF(COUNTIF(DATA!E:E,$A:$A)=0,"×","√")),""))</f>
        <v>√</v>
      </c>
      <c r="E33" s="34" t="str">
        <f ca="1">IF($A33="","",IF(IF(E$2&lt;=$A$1,1,0),IF(E$4="休","",IF(COUNTIF(DATA!F:F,$A:$A)=0,"×","√")),""))</f>
        <v>√</v>
      </c>
      <c r="F33" s="34" t="str">
        <f ca="1">IF($A33="","",IF(IF(F$2&lt;=$A$1,1,0),IF(F$4="休","",IF(COUNTIF(DATA!G:G,$A:$A)=0,"×","√")),""))</f>
        <v>√</v>
      </c>
      <c r="G33" s="34" t="str">
        <f ca="1">IF($A33="","",IF(IF(G$2&lt;=$A$1,1,0),IF(G$4="休","",IF(COUNTIF(DATA!H:H,$A:$A)=0,"×","√")),""))</f>
        <v>√</v>
      </c>
      <c r="H33" s="34" t="str">
        <f ca="1">IF($A33="","",IF(IF(H$2&lt;=$A$1,1,0),IF(H$4="休","",IF(COUNTIF(DATA!I:I,$A:$A)=0,"×","√")),""))</f>
        <v>√</v>
      </c>
      <c r="I33" s="34" t="str">
        <f ca="1">IF($A33="","",IF(IF(I$2&lt;=$A$1,1,0),IF(I$4="休","",IF(COUNTIF(DATA!J:J,$A:$A)=0,"×","√")),""))</f>
        <v>√</v>
      </c>
      <c r="J33" s="34" t="str">
        <f ca="1">IF($A33="","",IF(IF(J$2&lt;=$A$1,1,0),IF(J$4="休","",IF(COUNTIF(DATA!K:K,$A:$A)=0,"×","√")),""))</f>
        <v>√</v>
      </c>
      <c r="K33" s="34" t="str">
        <f ca="1">IF($A33="","",IF(IF(K$2&lt;=$A$1,1,0),IF(K$4="休","",IF(COUNTIF(DATA!L:L,$A:$A)=0,"×","√")),""))</f>
        <v>√</v>
      </c>
      <c r="L33" s="34" t="str">
        <f ca="1">IF($A33="","",IF(IF(L$2&lt;=$A$1,1,0),IF(L$4="休","",IF(COUNTIF(DATA!M:M,$A:$A)=0,"×","√")),""))</f>
        <v>√</v>
      </c>
      <c r="M33" s="34" t="str">
        <f ca="1">IF($A33="","",IF(IF(M$2&lt;=$A$1,1,0),IF(M$4="休","",IF(COUNTIF(DATA!N:N,$A:$A)=0,"×","√")),""))</f>
        <v>√</v>
      </c>
      <c r="N33" s="34" t="str">
        <f ca="1">IF($A33="","",IF(IF(N$2&lt;=$A$1,1,0),IF(N$4="休","",IF(COUNTIF(DATA!O:O,$A:$A)=0,"×","√")),""))</f>
        <v>√</v>
      </c>
      <c r="O33" s="34" t="str">
        <f ca="1">IF($A33="","",IF(IF(O$2&lt;=$A$1,1,0),IF(O$4="休","",IF(COUNTIF(DATA!P:P,$A:$A)=0,"×","√")),""))</f>
        <v>×</v>
      </c>
      <c r="P33" s="34" t="str">
        <f ca="1">IF($A33="","",IF(IF(P$2&lt;=$A$1,1,0),IF(P$4="休","",IF(COUNTIF(DATA!Q:Q,$A:$A)=0,"×","√")),""))</f>
        <v/>
      </c>
      <c r="Q33" s="34" t="str">
        <f ca="1">IF($A33="","",IF(IF(Q$2&lt;=$A$1,1,0),IF(Q$4="休","",IF(COUNTIF(DATA!R:R,$A:$A)=0,"×","√")),""))</f>
        <v/>
      </c>
      <c r="R33" s="34" t="str">
        <f ca="1">IF($A33="","",IF(IF(R$2&lt;=$A$1,1,0),IF(R$4="休","",IF(COUNTIF(DATA!S:S,$A:$A)=0,"×","√")),""))</f>
        <v/>
      </c>
      <c r="S33" s="34" t="str">
        <f ca="1">IF($A33="","",IF(IF(S$2&lt;=$A$1,1,0),IF(S$4="休","",IF(COUNTIF(DATA!T:T,$A:$A)=0,"×","√")),""))</f>
        <v/>
      </c>
      <c r="T33" s="34" t="str">
        <f ca="1">IF($A33="","",IF(IF(T$2&lt;=$A$1,1,0),IF(T$4="休","",IF(COUNTIF(DATA!U:U,$A:$A)=0,"×","√")),""))</f>
        <v/>
      </c>
      <c r="U33" s="34" t="str">
        <f ca="1">IF($A33="","",IF(IF(U$2&lt;=$A$1,1,0),IF(U$4="休","",IF(COUNTIF(DATA!V:V,$A:$A)=0,"×","√")),""))</f>
        <v/>
      </c>
      <c r="V33" s="34" t="str">
        <f ca="1">IF($A33="","",IF(IF(V$2&lt;=$A$1,1,0),IF(V$4="休","",IF(COUNTIF(DATA!W:W,$A:$A)=0,"×","√")),""))</f>
        <v/>
      </c>
      <c r="W33" s="34" t="str">
        <f ca="1">IF($A33="","",IF(IF(W$2&lt;=$A$1,1,0),IF(W$4="休","",IF(COUNTIF(DATA!X:X,$A:$A)=0,"×","√")),""))</f>
        <v/>
      </c>
      <c r="X33" s="34" t="str">
        <f ca="1">IF($A33="","",IF(IF(X$2&lt;=$A$1,1,0),IF(X$4="休","",IF(COUNTIF(DATA!Y:Y,$A:$A)=0,"×","√")),""))</f>
        <v/>
      </c>
      <c r="Y33" s="34" t="str">
        <f ca="1">IF($A33="","",IF(IF(Y$2&lt;=$A$1,1,0),IF(Y$4="休","",IF(COUNTIF(DATA!Z:Z,$A:$A)=0,"×","√")),""))</f>
        <v/>
      </c>
      <c r="Z33" s="34" t="str">
        <f ca="1">IF($A33="","",IF(IF(Z$2&lt;=$A$1,1,0),IF(Z$4="休","",IF(COUNTIF(DATA!AA:AA,$A:$A)=0,"×","√")),""))</f>
        <v/>
      </c>
      <c r="AA33" s="34" t="str">
        <f ca="1">IF($A33="","",IF(IF(AA$2&lt;=$A$1,1,0),IF(AA$4="休","",IF(COUNTIF(DATA!AB:AB,$A:$A)=0,"×","√")),""))</f>
        <v/>
      </c>
      <c r="AB33" s="34" t="str">
        <f ca="1">IF($A33="","",IF(IF(AB$2&lt;=$A$1,1,0),IF(AB$4="休","",IF(COUNTIF(DATA!AC:AC,$A:$A)=0,"×","√")),""))</f>
        <v/>
      </c>
      <c r="AC33" s="34" t="str">
        <f ca="1">IF($A33="","",IF(IF(AC$2&lt;=$A$1,1,0),IF(AC$4="休","",IF(COUNTIF(DATA!AD:AD,$A:$A)=0,"×","√")),""))</f>
        <v/>
      </c>
      <c r="AD33" s="34" t="str">
        <f ca="1">IF($A33="","",IF(IF(AD$2&lt;=$A$1,1,0),IF(AD$4="休","",IF(COUNTIF(DATA!AE:AE,$A:$A)=0,"×","√")),""))</f>
        <v/>
      </c>
      <c r="AE33" s="34" t="str">
        <f ca="1">IF($A33="","",IF(IF(AE$2&lt;=$A$1,1,0),IF(AE$4="休","",IF(COUNTIF(DATA!AF:AF,$A:$A)=0,"×","√")),""))</f>
        <v/>
      </c>
      <c r="AF33" s="34" t="str">
        <f ca="1">IF($A33="","",IF(IF(AF$2&lt;=$A$1,1,0),IF(AF$4="休","",IF(COUNTIF(DATA!AG:AG,$A:$A)=0,"×","√")),""))</f>
        <v/>
      </c>
      <c r="AG33" s="34" t="str">
        <f ca="1">IF($A33="","",IF(IF(AG$2&lt;=$A$1,1,0),IF(AG$4="休","",IF(COUNTIF(DATA!AH:AH,$A:$A)=0,"×","√")),""))</f>
        <v/>
      </c>
      <c r="AH33" s="34" t="str">
        <f ca="1">IF($A33="","",IF(IF(AH$2&lt;=$A$1,1,0),IF(AH$4="休","",IF(COUNTIF(DATA!AI:AI,$A:$A)=0,"×","√")),""))</f>
        <v/>
      </c>
      <c r="AI33" s="34" t="str">
        <f ca="1">IF($A33="","",IF(IF(AI$2&lt;=$A$1,1,0),IF(AI$4="休","",IF(COUNTIF(DATA!AJ:AJ,$A:$A)=0,"×","√")),""))</f>
        <v/>
      </c>
      <c r="AJ33" s="34" t="str">
        <f ca="1">IF($A33="","",IF(IF(AJ$2&lt;=$A$1,1,0),IF(AJ$4="休","",IF(COUNTIF(DATA!AK:AK,$A:$A)=0,"×","√")),""))</f>
        <v/>
      </c>
      <c r="AK33" s="34" t="str">
        <f ca="1">IF($A33="","",IF(IF(AK$2&lt;=$A$1,1,0),IF(AK$4="休","",IF(COUNTIF(DATA!AL:AL,$A:$A)=0,"×","√")),""))</f>
        <v/>
      </c>
      <c r="AL33" s="34" t="str">
        <f ca="1">IF($A33="","",IF(IF(AL$2&lt;=$A$1,1,0),IF(AL$4="休","",IF(COUNTIF(DATA!AM:AM,$A:$A)=0,"×","√")),""))</f>
        <v/>
      </c>
      <c r="AM33" s="34" t="str">
        <f ca="1">IF($A33="","",IF(IF(AM$2&lt;=$A$1,1,0),IF(AM$4="休","",IF(COUNTIF(DATA!AN:AN,$A:$A)=0,"×","√")),""))</f>
        <v/>
      </c>
      <c r="AN33" s="34" t="str">
        <f ca="1">IF($A33="","",IF(IF(AN$2&lt;=$A$1,1,0),IF(AN$4="休","",IF(COUNTIF(DATA!AO:AO,$A:$A)=0,"×","√")),""))</f>
        <v/>
      </c>
      <c r="AO33" s="34" t="str">
        <f ca="1">IF($A33="","",IF(IF(AO$2&lt;=$A$1,1,0),IF(AO$4="休","",IF(COUNTIF(DATA!AP:AP,$A:$A)=0,"×","√")),""))</f>
        <v/>
      </c>
      <c r="AP33" s="34" t="str">
        <f ca="1">IF($A33="","",IF(IF(AP$2&lt;=$A$1,1,0),IF(AP$4="休","",IF(COUNTIF(DATA!AQ:AQ,$A:$A)=0,"×","√")),""))</f>
        <v/>
      </c>
      <c r="AQ33" s="34" t="str">
        <f ca="1">IF($A33="","",IF(IF(AQ$2&lt;=$A$1,1,0),IF(AQ$4="休","",IF(COUNTIF(DATA!AR:AR,$A:$A)=0,"×","√")),""))</f>
        <v/>
      </c>
      <c r="AR33" s="34" t="str">
        <f ca="1">IF($A33="","",IF(IF(AR$2&lt;=$A$1,1,0),IF(AR$4="休","",IF(COUNTIF(DATA!AS:AS,$A:$A)=0,"×","√")),""))</f>
        <v/>
      </c>
      <c r="AS33" s="34" t="str">
        <f ca="1">IF($A33="","",IF(IF(AS$2&lt;=$A$1,1,0),IF(AS$4="休","",IF(COUNTIF(DATA!AT:AT,$A:$A)=0,"×","√")),""))</f>
        <v/>
      </c>
      <c r="AT33" s="34" t="str">
        <f ca="1">IF($A33="","",IF(IF(AT$2&lt;=$A$1,1,0),IF(AT$4="休","",IF(COUNTIF(DATA!AU:AU,$A:$A)=0,"×","√")),""))</f>
        <v/>
      </c>
      <c r="AU33" s="34" t="str">
        <f ca="1">IF($A33="","",IF(IF(AU$2&lt;=$A$1,1,0),IF(AU$4="休","",IF(COUNTIF(DATA!AV:AV,$A:$A)=0,"×","√")),""))</f>
        <v/>
      </c>
      <c r="AV33" s="34" t="str">
        <f ca="1">IF($A33="","",IF(IF(AV$2&lt;=$A$1,1,0),IF(AV$4="休","",IF(COUNTIF(DATA!AW:AW,$A:$A)=0,"×","√")),""))</f>
        <v/>
      </c>
      <c r="AW33" s="34" t="str">
        <f ca="1">IF($A33="","",IF(IF(AW$2&lt;=$A$1,1,0),IF(AW$4="休","",IF(COUNTIF(DATA!AX:AX,$A:$A)=0,"×","√")),""))</f>
        <v/>
      </c>
      <c r="AX33" s="34" t="str">
        <f ca="1">IF($A33="","",IF(IF(AX$2&lt;=$A$1,1,0),IF(AX$4="休","",IF(COUNTIF(DATA!AY:AY,$A:$A)=0,"×","√")),""))</f>
        <v/>
      </c>
      <c r="AY33" s="34" t="str">
        <f ca="1">IF($A33="","",IF(IF(AY$2&lt;=$A$1,1,0),IF(AY$4="休","",IF(COUNTIF(DATA!AZ:AZ,$A:$A)=0,"×","√")),""))</f>
        <v/>
      </c>
      <c r="AZ33" s="34" t="str">
        <f ca="1">IF($A33="","",IF(IF(AZ$2&lt;=$A$1,1,0),IF(AZ$4="休","",IF(COUNTIF(DATA!BA:BA,$A:$A)=0,"×","√")),""))</f>
        <v/>
      </c>
      <c r="BA33" s="34" t="str">
        <f ca="1">IF($A33="","",IF(IF(BA$2&lt;=$A$1,1,0),IF(BA$4="休","",IF(COUNTIF(DATA!BB:BB,$A:$A)=0,"×","√")),""))</f>
        <v/>
      </c>
      <c r="BB33" s="34" t="str">
        <f ca="1">IF($A33="","",IF(IF(BB$2&lt;=$A$1,1,0),IF(BB$4="休","",IF(COUNTIF(DATA!BC:BC,$A:$A)=0,"×","√")),""))</f>
        <v/>
      </c>
      <c r="BC33" s="34" t="str">
        <f ca="1">IF($A33="","",IF(IF(BC$2&lt;=$A$1,1,0),IF(BC$4="休","",IF(COUNTIF(DATA!BD:BD,$A:$A)=0,"×","√")),""))</f>
        <v/>
      </c>
      <c r="BD33" s="34" t="str">
        <f ca="1">IF($A33="","",IF(IF(BD$2&lt;=$A$1,1,0),IF(BD$4="休","",IF(COUNTIF(DATA!BE:BE,$A:$A)=0,"×","√")),""))</f>
        <v/>
      </c>
      <c r="BE33" s="34" t="str">
        <f ca="1">IF($A33="","",IF(IF(BE$2&lt;=$A$1,1,0),IF(BE$4="休","",IF(COUNTIF(DATA!BF:BF,$A:$A)=0,"×","√")),""))</f>
        <v/>
      </c>
      <c r="BF33" s="34" t="str">
        <f ca="1">IF($A33="","",IF(IF(BF$2&lt;=$A$1,1,0),IF(BF$4="休","",IF(COUNTIF(DATA!BG:BG,$A:$A)=0,"×","√")),""))</f>
        <v/>
      </c>
      <c r="BG33" s="34" t="str">
        <f ca="1">IF($A33="","",IF(IF(BG$2&lt;=$A$1,1,0),IF(BG$4="休","",IF(COUNTIF(DATA!BH:BH,$A:$A)=0,"×","√")),""))</f>
        <v/>
      </c>
      <c r="BH33" s="34" t="str">
        <f ca="1">IF($A33="","",IF(IF(BH$2&lt;=$A$1,1,0),IF(BH$4="休","",IF(COUNTIF(DATA!BI:BI,$A:$A)=0,"×","√")),""))</f>
        <v/>
      </c>
      <c r="BI33" s="34" t="str">
        <f ca="1">IF($A33="","",IF(IF(BI$2&lt;=$A$1,1,0),IF(BI$4="休","",IF(COUNTIF(DATA!BJ:BJ,$A:$A)=0,"×","√")),""))</f>
        <v/>
      </c>
      <c r="BJ33" s="34" t="str">
        <f ca="1">IF($A33="","",IF(IF(BJ$2&lt;=$A$1,1,0),IF(BJ$4="休","",IF(COUNTIF(DATA!BK:BK,$A:$A)=0,"×","√")),""))</f>
        <v/>
      </c>
      <c r="BK33" s="34" t="str">
        <f ca="1">IF($A33="","",IF(IF(BK$2&lt;=$A$1,1,0),IF(BK$4="休","",IF(COUNTIF(DATA!BL:BL,$A:$A)=0,"×","√")),""))</f>
        <v/>
      </c>
      <c r="BL33" s="34" t="str">
        <f ca="1">IF($A33="","",IF(IF(BL$2&lt;=$A$1,1,0),IF(BL$4="休","",IF(COUNTIF(DATA!BM:BM,$A:$A)=0,"×","√")),""))</f>
        <v/>
      </c>
      <c r="BM33" s="34" t="str">
        <f ca="1">IF($A33="","",IF(IF(BM$2&lt;=$A$1,1,0),IF(BM$4="休","",IF(COUNTIF(DATA!BN:BN,$A:$A)=0,"×","√")),""))</f>
        <v/>
      </c>
      <c r="BN33" s="34" t="str">
        <f ca="1">IF($A33="","",IF(IF(BN$2&lt;=$A$1,1,0),IF(BN$4="休","",IF(COUNTIF(DATA!BO:BO,$A:$A)=0,"×","√")),""))</f>
        <v/>
      </c>
      <c r="BO33" s="34" t="str">
        <f ca="1">IF($A33="","",IF(IF(BO$2&lt;=$A$1,1,0),IF(BO$4="休","",IF(COUNTIF(DATA!BP:BP,$A:$A)=0,"×","√")),""))</f>
        <v/>
      </c>
      <c r="BP33" s="34" t="str">
        <f ca="1">IF($A33="","",IF(IF(BP$2&lt;=$A$1,1,0),IF(BP$4="休","",IF(COUNTIF(DATA!BQ:BQ,$A:$A)=0,"×","√")),""))</f>
        <v/>
      </c>
      <c r="BQ33" s="34" t="str">
        <f ca="1">IF($A33="","",IF(IF(BQ$2&lt;=$A$1,1,0),IF(BQ$4="休","",IF(COUNTIF(DATA!BR:BR,$A:$A)=0,"×","√")),""))</f>
        <v/>
      </c>
      <c r="BR33" s="34" t="str">
        <f ca="1">IF($A33="","",IF(IF(BR$2&lt;=$A$1,1,0),IF(BR$4="休","",IF(COUNTIF(DATA!BS:BS,$A:$A)=0,"×","√")),""))</f>
        <v/>
      </c>
      <c r="BS33" s="34" t="str">
        <f ca="1">IF($A33="","",IF(IF(BS$2&lt;=$A$1,1,0),IF(BS$4="休","",IF(COUNTIF(DATA!BT:BT,$A:$A)=0,"×","√")),""))</f>
        <v/>
      </c>
      <c r="BT33" s="34" t="str">
        <f ca="1">IF($A33="","",IF(IF(BT$2&lt;=$A$1,1,0),IF(BT$4="休","",IF(COUNTIF(DATA!BU:BU,$A:$A)=0,"×","√")),""))</f>
        <v/>
      </c>
      <c r="BU33" s="34" t="str">
        <f ca="1">IF($A33="","",IF(IF(BU$2&lt;=$A$1,1,0),IF(BU$4="休","",IF(COUNTIF(DATA!BV:BV,$A:$A)=0,"×","√")),""))</f>
        <v/>
      </c>
      <c r="BV33" s="34" t="str">
        <f ca="1">IF($A33="","",IF(IF(BV$2&lt;=$A$1,1,0),IF(BV$4="休","",IF(COUNTIF(DATA!BW:BW,$A:$A)=0,"×","√")),""))</f>
        <v/>
      </c>
      <c r="BW33" s="34" t="str">
        <f ca="1">IF($A33="","",IF(IF(BW$2&lt;=$A$1,1,0),IF(BW$4="休","",IF(COUNTIF(DATA!BX:BX,$A:$A)=0,"×","√")),""))</f>
        <v/>
      </c>
      <c r="BX33" s="34" t="str">
        <f ca="1">IF($A33="","",IF(IF(BX$2&lt;=$A$1,1,0),IF(BX$4="休","",IF(COUNTIF(DATA!BY:BY,$A:$A)=0,"×","√")),""))</f>
        <v/>
      </c>
      <c r="BY33" s="34" t="str">
        <f ca="1">IF($A33="","",IF(IF(BY$2&lt;=$A$1,1,0),IF(BY$4="休","",IF(COUNTIF(DATA!BZ:BZ,$A:$A)=0,"×","√")),""))</f>
        <v/>
      </c>
      <c r="BZ33" s="34" t="str">
        <f ca="1">IF($A33="","",IF(IF(BZ$2&lt;=$A$1,1,0),IF(BZ$4="休","",IF(COUNTIF(DATA!CA:CA,$A:$A)=0,"×","√")),""))</f>
        <v/>
      </c>
      <c r="CA33" s="34" t="str">
        <f ca="1">IF($A33="","",IF(IF(CA$2&lt;=$A$1,1,0),IF(CA$4="休","",IF(COUNTIF(DATA!CB:CB,$A:$A)=0,"×","√")),""))</f>
        <v/>
      </c>
      <c r="CB33" s="34" t="str">
        <f ca="1">IF($A33="","",IF(IF(CB$2&lt;=$A$1,1,0),IF(CB$4="休","",IF(COUNTIF(DATA!CC:CC,$A:$A)=0,"×","√")),""))</f>
        <v/>
      </c>
      <c r="CC33" s="34" t="str">
        <f ca="1">IF($A33="","",IF(IF(CC$2&lt;=$A$1,1,0),IF(CC$4="休","",IF(COUNTIF(DATA!CD:CD,$A:$A)=0,"×","√")),""))</f>
        <v/>
      </c>
      <c r="CD33" s="34" t="str">
        <f ca="1">IF($A33="","",IF(IF(CD$2&lt;=$A$1,1,0),IF(CD$4="休","",IF(COUNTIF(DATA!CE:CE,$A:$A)=0,"×","√")),""))</f>
        <v/>
      </c>
      <c r="CE33" s="34" t="str">
        <f ca="1">IF($A33="","",IF(IF(CE$2&lt;=$A$1,1,0),IF(CE$4="休","",IF(COUNTIF(DATA!CF:CF,$A:$A)=0,"×","√")),""))</f>
        <v/>
      </c>
      <c r="CF33" s="34" t="str">
        <f ca="1">IF($A33="","",IF(IF(CF$2&lt;=$A$1,1,0),IF(CF$4="休","",IF(COUNTIF(DATA!CG:CG,$A:$A)=0,"×","√")),""))</f>
        <v/>
      </c>
      <c r="CG33" s="34" t="str">
        <f ca="1">IF($A33="","",IF(IF(CG$2&lt;=$A$1,1,0),IF(CG$4="休","",IF(COUNTIF(DATA!CH:CH,$A:$A)=0,"×","√")),""))</f>
        <v/>
      </c>
      <c r="CH33" s="34" t="str">
        <f ca="1">IF($A33="","",IF(IF(CH$2&lt;=$A$1,1,0),IF(CH$4="休","",IF(COUNTIF(DATA!CI:CI,$A:$A)=0,"×","√")),""))</f>
        <v/>
      </c>
      <c r="CI33" s="34" t="str">
        <f ca="1">IF($A33="","",IF(IF(CI$2&lt;=$A$1,1,0),IF(CI$4="休","",IF(COUNTIF(DATA!CJ:CJ,$A:$A)=0,"×","√")),""))</f>
        <v/>
      </c>
      <c r="CJ33" s="34" t="str">
        <f ca="1">IF($A33="","",IF(IF(CJ$2&lt;=$A$1,1,0),IF(CJ$4="休","",IF(COUNTIF(DATA!CK:CK,$A:$A)=0,"×","√")),""))</f>
        <v/>
      </c>
      <c r="CK33" s="34" t="str">
        <f ca="1">IF($A33="","",IF(IF(CK$2&lt;=$A$1,1,0),IF(CK$4="休","",IF(COUNTIF(DATA!CL:CL,$A:$A)=0,"×","√")),""))</f>
        <v/>
      </c>
      <c r="CL33" s="34" t="str">
        <f ca="1">IF($A33="","",IF(IF(CL$2&lt;=$A$1,1,0),IF(CL$4="休","",IF(COUNTIF(DATA!CM:CM,$A:$A)=0,"×","√")),""))</f>
        <v/>
      </c>
      <c r="CM33" s="34" t="str">
        <f ca="1">IF($A33="","",IF(IF(CM$2&lt;=$A$1,1,0),IF(CM$4="休","",IF(COUNTIF(DATA!CN:CN,$A:$A)=0,"×","√")),""))</f>
        <v/>
      </c>
      <c r="CN33" s="34" t="str">
        <f ca="1">IF($A33="","",IF(IF(CN$2&lt;=$A$1,1,0),IF(CN$4="休","",IF(COUNTIF(DATA!CO:CO,$A:$A)=0,"×","√")),""))</f>
        <v/>
      </c>
      <c r="CO33" s="34" t="str">
        <f ca="1">IF($A33="","",IF(IF(CO$2&lt;=$A$1,1,0),IF(CO$4="休","",IF(COUNTIF(DATA!CP:CP,$A:$A)=0,"×","√")),""))</f>
        <v/>
      </c>
      <c r="CP33" s="34" t="str">
        <f ca="1">IF($A33="","",IF(IF(CP$2&lt;=$A$1,1,0),IF(CP$4="休","",IF(COUNTIF(DATA!CQ:CQ,$A:$A)=0,"×","√")),""))</f>
        <v/>
      </c>
      <c r="CQ33" s="34" t="str">
        <f ca="1">IF($A33="","",IF(IF(CQ$2&lt;=$A$1,1,0),IF(CQ$4="休","",IF(COUNTIF(DATA!CR:CR,$A:$A)=0,"×","√")),""))</f>
        <v/>
      </c>
      <c r="CR33" s="34" t="str">
        <f ca="1">IF($A33="","",IF(IF(CR$2&lt;=$A$1,1,0),IF(CR$4="休","",IF(COUNTIF(DATA!CS:CS,$A:$A)=0,"×","√")),""))</f>
        <v/>
      </c>
    </row>
    <row r="34" s="28" customFormat="1" ht="18.75" spans="1:96">
      <c r="A34" s="34" t="str">
        <f>DATA!$A33&amp;""</f>
        <v>杨草晖</v>
      </c>
      <c r="B34" s="34" t="str">
        <f ca="1">IF($A34="","",IF(IF(B$2&lt;=$A$1,1,0),IF(B$4="休","",IF(COUNTIF(DATA!C:C,$A:$A)=0,"×","√")),""))</f>
        <v>√</v>
      </c>
      <c r="C34" s="34" t="str">
        <f ca="1">IF($A34="","",IF(IF(C$2&lt;=$A$1,1,0),IF(C$4="休","",IF(COUNTIF(DATA!D:D,$A:$A)=0,"×","√")),""))</f>
        <v>√</v>
      </c>
      <c r="D34" s="34" t="str">
        <f ca="1">IF($A34="","",IF(IF(D$2&lt;=$A$1,1,0),IF(D$4="休","",IF(COUNTIF(DATA!E:E,$A:$A)=0,"×","√")),""))</f>
        <v>√</v>
      </c>
      <c r="E34" s="34" t="str">
        <f ca="1">IF($A34="","",IF(IF(E$2&lt;=$A$1,1,0),IF(E$4="休","",IF(COUNTIF(DATA!F:F,$A:$A)=0,"×","√")),""))</f>
        <v>√</v>
      </c>
      <c r="F34" s="34" t="str">
        <f ca="1">IF($A34="","",IF(IF(F$2&lt;=$A$1,1,0),IF(F$4="休","",IF(COUNTIF(DATA!G:G,$A:$A)=0,"×","√")),""))</f>
        <v>√</v>
      </c>
      <c r="G34" s="34" t="str">
        <f ca="1">IF($A34="","",IF(IF(G$2&lt;=$A$1,1,0),IF(G$4="休","",IF(COUNTIF(DATA!H:H,$A:$A)=0,"×","√")),""))</f>
        <v>√</v>
      </c>
      <c r="H34" s="34" t="str">
        <f ca="1">IF($A34="","",IF(IF(H$2&lt;=$A$1,1,0),IF(H$4="休","",IF(COUNTIF(DATA!I:I,$A:$A)=0,"×","√")),""))</f>
        <v>√</v>
      </c>
      <c r="I34" s="34" t="str">
        <f ca="1">IF($A34="","",IF(IF(I$2&lt;=$A$1,1,0),IF(I$4="休","",IF(COUNTIF(DATA!J:J,$A:$A)=0,"×","√")),""))</f>
        <v>√</v>
      </c>
      <c r="J34" s="34" t="str">
        <f ca="1">IF($A34="","",IF(IF(J$2&lt;=$A$1,1,0),IF(J$4="休","",IF(COUNTIF(DATA!K:K,$A:$A)=0,"×","√")),""))</f>
        <v>√</v>
      </c>
      <c r="K34" s="34" t="str">
        <f ca="1">IF($A34="","",IF(IF(K$2&lt;=$A$1,1,0),IF(K$4="休","",IF(COUNTIF(DATA!L:L,$A:$A)=0,"×","√")),""))</f>
        <v>√</v>
      </c>
      <c r="L34" s="34" t="str">
        <f ca="1">IF($A34="","",IF(IF(L$2&lt;=$A$1,1,0),IF(L$4="休","",IF(COUNTIF(DATA!M:M,$A:$A)=0,"×","√")),""))</f>
        <v>√</v>
      </c>
      <c r="M34" s="34" t="str">
        <f ca="1">IF($A34="","",IF(IF(M$2&lt;=$A$1,1,0),IF(M$4="休","",IF(COUNTIF(DATA!N:N,$A:$A)=0,"×","√")),""))</f>
        <v>√</v>
      </c>
      <c r="N34" s="34" t="str">
        <f ca="1">IF($A34="","",IF(IF(N$2&lt;=$A$1,1,0),IF(N$4="休","",IF(COUNTIF(DATA!O:O,$A:$A)=0,"×","√")),""))</f>
        <v>√</v>
      </c>
      <c r="O34" s="34" t="str">
        <f ca="1">IF($A34="","",IF(IF(O$2&lt;=$A$1,1,0),IF(O$4="休","",IF(COUNTIF(DATA!P:P,$A:$A)=0,"×","√")),""))</f>
        <v>×</v>
      </c>
      <c r="P34" s="34" t="str">
        <f ca="1">IF($A34="","",IF(IF(P$2&lt;=$A$1,1,0),IF(P$4="休","",IF(COUNTIF(DATA!Q:Q,$A:$A)=0,"×","√")),""))</f>
        <v/>
      </c>
      <c r="Q34" s="34" t="str">
        <f ca="1">IF($A34="","",IF(IF(Q$2&lt;=$A$1,1,0),IF(Q$4="休","",IF(COUNTIF(DATA!R:R,$A:$A)=0,"×","√")),""))</f>
        <v/>
      </c>
      <c r="R34" s="34" t="str">
        <f ca="1">IF($A34="","",IF(IF(R$2&lt;=$A$1,1,0),IF(R$4="休","",IF(COUNTIF(DATA!S:S,$A:$A)=0,"×","√")),""))</f>
        <v/>
      </c>
      <c r="S34" s="34" t="str">
        <f ca="1">IF($A34="","",IF(IF(S$2&lt;=$A$1,1,0),IF(S$4="休","",IF(COUNTIF(DATA!T:T,$A:$A)=0,"×","√")),""))</f>
        <v/>
      </c>
      <c r="T34" s="34" t="str">
        <f ca="1">IF($A34="","",IF(IF(T$2&lt;=$A$1,1,0),IF(T$4="休","",IF(COUNTIF(DATA!U:U,$A:$A)=0,"×","√")),""))</f>
        <v/>
      </c>
      <c r="U34" s="34" t="str">
        <f ca="1">IF($A34="","",IF(IF(U$2&lt;=$A$1,1,0),IF(U$4="休","",IF(COUNTIF(DATA!V:V,$A:$A)=0,"×","√")),""))</f>
        <v/>
      </c>
      <c r="V34" s="34" t="str">
        <f ca="1">IF($A34="","",IF(IF(V$2&lt;=$A$1,1,0),IF(V$4="休","",IF(COUNTIF(DATA!W:W,$A:$A)=0,"×","√")),""))</f>
        <v/>
      </c>
      <c r="W34" s="34" t="str">
        <f ca="1">IF($A34="","",IF(IF(W$2&lt;=$A$1,1,0),IF(W$4="休","",IF(COUNTIF(DATA!X:X,$A:$A)=0,"×","√")),""))</f>
        <v/>
      </c>
      <c r="X34" s="34" t="str">
        <f ca="1">IF($A34="","",IF(IF(X$2&lt;=$A$1,1,0),IF(X$4="休","",IF(COUNTIF(DATA!Y:Y,$A:$A)=0,"×","√")),""))</f>
        <v/>
      </c>
      <c r="Y34" s="34" t="str">
        <f ca="1">IF($A34="","",IF(IF(Y$2&lt;=$A$1,1,0),IF(Y$4="休","",IF(COUNTIF(DATA!Z:Z,$A:$A)=0,"×","√")),""))</f>
        <v/>
      </c>
      <c r="Z34" s="34" t="str">
        <f ca="1">IF($A34="","",IF(IF(Z$2&lt;=$A$1,1,0),IF(Z$4="休","",IF(COUNTIF(DATA!AA:AA,$A:$A)=0,"×","√")),""))</f>
        <v/>
      </c>
      <c r="AA34" s="34" t="str">
        <f ca="1">IF($A34="","",IF(IF(AA$2&lt;=$A$1,1,0),IF(AA$4="休","",IF(COUNTIF(DATA!AB:AB,$A:$A)=0,"×","√")),""))</f>
        <v/>
      </c>
      <c r="AB34" s="34" t="str">
        <f ca="1">IF($A34="","",IF(IF(AB$2&lt;=$A$1,1,0),IF(AB$4="休","",IF(COUNTIF(DATA!AC:AC,$A:$A)=0,"×","√")),""))</f>
        <v/>
      </c>
      <c r="AC34" s="34" t="str">
        <f ca="1">IF($A34="","",IF(IF(AC$2&lt;=$A$1,1,0),IF(AC$4="休","",IF(COUNTIF(DATA!AD:AD,$A:$A)=0,"×","√")),""))</f>
        <v/>
      </c>
      <c r="AD34" s="34" t="str">
        <f ca="1">IF($A34="","",IF(IF(AD$2&lt;=$A$1,1,0),IF(AD$4="休","",IF(COUNTIF(DATA!AE:AE,$A:$A)=0,"×","√")),""))</f>
        <v/>
      </c>
      <c r="AE34" s="34" t="str">
        <f ca="1">IF($A34="","",IF(IF(AE$2&lt;=$A$1,1,0),IF(AE$4="休","",IF(COUNTIF(DATA!AF:AF,$A:$A)=0,"×","√")),""))</f>
        <v/>
      </c>
      <c r="AF34" s="34" t="str">
        <f ca="1">IF($A34="","",IF(IF(AF$2&lt;=$A$1,1,0),IF(AF$4="休","",IF(COUNTIF(DATA!AG:AG,$A:$A)=0,"×","√")),""))</f>
        <v/>
      </c>
      <c r="AG34" s="34" t="str">
        <f ca="1">IF($A34="","",IF(IF(AG$2&lt;=$A$1,1,0),IF(AG$4="休","",IF(COUNTIF(DATA!AH:AH,$A:$A)=0,"×","√")),""))</f>
        <v/>
      </c>
      <c r="AH34" s="34" t="str">
        <f ca="1">IF($A34="","",IF(IF(AH$2&lt;=$A$1,1,0),IF(AH$4="休","",IF(COUNTIF(DATA!AI:AI,$A:$A)=0,"×","√")),""))</f>
        <v/>
      </c>
      <c r="AI34" s="34" t="str">
        <f ca="1">IF($A34="","",IF(IF(AI$2&lt;=$A$1,1,0),IF(AI$4="休","",IF(COUNTIF(DATA!AJ:AJ,$A:$A)=0,"×","√")),""))</f>
        <v/>
      </c>
      <c r="AJ34" s="34" t="str">
        <f ca="1">IF($A34="","",IF(IF(AJ$2&lt;=$A$1,1,0),IF(AJ$4="休","",IF(COUNTIF(DATA!AK:AK,$A:$A)=0,"×","√")),""))</f>
        <v/>
      </c>
      <c r="AK34" s="34" t="str">
        <f ca="1">IF($A34="","",IF(IF(AK$2&lt;=$A$1,1,0),IF(AK$4="休","",IF(COUNTIF(DATA!AL:AL,$A:$A)=0,"×","√")),""))</f>
        <v/>
      </c>
      <c r="AL34" s="34" t="str">
        <f ca="1">IF($A34="","",IF(IF(AL$2&lt;=$A$1,1,0),IF(AL$4="休","",IF(COUNTIF(DATA!AM:AM,$A:$A)=0,"×","√")),""))</f>
        <v/>
      </c>
      <c r="AM34" s="34" t="str">
        <f ca="1">IF($A34="","",IF(IF(AM$2&lt;=$A$1,1,0),IF(AM$4="休","",IF(COUNTIF(DATA!AN:AN,$A:$A)=0,"×","√")),""))</f>
        <v/>
      </c>
      <c r="AN34" s="34" t="str">
        <f ca="1">IF($A34="","",IF(IF(AN$2&lt;=$A$1,1,0),IF(AN$4="休","",IF(COUNTIF(DATA!AO:AO,$A:$A)=0,"×","√")),""))</f>
        <v/>
      </c>
      <c r="AO34" s="34" t="str">
        <f ca="1">IF($A34="","",IF(IF(AO$2&lt;=$A$1,1,0),IF(AO$4="休","",IF(COUNTIF(DATA!AP:AP,$A:$A)=0,"×","√")),""))</f>
        <v/>
      </c>
      <c r="AP34" s="34" t="str">
        <f ca="1">IF($A34="","",IF(IF(AP$2&lt;=$A$1,1,0),IF(AP$4="休","",IF(COUNTIF(DATA!AQ:AQ,$A:$A)=0,"×","√")),""))</f>
        <v/>
      </c>
      <c r="AQ34" s="34" t="str">
        <f ca="1">IF($A34="","",IF(IF(AQ$2&lt;=$A$1,1,0),IF(AQ$4="休","",IF(COUNTIF(DATA!AR:AR,$A:$A)=0,"×","√")),""))</f>
        <v/>
      </c>
      <c r="AR34" s="34" t="str">
        <f ca="1">IF($A34="","",IF(IF(AR$2&lt;=$A$1,1,0),IF(AR$4="休","",IF(COUNTIF(DATA!AS:AS,$A:$A)=0,"×","√")),""))</f>
        <v/>
      </c>
      <c r="AS34" s="34" t="str">
        <f ca="1">IF($A34="","",IF(IF(AS$2&lt;=$A$1,1,0),IF(AS$4="休","",IF(COUNTIF(DATA!AT:AT,$A:$A)=0,"×","√")),""))</f>
        <v/>
      </c>
      <c r="AT34" s="34" t="str">
        <f ca="1">IF($A34="","",IF(IF(AT$2&lt;=$A$1,1,0),IF(AT$4="休","",IF(COUNTIF(DATA!AU:AU,$A:$A)=0,"×","√")),""))</f>
        <v/>
      </c>
      <c r="AU34" s="34" t="str">
        <f ca="1">IF($A34="","",IF(IF(AU$2&lt;=$A$1,1,0),IF(AU$4="休","",IF(COUNTIF(DATA!AV:AV,$A:$A)=0,"×","√")),""))</f>
        <v/>
      </c>
      <c r="AV34" s="34" t="str">
        <f ca="1">IF($A34="","",IF(IF(AV$2&lt;=$A$1,1,0),IF(AV$4="休","",IF(COUNTIF(DATA!AW:AW,$A:$A)=0,"×","√")),""))</f>
        <v/>
      </c>
      <c r="AW34" s="34" t="str">
        <f ca="1">IF($A34="","",IF(IF(AW$2&lt;=$A$1,1,0),IF(AW$4="休","",IF(COUNTIF(DATA!AX:AX,$A:$A)=0,"×","√")),""))</f>
        <v/>
      </c>
      <c r="AX34" s="34" t="str">
        <f ca="1">IF($A34="","",IF(IF(AX$2&lt;=$A$1,1,0),IF(AX$4="休","",IF(COUNTIF(DATA!AY:AY,$A:$A)=0,"×","√")),""))</f>
        <v/>
      </c>
      <c r="AY34" s="34" t="str">
        <f ca="1">IF($A34="","",IF(IF(AY$2&lt;=$A$1,1,0),IF(AY$4="休","",IF(COUNTIF(DATA!AZ:AZ,$A:$A)=0,"×","√")),""))</f>
        <v/>
      </c>
      <c r="AZ34" s="34" t="str">
        <f ca="1">IF($A34="","",IF(IF(AZ$2&lt;=$A$1,1,0),IF(AZ$4="休","",IF(COUNTIF(DATA!BA:BA,$A:$A)=0,"×","√")),""))</f>
        <v/>
      </c>
      <c r="BA34" s="34" t="str">
        <f ca="1">IF($A34="","",IF(IF(BA$2&lt;=$A$1,1,0),IF(BA$4="休","",IF(COUNTIF(DATA!BB:BB,$A:$A)=0,"×","√")),""))</f>
        <v/>
      </c>
      <c r="BB34" s="34" t="str">
        <f ca="1">IF($A34="","",IF(IF(BB$2&lt;=$A$1,1,0),IF(BB$4="休","",IF(COUNTIF(DATA!BC:BC,$A:$A)=0,"×","√")),""))</f>
        <v/>
      </c>
      <c r="BC34" s="34" t="str">
        <f ca="1">IF($A34="","",IF(IF(BC$2&lt;=$A$1,1,0),IF(BC$4="休","",IF(COUNTIF(DATA!BD:BD,$A:$A)=0,"×","√")),""))</f>
        <v/>
      </c>
      <c r="BD34" s="34" t="str">
        <f ca="1">IF($A34="","",IF(IF(BD$2&lt;=$A$1,1,0),IF(BD$4="休","",IF(COUNTIF(DATA!BE:BE,$A:$A)=0,"×","√")),""))</f>
        <v/>
      </c>
      <c r="BE34" s="34" t="str">
        <f ca="1">IF($A34="","",IF(IF(BE$2&lt;=$A$1,1,0),IF(BE$4="休","",IF(COUNTIF(DATA!BF:BF,$A:$A)=0,"×","√")),""))</f>
        <v/>
      </c>
      <c r="BF34" s="34" t="str">
        <f ca="1">IF($A34="","",IF(IF(BF$2&lt;=$A$1,1,0),IF(BF$4="休","",IF(COUNTIF(DATA!BG:BG,$A:$A)=0,"×","√")),""))</f>
        <v/>
      </c>
      <c r="BG34" s="34" t="str">
        <f ca="1">IF($A34="","",IF(IF(BG$2&lt;=$A$1,1,0),IF(BG$4="休","",IF(COUNTIF(DATA!BH:BH,$A:$A)=0,"×","√")),""))</f>
        <v/>
      </c>
      <c r="BH34" s="34" t="str">
        <f ca="1">IF($A34="","",IF(IF(BH$2&lt;=$A$1,1,0),IF(BH$4="休","",IF(COUNTIF(DATA!BI:BI,$A:$A)=0,"×","√")),""))</f>
        <v/>
      </c>
      <c r="BI34" s="34" t="str">
        <f ca="1">IF($A34="","",IF(IF(BI$2&lt;=$A$1,1,0),IF(BI$4="休","",IF(COUNTIF(DATA!BJ:BJ,$A:$A)=0,"×","√")),""))</f>
        <v/>
      </c>
      <c r="BJ34" s="34" t="str">
        <f ca="1">IF($A34="","",IF(IF(BJ$2&lt;=$A$1,1,0),IF(BJ$4="休","",IF(COUNTIF(DATA!BK:BK,$A:$A)=0,"×","√")),""))</f>
        <v/>
      </c>
      <c r="BK34" s="34" t="str">
        <f ca="1">IF($A34="","",IF(IF(BK$2&lt;=$A$1,1,0),IF(BK$4="休","",IF(COUNTIF(DATA!BL:BL,$A:$A)=0,"×","√")),""))</f>
        <v/>
      </c>
      <c r="BL34" s="34" t="str">
        <f ca="1">IF($A34="","",IF(IF(BL$2&lt;=$A$1,1,0),IF(BL$4="休","",IF(COUNTIF(DATA!BM:BM,$A:$A)=0,"×","√")),""))</f>
        <v/>
      </c>
      <c r="BM34" s="34" t="str">
        <f ca="1">IF($A34="","",IF(IF(BM$2&lt;=$A$1,1,0),IF(BM$4="休","",IF(COUNTIF(DATA!BN:BN,$A:$A)=0,"×","√")),""))</f>
        <v/>
      </c>
      <c r="BN34" s="34" t="str">
        <f ca="1">IF($A34="","",IF(IF(BN$2&lt;=$A$1,1,0),IF(BN$4="休","",IF(COUNTIF(DATA!BO:BO,$A:$A)=0,"×","√")),""))</f>
        <v/>
      </c>
      <c r="BO34" s="34" t="str">
        <f ca="1">IF($A34="","",IF(IF(BO$2&lt;=$A$1,1,0),IF(BO$4="休","",IF(COUNTIF(DATA!BP:BP,$A:$A)=0,"×","√")),""))</f>
        <v/>
      </c>
      <c r="BP34" s="34" t="str">
        <f ca="1">IF($A34="","",IF(IF(BP$2&lt;=$A$1,1,0),IF(BP$4="休","",IF(COUNTIF(DATA!BQ:BQ,$A:$A)=0,"×","√")),""))</f>
        <v/>
      </c>
      <c r="BQ34" s="34" t="str">
        <f ca="1">IF($A34="","",IF(IF(BQ$2&lt;=$A$1,1,0),IF(BQ$4="休","",IF(COUNTIF(DATA!BR:BR,$A:$A)=0,"×","√")),""))</f>
        <v/>
      </c>
      <c r="BR34" s="34" t="str">
        <f ca="1">IF($A34="","",IF(IF(BR$2&lt;=$A$1,1,0),IF(BR$4="休","",IF(COUNTIF(DATA!BS:BS,$A:$A)=0,"×","√")),""))</f>
        <v/>
      </c>
      <c r="BS34" s="34" t="str">
        <f ca="1">IF($A34="","",IF(IF(BS$2&lt;=$A$1,1,0),IF(BS$4="休","",IF(COUNTIF(DATA!BT:BT,$A:$A)=0,"×","√")),""))</f>
        <v/>
      </c>
      <c r="BT34" s="34" t="str">
        <f ca="1">IF($A34="","",IF(IF(BT$2&lt;=$A$1,1,0),IF(BT$4="休","",IF(COUNTIF(DATA!BU:BU,$A:$A)=0,"×","√")),""))</f>
        <v/>
      </c>
      <c r="BU34" s="34" t="str">
        <f ca="1">IF($A34="","",IF(IF(BU$2&lt;=$A$1,1,0),IF(BU$4="休","",IF(COUNTIF(DATA!BV:BV,$A:$A)=0,"×","√")),""))</f>
        <v/>
      </c>
      <c r="BV34" s="34" t="str">
        <f ca="1">IF($A34="","",IF(IF(BV$2&lt;=$A$1,1,0),IF(BV$4="休","",IF(COUNTIF(DATA!BW:BW,$A:$A)=0,"×","√")),""))</f>
        <v/>
      </c>
      <c r="BW34" s="34" t="str">
        <f ca="1">IF($A34="","",IF(IF(BW$2&lt;=$A$1,1,0),IF(BW$4="休","",IF(COUNTIF(DATA!BX:BX,$A:$A)=0,"×","√")),""))</f>
        <v/>
      </c>
      <c r="BX34" s="34" t="str">
        <f ca="1">IF($A34="","",IF(IF(BX$2&lt;=$A$1,1,0),IF(BX$4="休","",IF(COUNTIF(DATA!BY:BY,$A:$A)=0,"×","√")),""))</f>
        <v/>
      </c>
      <c r="BY34" s="34" t="str">
        <f ca="1">IF($A34="","",IF(IF(BY$2&lt;=$A$1,1,0),IF(BY$4="休","",IF(COUNTIF(DATA!BZ:BZ,$A:$A)=0,"×","√")),""))</f>
        <v/>
      </c>
      <c r="BZ34" s="34" t="str">
        <f ca="1">IF($A34="","",IF(IF(BZ$2&lt;=$A$1,1,0),IF(BZ$4="休","",IF(COUNTIF(DATA!CA:CA,$A:$A)=0,"×","√")),""))</f>
        <v/>
      </c>
      <c r="CA34" s="34" t="str">
        <f ca="1">IF($A34="","",IF(IF(CA$2&lt;=$A$1,1,0),IF(CA$4="休","",IF(COUNTIF(DATA!CB:CB,$A:$A)=0,"×","√")),""))</f>
        <v/>
      </c>
      <c r="CB34" s="34" t="str">
        <f ca="1">IF($A34="","",IF(IF(CB$2&lt;=$A$1,1,0),IF(CB$4="休","",IF(COUNTIF(DATA!CC:CC,$A:$A)=0,"×","√")),""))</f>
        <v/>
      </c>
      <c r="CC34" s="34" t="str">
        <f ca="1">IF($A34="","",IF(IF(CC$2&lt;=$A$1,1,0),IF(CC$4="休","",IF(COUNTIF(DATA!CD:CD,$A:$A)=0,"×","√")),""))</f>
        <v/>
      </c>
      <c r="CD34" s="34" t="str">
        <f ca="1">IF($A34="","",IF(IF(CD$2&lt;=$A$1,1,0),IF(CD$4="休","",IF(COUNTIF(DATA!CE:CE,$A:$A)=0,"×","√")),""))</f>
        <v/>
      </c>
      <c r="CE34" s="34" t="str">
        <f ca="1">IF($A34="","",IF(IF(CE$2&lt;=$A$1,1,0),IF(CE$4="休","",IF(COUNTIF(DATA!CF:CF,$A:$A)=0,"×","√")),""))</f>
        <v/>
      </c>
      <c r="CF34" s="34" t="str">
        <f ca="1">IF($A34="","",IF(IF(CF$2&lt;=$A$1,1,0),IF(CF$4="休","",IF(COUNTIF(DATA!CG:CG,$A:$A)=0,"×","√")),""))</f>
        <v/>
      </c>
      <c r="CG34" s="34" t="str">
        <f ca="1">IF($A34="","",IF(IF(CG$2&lt;=$A$1,1,0),IF(CG$4="休","",IF(COUNTIF(DATA!CH:CH,$A:$A)=0,"×","√")),""))</f>
        <v/>
      </c>
      <c r="CH34" s="34" t="str">
        <f ca="1">IF($A34="","",IF(IF(CH$2&lt;=$A$1,1,0),IF(CH$4="休","",IF(COUNTIF(DATA!CI:CI,$A:$A)=0,"×","√")),""))</f>
        <v/>
      </c>
      <c r="CI34" s="34" t="str">
        <f ca="1">IF($A34="","",IF(IF(CI$2&lt;=$A$1,1,0),IF(CI$4="休","",IF(COUNTIF(DATA!CJ:CJ,$A:$A)=0,"×","√")),""))</f>
        <v/>
      </c>
      <c r="CJ34" s="34" t="str">
        <f ca="1">IF($A34="","",IF(IF(CJ$2&lt;=$A$1,1,0),IF(CJ$4="休","",IF(COUNTIF(DATA!CK:CK,$A:$A)=0,"×","√")),""))</f>
        <v/>
      </c>
      <c r="CK34" s="34" t="str">
        <f ca="1">IF($A34="","",IF(IF(CK$2&lt;=$A$1,1,0),IF(CK$4="休","",IF(COUNTIF(DATA!CL:CL,$A:$A)=0,"×","√")),""))</f>
        <v/>
      </c>
      <c r="CL34" s="34" t="str">
        <f ca="1">IF($A34="","",IF(IF(CL$2&lt;=$A$1,1,0),IF(CL$4="休","",IF(COUNTIF(DATA!CM:CM,$A:$A)=0,"×","√")),""))</f>
        <v/>
      </c>
      <c r="CM34" s="34" t="str">
        <f ca="1">IF($A34="","",IF(IF(CM$2&lt;=$A$1,1,0),IF(CM$4="休","",IF(COUNTIF(DATA!CN:CN,$A:$A)=0,"×","√")),""))</f>
        <v/>
      </c>
      <c r="CN34" s="34" t="str">
        <f ca="1">IF($A34="","",IF(IF(CN$2&lt;=$A$1,1,0),IF(CN$4="休","",IF(COUNTIF(DATA!CO:CO,$A:$A)=0,"×","√")),""))</f>
        <v/>
      </c>
      <c r="CO34" s="34" t="str">
        <f ca="1">IF($A34="","",IF(IF(CO$2&lt;=$A$1,1,0),IF(CO$4="休","",IF(COUNTIF(DATA!CP:CP,$A:$A)=0,"×","√")),""))</f>
        <v/>
      </c>
      <c r="CP34" s="34" t="str">
        <f ca="1">IF($A34="","",IF(IF(CP$2&lt;=$A$1,1,0),IF(CP$4="休","",IF(COUNTIF(DATA!CQ:CQ,$A:$A)=0,"×","√")),""))</f>
        <v/>
      </c>
      <c r="CQ34" s="34" t="str">
        <f ca="1">IF($A34="","",IF(IF(CQ$2&lt;=$A$1,1,0),IF(CQ$4="休","",IF(COUNTIF(DATA!CR:CR,$A:$A)=0,"×","√")),""))</f>
        <v/>
      </c>
      <c r="CR34" s="34" t="str">
        <f ca="1">IF($A34="","",IF(IF(CR$2&lt;=$A$1,1,0),IF(CR$4="休","",IF(COUNTIF(DATA!CS:CS,$A:$A)=0,"×","√")),""))</f>
        <v/>
      </c>
    </row>
    <row r="35" s="28" customFormat="1" ht="18.75" spans="1:96">
      <c r="A35" s="34" t="str">
        <f>DATA!$A34&amp;""</f>
        <v>涂天赐</v>
      </c>
      <c r="B35" s="34" t="str">
        <f ca="1">IF($A35="","",IF(IF(B$2&lt;=$A$1,1,0),IF(B$4="休","",IF(COUNTIF(DATA!C:C,$A:$A)=0,"×","√")),""))</f>
        <v>√</v>
      </c>
      <c r="C35" s="34" t="str">
        <f ca="1">IF($A35="","",IF(IF(C$2&lt;=$A$1,1,0),IF(C$4="休","",IF(COUNTIF(DATA!D:D,$A:$A)=0,"×","√")),""))</f>
        <v>√</v>
      </c>
      <c r="D35" s="34" t="str">
        <f ca="1">IF($A35="","",IF(IF(D$2&lt;=$A$1,1,0),IF(D$4="休","",IF(COUNTIF(DATA!E:E,$A:$A)=0,"×","√")),""))</f>
        <v>√</v>
      </c>
      <c r="E35" s="34" t="str">
        <f ca="1">IF($A35="","",IF(IF(E$2&lt;=$A$1,1,0),IF(E$4="休","",IF(COUNTIF(DATA!F:F,$A:$A)=0,"×","√")),""))</f>
        <v>√</v>
      </c>
      <c r="F35" s="34" t="str">
        <f ca="1">IF($A35="","",IF(IF(F$2&lt;=$A$1,1,0),IF(F$4="休","",IF(COUNTIF(DATA!G:G,$A:$A)=0,"×","√")),""))</f>
        <v>√</v>
      </c>
      <c r="G35" s="34" t="str">
        <f ca="1">IF($A35="","",IF(IF(G$2&lt;=$A$1,1,0),IF(G$4="休","",IF(COUNTIF(DATA!H:H,$A:$A)=0,"×","√")),""))</f>
        <v>√</v>
      </c>
      <c r="H35" s="34" t="str">
        <f ca="1">IF($A35="","",IF(IF(H$2&lt;=$A$1,1,0),IF(H$4="休","",IF(COUNTIF(DATA!I:I,$A:$A)=0,"×","√")),""))</f>
        <v>√</v>
      </c>
      <c r="I35" s="34" t="str">
        <f ca="1">IF($A35="","",IF(IF(I$2&lt;=$A$1,1,0),IF(I$4="休","",IF(COUNTIF(DATA!J:J,$A:$A)=0,"×","√")),""))</f>
        <v>√</v>
      </c>
      <c r="J35" s="34" t="str">
        <f ca="1">IF($A35="","",IF(IF(J$2&lt;=$A$1,1,0),IF(J$4="休","",IF(COUNTIF(DATA!K:K,$A:$A)=0,"×","√")),""))</f>
        <v>√</v>
      </c>
      <c r="K35" s="34" t="str">
        <f ca="1">IF($A35="","",IF(IF(K$2&lt;=$A$1,1,0),IF(K$4="休","",IF(COUNTIF(DATA!L:L,$A:$A)=0,"×","√")),""))</f>
        <v>√</v>
      </c>
      <c r="L35" s="34" t="str">
        <f ca="1">IF($A35="","",IF(IF(L$2&lt;=$A$1,1,0),IF(L$4="休","",IF(COUNTIF(DATA!M:M,$A:$A)=0,"×","√")),""))</f>
        <v>√</v>
      </c>
      <c r="M35" s="34" t="str">
        <f ca="1">IF($A35="","",IF(IF(M$2&lt;=$A$1,1,0),IF(M$4="休","",IF(COUNTIF(DATA!N:N,$A:$A)=0,"×","√")),""))</f>
        <v>√</v>
      </c>
      <c r="N35" s="34" t="str">
        <f ca="1">IF($A35="","",IF(IF(N$2&lt;=$A$1,1,0),IF(N$4="休","",IF(COUNTIF(DATA!O:O,$A:$A)=0,"×","√")),""))</f>
        <v>√</v>
      </c>
      <c r="O35" s="34" t="str">
        <f ca="1">IF($A35="","",IF(IF(O$2&lt;=$A$1,1,0),IF(O$4="休","",IF(COUNTIF(DATA!P:P,$A:$A)=0,"×","√")),""))</f>
        <v>×</v>
      </c>
      <c r="P35" s="34" t="str">
        <f ca="1">IF($A35="","",IF(IF(P$2&lt;=$A$1,1,0),IF(P$4="休","",IF(COUNTIF(DATA!Q:Q,$A:$A)=0,"×","√")),""))</f>
        <v/>
      </c>
      <c r="Q35" s="34" t="str">
        <f ca="1">IF($A35="","",IF(IF(Q$2&lt;=$A$1,1,0),IF(Q$4="休","",IF(COUNTIF(DATA!R:R,$A:$A)=0,"×","√")),""))</f>
        <v/>
      </c>
      <c r="R35" s="34" t="str">
        <f ca="1">IF($A35="","",IF(IF(R$2&lt;=$A$1,1,0),IF(R$4="休","",IF(COUNTIF(DATA!S:S,$A:$A)=0,"×","√")),""))</f>
        <v/>
      </c>
      <c r="S35" s="34" t="str">
        <f ca="1">IF($A35="","",IF(IF(S$2&lt;=$A$1,1,0),IF(S$4="休","",IF(COUNTIF(DATA!T:T,$A:$A)=0,"×","√")),""))</f>
        <v/>
      </c>
      <c r="T35" s="34" t="str">
        <f ca="1">IF($A35="","",IF(IF(T$2&lt;=$A$1,1,0),IF(T$4="休","",IF(COUNTIF(DATA!U:U,$A:$A)=0,"×","√")),""))</f>
        <v/>
      </c>
      <c r="U35" s="34" t="str">
        <f ca="1">IF($A35="","",IF(IF(U$2&lt;=$A$1,1,0),IF(U$4="休","",IF(COUNTIF(DATA!V:V,$A:$A)=0,"×","√")),""))</f>
        <v/>
      </c>
      <c r="V35" s="34" t="str">
        <f ca="1">IF($A35="","",IF(IF(V$2&lt;=$A$1,1,0),IF(V$4="休","",IF(COUNTIF(DATA!W:W,$A:$A)=0,"×","√")),""))</f>
        <v/>
      </c>
      <c r="W35" s="34" t="str">
        <f ca="1">IF($A35="","",IF(IF(W$2&lt;=$A$1,1,0),IF(W$4="休","",IF(COUNTIF(DATA!X:X,$A:$A)=0,"×","√")),""))</f>
        <v/>
      </c>
      <c r="X35" s="34" t="str">
        <f ca="1">IF($A35="","",IF(IF(X$2&lt;=$A$1,1,0),IF(X$4="休","",IF(COUNTIF(DATA!Y:Y,$A:$A)=0,"×","√")),""))</f>
        <v/>
      </c>
      <c r="Y35" s="34" t="str">
        <f ca="1">IF($A35="","",IF(IF(Y$2&lt;=$A$1,1,0),IF(Y$4="休","",IF(COUNTIF(DATA!Z:Z,$A:$A)=0,"×","√")),""))</f>
        <v/>
      </c>
      <c r="Z35" s="34" t="str">
        <f ca="1">IF($A35="","",IF(IF(Z$2&lt;=$A$1,1,0),IF(Z$4="休","",IF(COUNTIF(DATA!AA:AA,$A:$A)=0,"×","√")),""))</f>
        <v/>
      </c>
      <c r="AA35" s="34" t="str">
        <f ca="1">IF($A35="","",IF(IF(AA$2&lt;=$A$1,1,0),IF(AA$4="休","",IF(COUNTIF(DATA!AB:AB,$A:$A)=0,"×","√")),""))</f>
        <v/>
      </c>
      <c r="AB35" s="34" t="str">
        <f ca="1">IF($A35="","",IF(IF(AB$2&lt;=$A$1,1,0),IF(AB$4="休","",IF(COUNTIF(DATA!AC:AC,$A:$A)=0,"×","√")),""))</f>
        <v/>
      </c>
      <c r="AC35" s="34" t="str">
        <f ca="1">IF($A35="","",IF(IF(AC$2&lt;=$A$1,1,0),IF(AC$4="休","",IF(COUNTIF(DATA!AD:AD,$A:$A)=0,"×","√")),""))</f>
        <v/>
      </c>
      <c r="AD35" s="34" t="str">
        <f ca="1">IF($A35="","",IF(IF(AD$2&lt;=$A$1,1,0),IF(AD$4="休","",IF(COUNTIF(DATA!AE:AE,$A:$A)=0,"×","√")),""))</f>
        <v/>
      </c>
      <c r="AE35" s="34" t="str">
        <f ca="1">IF($A35="","",IF(IF(AE$2&lt;=$A$1,1,0),IF(AE$4="休","",IF(COUNTIF(DATA!AF:AF,$A:$A)=0,"×","√")),""))</f>
        <v/>
      </c>
      <c r="AF35" s="34" t="str">
        <f ca="1">IF($A35="","",IF(IF(AF$2&lt;=$A$1,1,0),IF(AF$4="休","",IF(COUNTIF(DATA!AG:AG,$A:$A)=0,"×","√")),""))</f>
        <v/>
      </c>
      <c r="AG35" s="34" t="str">
        <f ca="1">IF($A35="","",IF(IF(AG$2&lt;=$A$1,1,0),IF(AG$4="休","",IF(COUNTIF(DATA!AH:AH,$A:$A)=0,"×","√")),""))</f>
        <v/>
      </c>
      <c r="AH35" s="34" t="str">
        <f ca="1">IF($A35="","",IF(IF(AH$2&lt;=$A$1,1,0),IF(AH$4="休","",IF(COUNTIF(DATA!AI:AI,$A:$A)=0,"×","√")),""))</f>
        <v/>
      </c>
      <c r="AI35" s="34" t="str">
        <f ca="1">IF($A35="","",IF(IF(AI$2&lt;=$A$1,1,0),IF(AI$4="休","",IF(COUNTIF(DATA!AJ:AJ,$A:$A)=0,"×","√")),""))</f>
        <v/>
      </c>
      <c r="AJ35" s="34" t="str">
        <f ca="1">IF($A35="","",IF(IF(AJ$2&lt;=$A$1,1,0),IF(AJ$4="休","",IF(COUNTIF(DATA!AK:AK,$A:$A)=0,"×","√")),""))</f>
        <v/>
      </c>
      <c r="AK35" s="34" t="str">
        <f ca="1">IF($A35="","",IF(IF(AK$2&lt;=$A$1,1,0),IF(AK$4="休","",IF(COUNTIF(DATA!AL:AL,$A:$A)=0,"×","√")),""))</f>
        <v/>
      </c>
      <c r="AL35" s="34" t="str">
        <f ca="1">IF($A35="","",IF(IF(AL$2&lt;=$A$1,1,0),IF(AL$4="休","",IF(COUNTIF(DATA!AM:AM,$A:$A)=0,"×","√")),""))</f>
        <v/>
      </c>
      <c r="AM35" s="34" t="str">
        <f ca="1">IF($A35="","",IF(IF(AM$2&lt;=$A$1,1,0),IF(AM$4="休","",IF(COUNTIF(DATA!AN:AN,$A:$A)=0,"×","√")),""))</f>
        <v/>
      </c>
      <c r="AN35" s="34" t="str">
        <f ca="1">IF($A35="","",IF(IF(AN$2&lt;=$A$1,1,0),IF(AN$4="休","",IF(COUNTIF(DATA!AO:AO,$A:$A)=0,"×","√")),""))</f>
        <v/>
      </c>
      <c r="AO35" s="34" t="str">
        <f ca="1">IF($A35="","",IF(IF(AO$2&lt;=$A$1,1,0),IF(AO$4="休","",IF(COUNTIF(DATA!AP:AP,$A:$A)=0,"×","√")),""))</f>
        <v/>
      </c>
      <c r="AP35" s="34" t="str">
        <f ca="1">IF($A35="","",IF(IF(AP$2&lt;=$A$1,1,0),IF(AP$4="休","",IF(COUNTIF(DATA!AQ:AQ,$A:$A)=0,"×","√")),""))</f>
        <v/>
      </c>
      <c r="AQ35" s="34" t="str">
        <f ca="1">IF($A35="","",IF(IF(AQ$2&lt;=$A$1,1,0),IF(AQ$4="休","",IF(COUNTIF(DATA!AR:AR,$A:$A)=0,"×","√")),""))</f>
        <v/>
      </c>
      <c r="AR35" s="34" t="str">
        <f ca="1">IF($A35="","",IF(IF(AR$2&lt;=$A$1,1,0),IF(AR$4="休","",IF(COUNTIF(DATA!AS:AS,$A:$A)=0,"×","√")),""))</f>
        <v/>
      </c>
      <c r="AS35" s="34" t="str">
        <f ca="1">IF($A35="","",IF(IF(AS$2&lt;=$A$1,1,0),IF(AS$4="休","",IF(COUNTIF(DATA!AT:AT,$A:$A)=0,"×","√")),""))</f>
        <v/>
      </c>
      <c r="AT35" s="34" t="str">
        <f ca="1">IF($A35="","",IF(IF(AT$2&lt;=$A$1,1,0),IF(AT$4="休","",IF(COUNTIF(DATA!AU:AU,$A:$A)=0,"×","√")),""))</f>
        <v/>
      </c>
      <c r="AU35" s="34" t="str">
        <f ca="1">IF($A35="","",IF(IF(AU$2&lt;=$A$1,1,0),IF(AU$4="休","",IF(COUNTIF(DATA!AV:AV,$A:$A)=0,"×","√")),""))</f>
        <v/>
      </c>
      <c r="AV35" s="34" t="str">
        <f ca="1">IF($A35="","",IF(IF(AV$2&lt;=$A$1,1,0),IF(AV$4="休","",IF(COUNTIF(DATA!AW:AW,$A:$A)=0,"×","√")),""))</f>
        <v/>
      </c>
      <c r="AW35" s="34" t="str">
        <f ca="1">IF($A35="","",IF(IF(AW$2&lt;=$A$1,1,0),IF(AW$4="休","",IF(COUNTIF(DATA!AX:AX,$A:$A)=0,"×","√")),""))</f>
        <v/>
      </c>
      <c r="AX35" s="34" t="str">
        <f ca="1">IF($A35="","",IF(IF(AX$2&lt;=$A$1,1,0),IF(AX$4="休","",IF(COUNTIF(DATA!AY:AY,$A:$A)=0,"×","√")),""))</f>
        <v/>
      </c>
      <c r="AY35" s="34" t="str">
        <f ca="1">IF($A35="","",IF(IF(AY$2&lt;=$A$1,1,0),IF(AY$4="休","",IF(COUNTIF(DATA!AZ:AZ,$A:$A)=0,"×","√")),""))</f>
        <v/>
      </c>
      <c r="AZ35" s="34" t="str">
        <f ca="1">IF($A35="","",IF(IF(AZ$2&lt;=$A$1,1,0),IF(AZ$4="休","",IF(COUNTIF(DATA!BA:BA,$A:$A)=0,"×","√")),""))</f>
        <v/>
      </c>
      <c r="BA35" s="34" t="str">
        <f ca="1">IF($A35="","",IF(IF(BA$2&lt;=$A$1,1,0),IF(BA$4="休","",IF(COUNTIF(DATA!BB:BB,$A:$A)=0,"×","√")),""))</f>
        <v/>
      </c>
      <c r="BB35" s="34" t="str">
        <f ca="1">IF($A35="","",IF(IF(BB$2&lt;=$A$1,1,0),IF(BB$4="休","",IF(COUNTIF(DATA!BC:BC,$A:$A)=0,"×","√")),""))</f>
        <v/>
      </c>
      <c r="BC35" s="34" t="str">
        <f ca="1">IF($A35="","",IF(IF(BC$2&lt;=$A$1,1,0),IF(BC$4="休","",IF(COUNTIF(DATA!BD:BD,$A:$A)=0,"×","√")),""))</f>
        <v/>
      </c>
      <c r="BD35" s="34" t="str">
        <f ca="1">IF($A35="","",IF(IF(BD$2&lt;=$A$1,1,0),IF(BD$4="休","",IF(COUNTIF(DATA!BE:BE,$A:$A)=0,"×","√")),""))</f>
        <v/>
      </c>
      <c r="BE35" s="34" t="str">
        <f ca="1">IF($A35="","",IF(IF(BE$2&lt;=$A$1,1,0),IF(BE$4="休","",IF(COUNTIF(DATA!BF:BF,$A:$A)=0,"×","√")),""))</f>
        <v/>
      </c>
      <c r="BF35" s="34" t="str">
        <f ca="1">IF($A35="","",IF(IF(BF$2&lt;=$A$1,1,0),IF(BF$4="休","",IF(COUNTIF(DATA!BG:BG,$A:$A)=0,"×","√")),""))</f>
        <v/>
      </c>
      <c r="BG35" s="34" t="str">
        <f ca="1">IF($A35="","",IF(IF(BG$2&lt;=$A$1,1,0),IF(BG$4="休","",IF(COUNTIF(DATA!BH:BH,$A:$A)=0,"×","√")),""))</f>
        <v/>
      </c>
      <c r="BH35" s="34" t="str">
        <f ca="1">IF($A35="","",IF(IF(BH$2&lt;=$A$1,1,0),IF(BH$4="休","",IF(COUNTIF(DATA!BI:BI,$A:$A)=0,"×","√")),""))</f>
        <v/>
      </c>
      <c r="BI35" s="34" t="str">
        <f ca="1">IF($A35="","",IF(IF(BI$2&lt;=$A$1,1,0),IF(BI$4="休","",IF(COUNTIF(DATA!BJ:BJ,$A:$A)=0,"×","√")),""))</f>
        <v/>
      </c>
      <c r="BJ35" s="34" t="str">
        <f ca="1">IF($A35="","",IF(IF(BJ$2&lt;=$A$1,1,0),IF(BJ$4="休","",IF(COUNTIF(DATA!BK:BK,$A:$A)=0,"×","√")),""))</f>
        <v/>
      </c>
      <c r="BK35" s="34" t="str">
        <f ca="1">IF($A35="","",IF(IF(BK$2&lt;=$A$1,1,0),IF(BK$4="休","",IF(COUNTIF(DATA!BL:BL,$A:$A)=0,"×","√")),""))</f>
        <v/>
      </c>
      <c r="BL35" s="34" t="str">
        <f ca="1">IF($A35="","",IF(IF(BL$2&lt;=$A$1,1,0),IF(BL$4="休","",IF(COUNTIF(DATA!BM:BM,$A:$A)=0,"×","√")),""))</f>
        <v/>
      </c>
      <c r="BM35" s="34" t="str">
        <f ca="1">IF($A35="","",IF(IF(BM$2&lt;=$A$1,1,0),IF(BM$4="休","",IF(COUNTIF(DATA!BN:BN,$A:$A)=0,"×","√")),""))</f>
        <v/>
      </c>
      <c r="BN35" s="34" t="str">
        <f ca="1">IF($A35="","",IF(IF(BN$2&lt;=$A$1,1,0),IF(BN$4="休","",IF(COUNTIF(DATA!BO:BO,$A:$A)=0,"×","√")),""))</f>
        <v/>
      </c>
      <c r="BO35" s="34" t="str">
        <f ca="1">IF($A35="","",IF(IF(BO$2&lt;=$A$1,1,0),IF(BO$4="休","",IF(COUNTIF(DATA!BP:BP,$A:$A)=0,"×","√")),""))</f>
        <v/>
      </c>
      <c r="BP35" s="34" t="str">
        <f ca="1">IF($A35="","",IF(IF(BP$2&lt;=$A$1,1,0),IF(BP$4="休","",IF(COUNTIF(DATA!BQ:BQ,$A:$A)=0,"×","√")),""))</f>
        <v/>
      </c>
      <c r="BQ35" s="34" t="str">
        <f ca="1">IF($A35="","",IF(IF(BQ$2&lt;=$A$1,1,0),IF(BQ$4="休","",IF(COUNTIF(DATA!BR:BR,$A:$A)=0,"×","√")),""))</f>
        <v/>
      </c>
      <c r="BR35" s="34" t="str">
        <f ca="1">IF($A35="","",IF(IF(BR$2&lt;=$A$1,1,0),IF(BR$4="休","",IF(COUNTIF(DATA!BS:BS,$A:$A)=0,"×","√")),""))</f>
        <v/>
      </c>
      <c r="BS35" s="34" t="str">
        <f ca="1">IF($A35="","",IF(IF(BS$2&lt;=$A$1,1,0),IF(BS$4="休","",IF(COUNTIF(DATA!BT:BT,$A:$A)=0,"×","√")),""))</f>
        <v/>
      </c>
      <c r="BT35" s="34" t="str">
        <f ca="1">IF($A35="","",IF(IF(BT$2&lt;=$A$1,1,0),IF(BT$4="休","",IF(COUNTIF(DATA!BU:BU,$A:$A)=0,"×","√")),""))</f>
        <v/>
      </c>
      <c r="BU35" s="34" t="str">
        <f ca="1">IF($A35="","",IF(IF(BU$2&lt;=$A$1,1,0),IF(BU$4="休","",IF(COUNTIF(DATA!BV:BV,$A:$A)=0,"×","√")),""))</f>
        <v/>
      </c>
      <c r="BV35" s="34" t="str">
        <f ca="1">IF($A35="","",IF(IF(BV$2&lt;=$A$1,1,0),IF(BV$4="休","",IF(COUNTIF(DATA!BW:BW,$A:$A)=0,"×","√")),""))</f>
        <v/>
      </c>
      <c r="BW35" s="34" t="str">
        <f ca="1">IF($A35="","",IF(IF(BW$2&lt;=$A$1,1,0),IF(BW$4="休","",IF(COUNTIF(DATA!BX:BX,$A:$A)=0,"×","√")),""))</f>
        <v/>
      </c>
      <c r="BX35" s="34" t="str">
        <f ca="1">IF($A35="","",IF(IF(BX$2&lt;=$A$1,1,0),IF(BX$4="休","",IF(COUNTIF(DATA!BY:BY,$A:$A)=0,"×","√")),""))</f>
        <v/>
      </c>
      <c r="BY35" s="34" t="str">
        <f ca="1">IF($A35="","",IF(IF(BY$2&lt;=$A$1,1,0),IF(BY$4="休","",IF(COUNTIF(DATA!BZ:BZ,$A:$A)=0,"×","√")),""))</f>
        <v/>
      </c>
      <c r="BZ35" s="34" t="str">
        <f ca="1">IF($A35="","",IF(IF(BZ$2&lt;=$A$1,1,0),IF(BZ$4="休","",IF(COUNTIF(DATA!CA:CA,$A:$A)=0,"×","√")),""))</f>
        <v/>
      </c>
      <c r="CA35" s="34" t="str">
        <f ca="1">IF($A35="","",IF(IF(CA$2&lt;=$A$1,1,0),IF(CA$4="休","",IF(COUNTIF(DATA!CB:CB,$A:$A)=0,"×","√")),""))</f>
        <v/>
      </c>
      <c r="CB35" s="34" t="str">
        <f ca="1">IF($A35="","",IF(IF(CB$2&lt;=$A$1,1,0),IF(CB$4="休","",IF(COUNTIF(DATA!CC:CC,$A:$A)=0,"×","√")),""))</f>
        <v/>
      </c>
      <c r="CC35" s="34" t="str">
        <f ca="1">IF($A35="","",IF(IF(CC$2&lt;=$A$1,1,0),IF(CC$4="休","",IF(COUNTIF(DATA!CD:CD,$A:$A)=0,"×","√")),""))</f>
        <v/>
      </c>
      <c r="CD35" s="34" t="str">
        <f ca="1">IF($A35="","",IF(IF(CD$2&lt;=$A$1,1,0),IF(CD$4="休","",IF(COUNTIF(DATA!CE:CE,$A:$A)=0,"×","√")),""))</f>
        <v/>
      </c>
      <c r="CE35" s="34" t="str">
        <f ca="1">IF($A35="","",IF(IF(CE$2&lt;=$A$1,1,0),IF(CE$4="休","",IF(COUNTIF(DATA!CF:CF,$A:$A)=0,"×","√")),""))</f>
        <v/>
      </c>
      <c r="CF35" s="34" t="str">
        <f ca="1">IF($A35="","",IF(IF(CF$2&lt;=$A$1,1,0),IF(CF$4="休","",IF(COUNTIF(DATA!CG:CG,$A:$A)=0,"×","√")),""))</f>
        <v/>
      </c>
      <c r="CG35" s="34" t="str">
        <f ca="1">IF($A35="","",IF(IF(CG$2&lt;=$A$1,1,0),IF(CG$4="休","",IF(COUNTIF(DATA!CH:CH,$A:$A)=0,"×","√")),""))</f>
        <v/>
      </c>
      <c r="CH35" s="34" t="str">
        <f ca="1">IF($A35="","",IF(IF(CH$2&lt;=$A$1,1,0),IF(CH$4="休","",IF(COUNTIF(DATA!CI:CI,$A:$A)=0,"×","√")),""))</f>
        <v/>
      </c>
      <c r="CI35" s="34" t="str">
        <f ca="1">IF($A35="","",IF(IF(CI$2&lt;=$A$1,1,0),IF(CI$4="休","",IF(COUNTIF(DATA!CJ:CJ,$A:$A)=0,"×","√")),""))</f>
        <v/>
      </c>
      <c r="CJ35" s="34" t="str">
        <f ca="1">IF($A35="","",IF(IF(CJ$2&lt;=$A$1,1,0),IF(CJ$4="休","",IF(COUNTIF(DATA!CK:CK,$A:$A)=0,"×","√")),""))</f>
        <v/>
      </c>
      <c r="CK35" s="34" t="str">
        <f ca="1">IF($A35="","",IF(IF(CK$2&lt;=$A$1,1,0),IF(CK$4="休","",IF(COUNTIF(DATA!CL:CL,$A:$A)=0,"×","√")),""))</f>
        <v/>
      </c>
      <c r="CL35" s="34" t="str">
        <f ca="1">IF($A35="","",IF(IF(CL$2&lt;=$A$1,1,0),IF(CL$4="休","",IF(COUNTIF(DATA!CM:CM,$A:$A)=0,"×","√")),""))</f>
        <v/>
      </c>
      <c r="CM35" s="34" t="str">
        <f ca="1">IF($A35="","",IF(IF(CM$2&lt;=$A$1,1,0),IF(CM$4="休","",IF(COUNTIF(DATA!CN:CN,$A:$A)=0,"×","√")),""))</f>
        <v/>
      </c>
      <c r="CN35" s="34" t="str">
        <f ca="1">IF($A35="","",IF(IF(CN$2&lt;=$A$1,1,0),IF(CN$4="休","",IF(COUNTIF(DATA!CO:CO,$A:$A)=0,"×","√")),""))</f>
        <v/>
      </c>
      <c r="CO35" s="34" t="str">
        <f ca="1">IF($A35="","",IF(IF(CO$2&lt;=$A$1,1,0),IF(CO$4="休","",IF(COUNTIF(DATA!CP:CP,$A:$A)=0,"×","√")),""))</f>
        <v/>
      </c>
      <c r="CP35" s="34" t="str">
        <f ca="1">IF($A35="","",IF(IF(CP$2&lt;=$A$1,1,0),IF(CP$4="休","",IF(COUNTIF(DATA!CQ:CQ,$A:$A)=0,"×","√")),""))</f>
        <v/>
      </c>
      <c r="CQ35" s="34" t="str">
        <f ca="1">IF($A35="","",IF(IF(CQ$2&lt;=$A$1,1,0),IF(CQ$4="休","",IF(COUNTIF(DATA!CR:CR,$A:$A)=0,"×","√")),""))</f>
        <v/>
      </c>
      <c r="CR35" s="34" t="str">
        <f ca="1">IF($A35="","",IF(IF(CR$2&lt;=$A$1,1,0),IF(CR$4="休","",IF(COUNTIF(DATA!CS:CS,$A:$A)=0,"×","√")),""))</f>
        <v/>
      </c>
    </row>
    <row r="36" s="28" customFormat="1" ht="18.75" spans="1:96">
      <c r="A36" s="34" t="str">
        <f>DATA!$A35&amp;""</f>
        <v>柯雨婷</v>
      </c>
      <c r="B36" s="34" t="str">
        <f ca="1">IF($A36="","",IF(IF(B$2&lt;=$A$1,1,0),IF(B$4="休","",IF(COUNTIF(DATA!C:C,$A:$A)=0,"×","√")),""))</f>
        <v>√</v>
      </c>
      <c r="C36" s="34" t="str">
        <f ca="1">IF($A36="","",IF(IF(C$2&lt;=$A$1,1,0),IF(C$4="休","",IF(COUNTIF(DATA!D:D,$A:$A)=0,"×","√")),""))</f>
        <v>√</v>
      </c>
      <c r="D36" s="34" t="str">
        <f ca="1">IF($A36="","",IF(IF(D$2&lt;=$A$1,1,0),IF(D$4="休","",IF(COUNTIF(DATA!E:E,$A:$A)=0,"×","√")),""))</f>
        <v>√</v>
      </c>
      <c r="E36" s="34" t="str">
        <f ca="1">IF($A36="","",IF(IF(E$2&lt;=$A$1,1,0),IF(E$4="休","",IF(COUNTIF(DATA!F:F,$A:$A)=0,"×","√")),""))</f>
        <v>√</v>
      </c>
      <c r="F36" s="34" t="str">
        <f ca="1">IF($A36="","",IF(IF(F$2&lt;=$A$1,1,0),IF(F$4="休","",IF(COUNTIF(DATA!G:G,$A:$A)=0,"×","√")),""))</f>
        <v>√</v>
      </c>
      <c r="G36" s="34" t="str">
        <f ca="1">IF($A36="","",IF(IF(G$2&lt;=$A$1,1,0),IF(G$4="休","",IF(COUNTIF(DATA!H:H,$A:$A)=0,"×","√")),""))</f>
        <v>√</v>
      </c>
      <c r="H36" s="34" t="str">
        <f ca="1">IF($A36="","",IF(IF(H$2&lt;=$A$1,1,0),IF(H$4="休","",IF(COUNTIF(DATA!I:I,$A:$A)=0,"×","√")),""))</f>
        <v>√</v>
      </c>
      <c r="I36" s="34" t="str">
        <f ca="1">IF($A36="","",IF(IF(I$2&lt;=$A$1,1,0),IF(I$4="休","",IF(COUNTIF(DATA!J:J,$A:$A)=0,"×","√")),""))</f>
        <v>√</v>
      </c>
      <c r="J36" s="34" t="str">
        <f ca="1">IF($A36="","",IF(IF(J$2&lt;=$A$1,1,0),IF(J$4="休","",IF(COUNTIF(DATA!K:K,$A:$A)=0,"×","√")),""))</f>
        <v>√</v>
      </c>
      <c r="K36" s="34" t="str">
        <f ca="1">IF($A36="","",IF(IF(K$2&lt;=$A$1,1,0),IF(K$4="休","",IF(COUNTIF(DATA!L:L,$A:$A)=0,"×","√")),""))</f>
        <v>√</v>
      </c>
      <c r="L36" s="34" t="str">
        <f ca="1">IF($A36="","",IF(IF(L$2&lt;=$A$1,1,0),IF(L$4="休","",IF(COUNTIF(DATA!M:M,$A:$A)=0,"×","√")),""))</f>
        <v>√</v>
      </c>
      <c r="M36" s="34" t="str">
        <f ca="1">IF($A36="","",IF(IF(M$2&lt;=$A$1,1,0),IF(M$4="休","",IF(COUNTIF(DATA!N:N,$A:$A)=0,"×","√")),""))</f>
        <v>√</v>
      </c>
      <c r="N36" s="34" t="str">
        <f ca="1">IF($A36="","",IF(IF(N$2&lt;=$A$1,1,0),IF(N$4="休","",IF(COUNTIF(DATA!O:O,$A:$A)=0,"×","√")),""))</f>
        <v>√</v>
      </c>
      <c r="O36" s="34" t="str">
        <f ca="1">IF($A36="","",IF(IF(O$2&lt;=$A$1,1,0),IF(O$4="休","",IF(COUNTIF(DATA!P:P,$A:$A)=0,"×","√")),""))</f>
        <v>×</v>
      </c>
      <c r="P36" s="34" t="str">
        <f ca="1">IF($A36="","",IF(IF(P$2&lt;=$A$1,1,0),IF(P$4="休","",IF(COUNTIF(DATA!Q:Q,$A:$A)=0,"×","√")),""))</f>
        <v/>
      </c>
      <c r="Q36" s="34" t="str">
        <f ca="1">IF($A36="","",IF(IF(Q$2&lt;=$A$1,1,0),IF(Q$4="休","",IF(COUNTIF(DATA!R:R,$A:$A)=0,"×","√")),""))</f>
        <v/>
      </c>
      <c r="R36" s="34" t="str">
        <f ca="1">IF($A36="","",IF(IF(R$2&lt;=$A$1,1,0),IF(R$4="休","",IF(COUNTIF(DATA!S:S,$A:$A)=0,"×","√")),""))</f>
        <v/>
      </c>
      <c r="S36" s="34" t="str">
        <f ca="1">IF($A36="","",IF(IF(S$2&lt;=$A$1,1,0),IF(S$4="休","",IF(COUNTIF(DATA!T:T,$A:$A)=0,"×","√")),""))</f>
        <v/>
      </c>
      <c r="T36" s="34" t="str">
        <f ca="1">IF($A36="","",IF(IF(T$2&lt;=$A$1,1,0),IF(T$4="休","",IF(COUNTIF(DATA!U:U,$A:$A)=0,"×","√")),""))</f>
        <v/>
      </c>
      <c r="U36" s="34" t="str">
        <f ca="1">IF($A36="","",IF(IF(U$2&lt;=$A$1,1,0),IF(U$4="休","",IF(COUNTIF(DATA!V:V,$A:$A)=0,"×","√")),""))</f>
        <v/>
      </c>
      <c r="V36" s="34" t="str">
        <f ca="1">IF($A36="","",IF(IF(V$2&lt;=$A$1,1,0),IF(V$4="休","",IF(COUNTIF(DATA!W:W,$A:$A)=0,"×","√")),""))</f>
        <v/>
      </c>
      <c r="W36" s="34" t="str">
        <f ca="1">IF($A36="","",IF(IF(W$2&lt;=$A$1,1,0),IF(W$4="休","",IF(COUNTIF(DATA!X:X,$A:$A)=0,"×","√")),""))</f>
        <v/>
      </c>
      <c r="X36" s="34" t="str">
        <f ca="1">IF($A36="","",IF(IF(X$2&lt;=$A$1,1,0),IF(X$4="休","",IF(COUNTIF(DATA!Y:Y,$A:$A)=0,"×","√")),""))</f>
        <v/>
      </c>
      <c r="Y36" s="34" t="str">
        <f ca="1">IF($A36="","",IF(IF(Y$2&lt;=$A$1,1,0),IF(Y$4="休","",IF(COUNTIF(DATA!Z:Z,$A:$A)=0,"×","√")),""))</f>
        <v/>
      </c>
      <c r="Z36" s="34" t="str">
        <f ca="1">IF($A36="","",IF(IF(Z$2&lt;=$A$1,1,0),IF(Z$4="休","",IF(COUNTIF(DATA!AA:AA,$A:$A)=0,"×","√")),""))</f>
        <v/>
      </c>
      <c r="AA36" s="34" t="str">
        <f ca="1">IF($A36="","",IF(IF(AA$2&lt;=$A$1,1,0),IF(AA$4="休","",IF(COUNTIF(DATA!AB:AB,$A:$A)=0,"×","√")),""))</f>
        <v/>
      </c>
      <c r="AB36" s="34" t="str">
        <f ca="1">IF($A36="","",IF(IF(AB$2&lt;=$A$1,1,0),IF(AB$4="休","",IF(COUNTIF(DATA!AC:AC,$A:$A)=0,"×","√")),""))</f>
        <v/>
      </c>
      <c r="AC36" s="34" t="str">
        <f ca="1">IF($A36="","",IF(IF(AC$2&lt;=$A$1,1,0),IF(AC$4="休","",IF(COUNTIF(DATA!AD:AD,$A:$A)=0,"×","√")),""))</f>
        <v/>
      </c>
      <c r="AD36" s="34" t="str">
        <f ca="1">IF($A36="","",IF(IF(AD$2&lt;=$A$1,1,0),IF(AD$4="休","",IF(COUNTIF(DATA!AE:AE,$A:$A)=0,"×","√")),""))</f>
        <v/>
      </c>
      <c r="AE36" s="34" t="str">
        <f ca="1">IF($A36="","",IF(IF(AE$2&lt;=$A$1,1,0),IF(AE$4="休","",IF(COUNTIF(DATA!AF:AF,$A:$A)=0,"×","√")),""))</f>
        <v/>
      </c>
      <c r="AF36" s="34" t="str">
        <f ca="1">IF($A36="","",IF(IF(AF$2&lt;=$A$1,1,0),IF(AF$4="休","",IF(COUNTIF(DATA!AG:AG,$A:$A)=0,"×","√")),""))</f>
        <v/>
      </c>
      <c r="AG36" s="34" t="str">
        <f ca="1">IF($A36="","",IF(IF(AG$2&lt;=$A$1,1,0),IF(AG$4="休","",IF(COUNTIF(DATA!AH:AH,$A:$A)=0,"×","√")),""))</f>
        <v/>
      </c>
      <c r="AH36" s="34" t="str">
        <f ca="1">IF($A36="","",IF(IF(AH$2&lt;=$A$1,1,0),IF(AH$4="休","",IF(COUNTIF(DATA!AI:AI,$A:$A)=0,"×","√")),""))</f>
        <v/>
      </c>
      <c r="AI36" s="34" t="str">
        <f ca="1">IF($A36="","",IF(IF(AI$2&lt;=$A$1,1,0),IF(AI$4="休","",IF(COUNTIF(DATA!AJ:AJ,$A:$A)=0,"×","√")),""))</f>
        <v/>
      </c>
      <c r="AJ36" s="34" t="str">
        <f ca="1">IF($A36="","",IF(IF(AJ$2&lt;=$A$1,1,0),IF(AJ$4="休","",IF(COUNTIF(DATA!AK:AK,$A:$A)=0,"×","√")),""))</f>
        <v/>
      </c>
      <c r="AK36" s="34" t="str">
        <f ca="1">IF($A36="","",IF(IF(AK$2&lt;=$A$1,1,0),IF(AK$4="休","",IF(COUNTIF(DATA!AL:AL,$A:$A)=0,"×","√")),""))</f>
        <v/>
      </c>
      <c r="AL36" s="34" t="str">
        <f ca="1">IF($A36="","",IF(IF(AL$2&lt;=$A$1,1,0),IF(AL$4="休","",IF(COUNTIF(DATA!AM:AM,$A:$A)=0,"×","√")),""))</f>
        <v/>
      </c>
      <c r="AM36" s="34" t="str">
        <f ca="1">IF($A36="","",IF(IF(AM$2&lt;=$A$1,1,0),IF(AM$4="休","",IF(COUNTIF(DATA!AN:AN,$A:$A)=0,"×","√")),""))</f>
        <v/>
      </c>
      <c r="AN36" s="34" t="str">
        <f ca="1">IF($A36="","",IF(IF(AN$2&lt;=$A$1,1,0),IF(AN$4="休","",IF(COUNTIF(DATA!AO:AO,$A:$A)=0,"×","√")),""))</f>
        <v/>
      </c>
      <c r="AO36" s="34" t="str">
        <f ca="1">IF($A36="","",IF(IF(AO$2&lt;=$A$1,1,0),IF(AO$4="休","",IF(COUNTIF(DATA!AP:AP,$A:$A)=0,"×","√")),""))</f>
        <v/>
      </c>
      <c r="AP36" s="34" t="str">
        <f ca="1">IF($A36="","",IF(IF(AP$2&lt;=$A$1,1,0),IF(AP$4="休","",IF(COUNTIF(DATA!AQ:AQ,$A:$A)=0,"×","√")),""))</f>
        <v/>
      </c>
      <c r="AQ36" s="34" t="str">
        <f ca="1">IF($A36="","",IF(IF(AQ$2&lt;=$A$1,1,0),IF(AQ$4="休","",IF(COUNTIF(DATA!AR:AR,$A:$A)=0,"×","√")),""))</f>
        <v/>
      </c>
      <c r="AR36" s="34" t="str">
        <f ca="1">IF($A36="","",IF(IF(AR$2&lt;=$A$1,1,0),IF(AR$4="休","",IF(COUNTIF(DATA!AS:AS,$A:$A)=0,"×","√")),""))</f>
        <v/>
      </c>
      <c r="AS36" s="34" t="str">
        <f ca="1">IF($A36="","",IF(IF(AS$2&lt;=$A$1,1,0),IF(AS$4="休","",IF(COUNTIF(DATA!AT:AT,$A:$A)=0,"×","√")),""))</f>
        <v/>
      </c>
      <c r="AT36" s="34" t="str">
        <f ca="1">IF($A36="","",IF(IF(AT$2&lt;=$A$1,1,0),IF(AT$4="休","",IF(COUNTIF(DATA!AU:AU,$A:$A)=0,"×","√")),""))</f>
        <v/>
      </c>
      <c r="AU36" s="34" t="str">
        <f ca="1">IF($A36="","",IF(IF(AU$2&lt;=$A$1,1,0),IF(AU$4="休","",IF(COUNTIF(DATA!AV:AV,$A:$A)=0,"×","√")),""))</f>
        <v/>
      </c>
      <c r="AV36" s="34" t="str">
        <f ca="1">IF($A36="","",IF(IF(AV$2&lt;=$A$1,1,0),IF(AV$4="休","",IF(COUNTIF(DATA!AW:AW,$A:$A)=0,"×","√")),""))</f>
        <v/>
      </c>
      <c r="AW36" s="34" t="str">
        <f ca="1">IF($A36="","",IF(IF(AW$2&lt;=$A$1,1,0),IF(AW$4="休","",IF(COUNTIF(DATA!AX:AX,$A:$A)=0,"×","√")),""))</f>
        <v/>
      </c>
      <c r="AX36" s="34" t="str">
        <f ca="1">IF($A36="","",IF(IF(AX$2&lt;=$A$1,1,0),IF(AX$4="休","",IF(COUNTIF(DATA!AY:AY,$A:$A)=0,"×","√")),""))</f>
        <v/>
      </c>
      <c r="AY36" s="34" t="str">
        <f ca="1">IF($A36="","",IF(IF(AY$2&lt;=$A$1,1,0),IF(AY$4="休","",IF(COUNTIF(DATA!AZ:AZ,$A:$A)=0,"×","√")),""))</f>
        <v/>
      </c>
      <c r="AZ36" s="34" t="str">
        <f ca="1">IF($A36="","",IF(IF(AZ$2&lt;=$A$1,1,0),IF(AZ$4="休","",IF(COUNTIF(DATA!BA:BA,$A:$A)=0,"×","√")),""))</f>
        <v/>
      </c>
      <c r="BA36" s="34" t="str">
        <f ca="1">IF($A36="","",IF(IF(BA$2&lt;=$A$1,1,0),IF(BA$4="休","",IF(COUNTIF(DATA!BB:BB,$A:$A)=0,"×","√")),""))</f>
        <v/>
      </c>
      <c r="BB36" s="34" t="str">
        <f ca="1">IF($A36="","",IF(IF(BB$2&lt;=$A$1,1,0),IF(BB$4="休","",IF(COUNTIF(DATA!BC:BC,$A:$A)=0,"×","√")),""))</f>
        <v/>
      </c>
      <c r="BC36" s="34" t="str">
        <f ca="1">IF($A36="","",IF(IF(BC$2&lt;=$A$1,1,0),IF(BC$4="休","",IF(COUNTIF(DATA!BD:BD,$A:$A)=0,"×","√")),""))</f>
        <v/>
      </c>
      <c r="BD36" s="34" t="str">
        <f ca="1">IF($A36="","",IF(IF(BD$2&lt;=$A$1,1,0),IF(BD$4="休","",IF(COUNTIF(DATA!BE:BE,$A:$A)=0,"×","√")),""))</f>
        <v/>
      </c>
      <c r="BE36" s="34" t="str">
        <f ca="1">IF($A36="","",IF(IF(BE$2&lt;=$A$1,1,0),IF(BE$4="休","",IF(COUNTIF(DATA!BF:BF,$A:$A)=0,"×","√")),""))</f>
        <v/>
      </c>
      <c r="BF36" s="34" t="str">
        <f ca="1">IF($A36="","",IF(IF(BF$2&lt;=$A$1,1,0),IF(BF$4="休","",IF(COUNTIF(DATA!BG:BG,$A:$A)=0,"×","√")),""))</f>
        <v/>
      </c>
      <c r="BG36" s="34" t="str">
        <f ca="1">IF($A36="","",IF(IF(BG$2&lt;=$A$1,1,0),IF(BG$4="休","",IF(COUNTIF(DATA!BH:BH,$A:$A)=0,"×","√")),""))</f>
        <v/>
      </c>
      <c r="BH36" s="34" t="str">
        <f ca="1">IF($A36="","",IF(IF(BH$2&lt;=$A$1,1,0),IF(BH$4="休","",IF(COUNTIF(DATA!BI:BI,$A:$A)=0,"×","√")),""))</f>
        <v/>
      </c>
      <c r="BI36" s="34" t="str">
        <f ca="1">IF($A36="","",IF(IF(BI$2&lt;=$A$1,1,0),IF(BI$4="休","",IF(COUNTIF(DATA!BJ:BJ,$A:$A)=0,"×","√")),""))</f>
        <v/>
      </c>
      <c r="BJ36" s="34" t="str">
        <f ca="1">IF($A36="","",IF(IF(BJ$2&lt;=$A$1,1,0),IF(BJ$4="休","",IF(COUNTIF(DATA!BK:BK,$A:$A)=0,"×","√")),""))</f>
        <v/>
      </c>
      <c r="BK36" s="34" t="str">
        <f ca="1">IF($A36="","",IF(IF(BK$2&lt;=$A$1,1,0),IF(BK$4="休","",IF(COUNTIF(DATA!BL:BL,$A:$A)=0,"×","√")),""))</f>
        <v/>
      </c>
      <c r="BL36" s="34" t="str">
        <f ca="1">IF($A36="","",IF(IF(BL$2&lt;=$A$1,1,0),IF(BL$4="休","",IF(COUNTIF(DATA!BM:BM,$A:$A)=0,"×","√")),""))</f>
        <v/>
      </c>
      <c r="BM36" s="34" t="str">
        <f ca="1">IF($A36="","",IF(IF(BM$2&lt;=$A$1,1,0),IF(BM$4="休","",IF(COUNTIF(DATA!BN:BN,$A:$A)=0,"×","√")),""))</f>
        <v/>
      </c>
      <c r="BN36" s="34" t="str">
        <f ca="1">IF($A36="","",IF(IF(BN$2&lt;=$A$1,1,0),IF(BN$4="休","",IF(COUNTIF(DATA!BO:BO,$A:$A)=0,"×","√")),""))</f>
        <v/>
      </c>
      <c r="BO36" s="34" t="str">
        <f ca="1">IF($A36="","",IF(IF(BO$2&lt;=$A$1,1,0),IF(BO$4="休","",IF(COUNTIF(DATA!BP:BP,$A:$A)=0,"×","√")),""))</f>
        <v/>
      </c>
      <c r="BP36" s="34" t="str">
        <f ca="1">IF($A36="","",IF(IF(BP$2&lt;=$A$1,1,0),IF(BP$4="休","",IF(COUNTIF(DATA!BQ:BQ,$A:$A)=0,"×","√")),""))</f>
        <v/>
      </c>
      <c r="BQ36" s="34" t="str">
        <f ca="1">IF($A36="","",IF(IF(BQ$2&lt;=$A$1,1,0),IF(BQ$4="休","",IF(COUNTIF(DATA!BR:BR,$A:$A)=0,"×","√")),""))</f>
        <v/>
      </c>
      <c r="BR36" s="34" t="str">
        <f ca="1">IF($A36="","",IF(IF(BR$2&lt;=$A$1,1,0),IF(BR$4="休","",IF(COUNTIF(DATA!BS:BS,$A:$A)=0,"×","√")),""))</f>
        <v/>
      </c>
      <c r="BS36" s="34" t="str">
        <f ca="1">IF($A36="","",IF(IF(BS$2&lt;=$A$1,1,0),IF(BS$4="休","",IF(COUNTIF(DATA!BT:BT,$A:$A)=0,"×","√")),""))</f>
        <v/>
      </c>
      <c r="BT36" s="34" t="str">
        <f ca="1">IF($A36="","",IF(IF(BT$2&lt;=$A$1,1,0),IF(BT$4="休","",IF(COUNTIF(DATA!BU:BU,$A:$A)=0,"×","√")),""))</f>
        <v/>
      </c>
      <c r="BU36" s="34" t="str">
        <f ca="1">IF($A36="","",IF(IF(BU$2&lt;=$A$1,1,0),IF(BU$4="休","",IF(COUNTIF(DATA!BV:BV,$A:$A)=0,"×","√")),""))</f>
        <v/>
      </c>
      <c r="BV36" s="34" t="str">
        <f ca="1">IF($A36="","",IF(IF(BV$2&lt;=$A$1,1,0),IF(BV$4="休","",IF(COUNTIF(DATA!BW:BW,$A:$A)=0,"×","√")),""))</f>
        <v/>
      </c>
      <c r="BW36" s="34" t="str">
        <f ca="1">IF($A36="","",IF(IF(BW$2&lt;=$A$1,1,0),IF(BW$4="休","",IF(COUNTIF(DATA!BX:BX,$A:$A)=0,"×","√")),""))</f>
        <v/>
      </c>
      <c r="BX36" s="34" t="str">
        <f ca="1">IF($A36="","",IF(IF(BX$2&lt;=$A$1,1,0),IF(BX$4="休","",IF(COUNTIF(DATA!BY:BY,$A:$A)=0,"×","√")),""))</f>
        <v/>
      </c>
      <c r="BY36" s="34" t="str">
        <f ca="1">IF($A36="","",IF(IF(BY$2&lt;=$A$1,1,0),IF(BY$4="休","",IF(COUNTIF(DATA!BZ:BZ,$A:$A)=0,"×","√")),""))</f>
        <v/>
      </c>
      <c r="BZ36" s="34" t="str">
        <f ca="1">IF($A36="","",IF(IF(BZ$2&lt;=$A$1,1,0),IF(BZ$4="休","",IF(COUNTIF(DATA!CA:CA,$A:$A)=0,"×","√")),""))</f>
        <v/>
      </c>
      <c r="CA36" s="34" t="str">
        <f ca="1">IF($A36="","",IF(IF(CA$2&lt;=$A$1,1,0),IF(CA$4="休","",IF(COUNTIF(DATA!CB:CB,$A:$A)=0,"×","√")),""))</f>
        <v/>
      </c>
      <c r="CB36" s="34" t="str">
        <f ca="1">IF($A36="","",IF(IF(CB$2&lt;=$A$1,1,0),IF(CB$4="休","",IF(COUNTIF(DATA!CC:CC,$A:$A)=0,"×","√")),""))</f>
        <v/>
      </c>
      <c r="CC36" s="34" t="str">
        <f ca="1">IF($A36="","",IF(IF(CC$2&lt;=$A$1,1,0),IF(CC$4="休","",IF(COUNTIF(DATA!CD:CD,$A:$A)=0,"×","√")),""))</f>
        <v/>
      </c>
      <c r="CD36" s="34" t="str">
        <f ca="1">IF($A36="","",IF(IF(CD$2&lt;=$A$1,1,0),IF(CD$4="休","",IF(COUNTIF(DATA!CE:CE,$A:$A)=0,"×","√")),""))</f>
        <v/>
      </c>
      <c r="CE36" s="34" t="str">
        <f ca="1">IF($A36="","",IF(IF(CE$2&lt;=$A$1,1,0),IF(CE$4="休","",IF(COUNTIF(DATA!CF:CF,$A:$A)=0,"×","√")),""))</f>
        <v/>
      </c>
      <c r="CF36" s="34" t="str">
        <f ca="1">IF($A36="","",IF(IF(CF$2&lt;=$A$1,1,0),IF(CF$4="休","",IF(COUNTIF(DATA!CG:CG,$A:$A)=0,"×","√")),""))</f>
        <v/>
      </c>
      <c r="CG36" s="34" t="str">
        <f ca="1">IF($A36="","",IF(IF(CG$2&lt;=$A$1,1,0),IF(CG$4="休","",IF(COUNTIF(DATA!CH:CH,$A:$A)=0,"×","√")),""))</f>
        <v/>
      </c>
      <c r="CH36" s="34" t="str">
        <f ca="1">IF($A36="","",IF(IF(CH$2&lt;=$A$1,1,0),IF(CH$4="休","",IF(COUNTIF(DATA!CI:CI,$A:$A)=0,"×","√")),""))</f>
        <v/>
      </c>
      <c r="CI36" s="34" t="str">
        <f ca="1">IF($A36="","",IF(IF(CI$2&lt;=$A$1,1,0),IF(CI$4="休","",IF(COUNTIF(DATA!CJ:CJ,$A:$A)=0,"×","√")),""))</f>
        <v/>
      </c>
      <c r="CJ36" s="34" t="str">
        <f ca="1">IF($A36="","",IF(IF(CJ$2&lt;=$A$1,1,0),IF(CJ$4="休","",IF(COUNTIF(DATA!CK:CK,$A:$A)=0,"×","√")),""))</f>
        <v/>
      </c>
      <c r="CK36" s="34" t="str">
        <f ca="1">IF($A36="","",IF(IF(CK$2&lt;=$A$1,1,0),IF(CK$4="休","",IF(COUNTIF(DATA!CL:CL,$A:$A)=0,"×","√")),""))</f>
        <v/>
      </c>
      <c r="CL36" s="34" t="str">
        <f ca="1">IF($A36="","",IF(IF(CL$2&lt;=$A$1,1,0),IF(CL$4="休","",IF(COUNTIF(DATA!CM:CM,$A:$A)=0,"×","√")),""))</f>
        <v/>
      </c>
      <c r="CM36" s="34" t="str">
        <f ca="1">IF($A36="","",IF(IF(CM$2&lt;=$A$1,1,0),IF(CM$4="休","",IF(COUNTIF(DATA!CN:CN,$A:$A)=0,"×","√")),""))</f>
        <v/>
      </c>
      <c r="CN36" s="34" t="str">
        <f ca="1">IF($A36="","",IF(IF(CN$2&lt;=$A$1,1,0),IF(CN$4="休","",IF(COUNTIF(DATA!CO:CO,$A:$A)=0,"×","√")),""))</f>
        <v/>
      </c>
      <c r="CO36" s="34" t="str">
        <f ca="1">IF($A36="","",IF(IF(CO$2&lt;=$A$1,1,0),IF(CO$4="休","",IF(COUNTIF(DATA!CP:CP,$A:$A)=0,"×","√")),""))</f>
        <v/>
      </c>
      <c r="CP36" s="34" t="str">
        <f ca="1">IF($A36="","",IF(IF(CP$2&lt;=$A$1,1,0),IF(CP$4="休","",IF(COUNTIF(DATA!CQ:CQ,$A:$A)=0,"×","√")),""))</f>
        <v/>
      </c>
      <c r="CQ36" s="34" t="str">
        <f ca="1">IF($A36="","",IF(IF(CQ$2&lt;=$A$1,1,0),IF(CQ$4="休","",IF(COUNTIF(DATA!CR:CR,$A:$A)=0,"×","√")),""))</f>
        <v/>
      </c>
      <c r="CR36" s="34" t="str">
        <f ca="1">IF($A36="","",IF(IF(CR$2&lt;=$A$1,1,0),IF(CR$4="休","",IF(COUNTIF(DATA!CS:CS,$A:$A)=0,"×","√")),""))</f>
        <v/>
      </c>
    </row>
    <row r="37" s="28" customFormat="1" ht="18.75" spans="1:96">
      <c r="A37" s="34" t="str">
        <f>DATA!$A36&amp;""</f>
        <v>徐文锃</v>
      </c>
      <c r="B37" s="34" t="str">
        <f ca="1">IF($A37="","",IF(IF(B$2&lt;=$A$1,1,0),IF(B$4="休","",IF(COUNTIF(DATA!C:C,$A:$A)=0,"×","√")),""))</f>
        <v>√</v>
      </c>
      <c r="C37" s="34" t="str">
        <f ca="1">IF($A37="","",IF(IF(C$2&lt;=$A$1,1,0),IF(C$4="休","",IF(COUNTIF(DATA!D:D,$A:$A)=0,"×","√")),""))</f>
        <v>√</v>
      </c>
      <c r="D37" s="34" t="str">
        <f ca="1">IF($A37="","",IF(IF(D$2&lt;=$A$1,1,0),IF(D$4="休","",IF(COUNTIF(DATA!E:E,$A:$A)=0,"×","√")),""))</f>
        <v>√</v>
      </c>
      <c r="E37" s="34" t="str">
        <f ca="1">IF($A37="","",IF(IF(E$2&lt;=$A$1,1,0),IF(E$4="休","",IF(COUNTIF(DATA!F:F,$A:$A)=0,"×","√")),""))</f>
        <v>√</v>
      </c>
      <c r="F37" s="34" t="str">
        <f ca="1">IF($A37="","",IF(IF(F$2&lt;=$A$1,1,0),IF(F$4="休","",IF(COUNTIF(DATA!G:G,$A:$A)=0,"×","√")),""))</f>
        <v>√</v>
      </c>
      <c r="G37" s="34" t="str">
        <f ca="1">IF($A37="","",IF(IF(G$2&lt;=$A$1,1,0),IF(G$4="休","",IF(COUNTIF(DATA!H:H,$A:$A)=0,"×","√")),""))</f>
        <v>√</v>
      </c>
      <c r="H37" s="34" t="str">
        <f ca="1">IF($A37="","",IF(IF(H$2&lt;=$A$1,1,0),IF(H$4="休","",IF(COUNTIF(DATA!I:I,$A:$A)=0,"×","√")),""))</f>
        <v>√</v>
      </c>
      <c r="I37" s="34" t="str">
        <f ca="1">IF($A37="","",IF(IF(I$2&lt;=$A$1,1,0),IF(I$4="休","",IF(COUNTIF(DATA!J:J,$A:$A)=0,"×","√")),""))</f>
        <v>√</v>
      </c>
      <c r="J37" s="34" t="str">
        <f ca="1">IF($A37="","",IF(IF(J$2&lt;=$A$1,1,0),IF(J$4="休","",IF(COUNTIF(DATA!K:K,$A:$A)=0,"×","√")),""))</f>
        <v>√</v>
      </c>
      <c r="K37" s="34" t="str">
        <f ca="1">IF($A37="","",IF(IF(K$2&lt;=$A$1,1,0),IF(K$4="休","",IF(COUNTIF(DATA!L:L,$A:$A)=0,"×","√")),""))</f>
        <v>√</v>
      </c>
      <c r="L37" s="34" t="str">
        <f ca="1">IF($A37="","",IF(IF(L$2&lt;=$A$1,1,0),IF(L$4="休","",IF(COUNTIF(DATA!M:M,$A:$A)=0,"×","√")),""))</f>
        <v>√</v>
      </c>
      <c r="M37" s="34" t="str">
        <f ca="1">IF($A37="","",IF(IF(M$2&lt;=$A$1,1,0),IF(M$4="休","",IF(COUNTIF(DATA!N:N,$A:$A)=0,"×","√")),""))</f>
        <v>√</v>
      </c>
      <c r="N37" s="34" t="str">
        <f ca="1">IF($A37="","",IF(IF(N$2&lt;=$A$1,1,0),IF(N$4="休","",IF(COUNTIF(DATA!O:O,$A:$A)=0,"×","√")),""))</f>
        <v>√</v>
      </c>
      <c r="O37" s="34" t="str">
        <f ca="1">IF($A37="","",IF(IF(O$2&lt;=$A$1,1,0),IF(O$4="休","",IF(COUNTIF(DATA!P:P,$A:$A)=0,"×","√")),""))</f>
        <v>×</v>
      </c>
      <c r="P37" s="34" t="str">
        <f ca="1">IF($A37="","",IF(IF(P$2&lt;=$A$1,1,0),IF(P$4="休","",IF(COUNTIF(DATA!Q:Q,$A:$A)=0,"×","√")),""))</f>
        <v/>
      </c>
      <c r="Q37" s="34" t="str">
        <f ca="1">IF($A37="","",IF(IF(Q$2&lt;=$A$1,1,0),IF(Q$4="休","",IF(COUNTIF(DATA!R:R,$A:$A)=0,"×","√")),""))</f>
        <v/>
      </c>
      <c r="R37" s="34" t="str">
        <f ca="1">IF($A37="","",IF(IF(R$2&lt;=$A$1,1,0),IF(R$4="休","",IF(COUNTIF(DATA!S:S,$A:$A)=0,"×","√")),""))</f>
        <v/>
      </c>
      <c r="S37" s="34" t="str">
        <f ca="1">IF($A37="","",IF(IF(S$2&lt;=$A$1,1,0),IF(S$4="休","",IF(COUNTIF(DATA!T:T,$A:$A)=0,"×","√")),""))</f>
        <v/>
      </c>
      <c r="T37" s="34" t="str">
        <f ca="1">IF($A37="","",IF(IF(T$2&lt;=$A$1,1,0),IF(T$4="休","",IF(COUNTIF(DATA!U:U,$A:$A)=0,"×","√")),""))</f>
        <v/>
      </c>
      <c r="U37" s="34" t="str">
        <f ca="1">IF($A37="","",IF(IF(U$2&lt;=$A$1,1,0),IF(U$4="休","",IF(COUNTIF(DATA!V:V,$A:$A)=0,"×","√")),""))</f>
        <v/>
      </c>
      <c r="V37" s="34" t="str">
        <f ca="1">IF($A37="","",IF(IF(V$2&lt;=$A$1,1,0),IF(V$4="休","",IF(COUNTIF(DATA!W:W,$A:$A)=0,"×","√")),""))</f>
        <v/>
      </c>
      <c r="W37" s="34" t="str">
        <f ca="1">IF($A37="","",IF(IF(W$2&lt;=$A$1,1,0),IF(W$4="休","",IF(COUNTIF(DATA!X:X,$A:$A)=0,"×","√")),""))</f>
        <v/>
      </c>
      <c r="X37" s="34" t="str">
        <f ca="1">IF($A37="","",IF(IF(X$2&lt;=$A$1,1,0),IF(X$4="休","",IF(COUNTIF(DATA!Y:Y,$A:$A)=0,"×","√")),""))</f>
        <v/>
      </c>
      <c r="Y37" s="34" t="str">
        <f ca="1">IF($A37="","",IF(IF(Y$2&lt;=$A$1,1,0),IF(Y$4="休","",IF(COUNTIF(DATA!Z:Z,$A:$A)=0,"×","√")),""))</f>
        <v/>
      </c>
      <c r="Z37" s="34" t="str">
        <f ca="1">IF($A37="","",IF(IF(Z$2&lt;=$A$1,1,0),IF(Z$4="休","",IF(COUNTIF(DATA!AA:AA,$A:$A)=0,"×","√")),""))</f>
        <v/>
      </c>
      <c r="AA37" s="34" t="str">
        <f ca="1">IF($A37="","",IF(IF(AA$2&lt;=$A$1,1,0),IF(AA$4="休","",IF(COUNTIF(DATA!AB:AB,$A:$A)=0,"×","√")),""))</f>
        <v/>
      </c>
      <c r="AB37" s="34" t="str">
        <f ca="1">IF($A37="","",IF(IF(AB$2&lt;=$A$1,1,0),IF(AB$4="休","",IF(COUNTIF(DATA!AC:AC,$A:$A)=0,"×","√")),""))</f>
        <v/>
      </c>
      <c r="AC37" s="34" t="str">
        <f ca="1">IF($A37="","",IF(IF(AC$2&lt;=$A$1,1,0),IF(AC$4="休","",IF(COUNTIF(DATA!AD:AD,$A:$A)=0,"×","√")),""))</f>
        <v/>
      </c>
      <c r="AD37" s="34" t="str">
        <f ca="1">IF($A37="","",IF(IF(AD$2&lt;=$A$1,1,0),IF(AD$4="休","",IF(COUNTIF(DATA!AE:AE,$A:$A)=0,"×","√")),""))</f>
        <v/>
      </c>
      <c r="AE37" s="34" t="str">
        <f ca="1">IF($A37="","",IF(IF(AE$2&lt;=$A$1,1,0),IF(AE$4="休","",IF(COUNTIF(DATA!AF:AF,$A:$A)=0,"×","√")),""))</f>
        <v/>
      </c>
      <c r="AF37" s="34" t="str">
        <f ca="1">IF($A37="","",IF(IF(AF$2&lt;=$A$1,1,0),IF(AF$4="休","",IF(COUNTIF(DATA!AG:AG,$A:$A)=0,"×","√")),""))</f>
        <v/>
      </c>
      <c r="AG37" s="34" t="str">
        <f ca="1">IF($A37="","",IF(IF(AG$2&lt;=$A$1,1,0),IF(AG$4="休","",IF(COUNTIF(DATA!AH:AH,$A:$A)=0,"×","√")),""))</f>
        <v/>
      </c>
      <c r="AH37" s="34" t="str">
        <f ca="1">IF($A37="","",IF(IF(AH$2&lt;=$A$1,1,0),IF(AH$4="休","",IF(COUNTIF(DATA!AI:AI,$A:$A)=0,"×","√")),""))</f>
        <v/>
      </c>
      <c r="AI37" s="34" t="str">
        <f ca="1">IF($A37="","",IF(IF(AI$2&lt;=$A$1,1,0),IF(AI$4="休","",IF(COUNTIF(DATA!AJ:AJ,$A:$A)=0,"×","√")),""))</f>
        <v/>
      </c>
      <c r="AJ37" s="34" t="str">
        <f ca="1">IF($A37="","",IF(IF(AJ$2&lt;=$A$1,1,0),IF(AJ$4="休","",IF(COUNTIF(DATA!AK:AK,$A:$A)=0,"×","√")),""))</f>
        <v/>
      </c>
      <c r="AK37" s="34" t="str">
        <f ca="1">IF($A37="","",IF(IF(AK$2&lt;=$A$1,1,0),IF(AK$4="休","",IF(COUNTIF(DATA!AL:AL,$A:$A)=0,"×","√")),""))</f>
        <v/>
      </c>
      <c r="AL37" s="34" t="str">
        <f ca="1">IF($A37="","",IF(IF(AL$2&lt;=$A$1,1,0),IF(AL$4="休","",IF(COUNTIF(DATA!AM:AM,$A:$A)=0,"×","√")),""))</f>
        <v/>
      </c>
      <c r="AM37" s="34" t="str">
        <f ca="1">IF($A37="","",IF(IF(AM$2&lt;=$A$1,1,0),IF(AM$4="休","",IF(COUNTIF(DATA!AN:AN,$A:$A)=0,"×","√")),""))</f>
        <v/>
      </c>
      <c r="AN37" s="34" t="str">
        <f ca="1">IF($A37="","",IF(IF(AN$2&lt;=$A$1,1,0),IF(AN$4="休","",IF(COUNTIF(DATA!AO:AO,$A:$A)=0,"×","√")),""))</f>
        <v/>
      </c>
      <c r="AO37" s="34" t="str">
        <f ca="1">IF($A37="","",IF(IF(AO$2&lt;=$A$1,1,0),IF(AO$4="休","",IF(COUNTIF(DATA!AP:AP,$A:$A)=0,"×","√")),""))</f>
        <v/>
      </c>
      <c r="AP37" s="34" t="str">
        <f ca="1">IF($A37="","",IF(IF(AP$2&lt;=$A$1,1,0),IF(AP$4="休","",IF(COUNTIF(DATA!AQ:AQ,$A:$A)=0,"×","√")),""))</f>
        <v/>
      </c>
      <c r="AQ37" s="34" t="str">
        <f ca="1">IF($A37="","",IF(IF(AQ$2&lt;=$A$1,1,0),IF(AQ$4="休","",IF(COUNTIF(DATA!AR:AR,$A:$A)=0,"×","√")),""))</f>
        <v/>
      </c>
      <c r="AR37" s="34" t="str">
        <f ca="1">IF($A37="","",IF(IF(AR$2&lt;=$A$1,1,0),IF(AR$4="休","",IF(COUNTIF(DATA!AS:AS,$A:$A)=0,"×","√")),""))</f>
        <v/>
      </c>
      <c r="AS37" s="34" t="str">
        <f ca="1">IF($A37="","",IF(IF(AS$2&lt;=$A$1,1,0),IF(AS$4="休","",IF(COUNTIF(DATA!AT:AT,$A:$A)=0,"×","√")),""))</f>
        <v/>
      </c>
      <c r="AT37" s="34" t="str">
        <f ca="1">IF($A37="","",IF(IF(AT$2&lt;=$A$1,1,0),IF(AT$4="休","",IF(COUNTIF(DATA!AU:AU,$A:$A)=0,"×","√")),""))</f>
        <v/>
      </c>
      <c r="AU37" s="34" t="str">
        <f ca="1">IF($A37="","",IF(IF(AU$2&lt;=$A$1,1,0),IF(AU$4="休","",IF(COUNTIF(DATA!AV:AV,$A:$A)=0,"×","√")),""))</f>
        <v/>
      </c>
      <c r="AV37" s="34" t="str">
        <f ca="1">IF($A37="","",IF(IF(AV$2&lt;=$A$1,1,0),IF(AV$4="休","",IF(COUNTIF(DATA!AW:AW,$A:$A)=0,"×","√")),""))</f>
        <v/>
      </c>
      <c r="AW37" s="34" t="str">
        <f ca="1">IF($A37="","",IF(IF(AW$2&lt;=$A$1,1,0),IF(AW$4="休","",IF(COUNTIF(DATA!AX:AX,$A:$A)=0,"×","√")),""))</f>
        <v/>
      </c>
      <c r="AX37" s="34" t="str">
        <f ca="1">IF($A37="","",IF(IF(AX$2&lt;=$A$1,1,0),IF(AX$4="休","",IF(COUNTIF(DATA!AY:AY,$A:$A)=0,"×","√")),""))</f>
        <v/>
      </c>
      <c r="AY37" s="34" t="str">
        <f ca="1">IF($A37="","",IF(IF(AY$2&lt;=$A$1,1,0),IF(AY$4="休","",IF(COUNTIF(DATA!AZ:AZ,$A:$A)=0,"×","√")),""))</f>
        <v/>
      </c>
      <c r="AZ37" s="34" t="str">
        <f ca="1">IF($A37="","",IF(IF(AZ$2&lt;=$A$1,1,0),IF(AZ$4="休","",IF(COUNTIF(DATA!BA:BA,$A:$A)=0,"×","√")),""))</f>
        <v/>
      </c>
      <c r="BA37" s="34" t="str">
        <f ca="1">IF($A37="","",IF(IF(BA$2&lt;=$A$1,1,0),IF(BA$4="休","",IF(COUNTIF(DATA!BB:BB,$A:$A)=0,"×","√")),""))</f>
        <v/>
      </c>
      <c r="BB37" s="34" t="str">
        <f ca="1">IF($A37="","",IF(IF(BB$2&lt;=$A$1,1,0),IF(BB$4="休","",IF(COUNTIF(DATA!BC:BC,$A:$A)=0,"×","√")),""))</f>
        <v/>
      </c>
      <c r="BC37" s="34" t="str">
        <f ca="1">IF($A37="","",IF(IF(BC$2&lt;=$A$1,1,0),IF(BC$4="休","",IF(COUNTIF(DATA!BD:BD,$A:$A)=0,"×","√")),""))</f>
        <v/>
      </c>
      <c r="BD37" s="34" t="str">
        <f ca="1">IF($A37="","",IF(IF(BD$2&lt;=$A$1,1,0),IF(BD$4="休","",IF(COUNTIF(DATA!BE:BE,$A:$A)=0,"×","√")),""))</f>
        <v/>
      </c>
      <c r="BE37" s="34" t="str">
        <f ca="1">IF($A37="","",IF(IF(BE$2&lt;=$A$1,1,0),IF(BE$4="休","",IF(COUNTIF(DATA!BF:BF,$A:$A)=0,"×","√")),""))</f>
        <v/>
      </c>
      <c r="BF37" s="34" t="str">
        <f ca="1">IF($A37="","",IF(IF(BF$2&lt;=$A$1,1,0),IF(BF$4="休","",IF(COUNTIF(DATA!BG:BG,$A:$A)=0,"×","√")),""))</f>
        <v/>
      </c>
      <c r="BG37" s="34" t="str">
        <f ca="1">IF($A37="","",IF(IF(BG$2&lt;=$A$1,1,0),IF(BG$4="休","",IF(COUNTIF(DATA!BH:BH,$A:$A)=0,"×","√")),""))</f>
        <v/>
      </c>
      <c r="BH37" s="34" t="str">
        <f ca="1">IF($A37="","",IF(IF(BH$2&lt;=$A$1,1,0),IF(BH$4="休","",IF(COUNTIF(DATA!BI:BI,$A:$A)=0,"×","√")),""))</f>
        <v/>
      </c>
      <c r="BI37" s="34" t="str">
        <f ca="1">IF($A37="","",IF(IF(BI$2&lt;=$A$1,1,0),IF(BI$4="休","",IF(COUNTIF(DATA!BJ:BJ,$A:$A)=0,"×","√")),""))</f>
        <v/>
      </c>
      <c r="BJ37" s="34" t="str">
        <f ca="1">IF($A37="","",IF(IF(BJ$2&lt;=$A$1,1,0),IF(BJ$4="休","",IF(COUNTIF(DATA!BK:BK,$A:$A)=0,"×","√")),""))</f>
        <v/>
      </c>
      <c r="BK37" s="34" t="str">
        <f ca="1">IF($A37="","",IF(IF(BK$2&lt;=$A$1,1,0),IF(BK$4="休","",IF(COUNTIF(DATA!BL:BL,$A:$A)=0,"×","√")),""))</f>
        <v/>
      </c>
      <c r="BL37" s="34" t="str">
        <f ca="1">IF($A37="","",IF(IF(BL$2&lt;=$A$1,1,0),IF(BL$4="休","",IF(COUNTIF(DATA!BM:BM,$A:$A)=0,"×","√")),""))</f>
        <v/>
      </c>
      <c r="BM37" s="34" t="str">
        <f ca="1">IF($A37="","",IF(IF(BM$2&lt;=$A$1,1,0),IF(BM$4="休","",IF(COUNTIF(DATA!BN:BN,$A:$A)=0,"×","√")),""))</f>
        <v/>
      </c>
      <c r="BN37" s="34" t="str">
        <f ca="1">IF($A37="","",IF(IF(BN$2&lt;=$A$1,1,0),IF(BN$4="休","",IF(COUNTIF(DATA!BO:BO,$A:$A)=0,"×","√")),""))</f>
        <v/>
      </c>
      <c r="BO37" s="34" t="str">
        <f ca="1">IF($A37="","",IF(IF(BO$2&lt;=$A$1,1,0),IF(BO$4="休","",IF(COUNTIF(DATA!BP:BP,$A:$A)=0,"×","√")),""))</f>
        <v/>
      </c>
      <c r="BP37" s="34" t="str">
        <f ca="1">IF($A37="","",IF(IF(BP$2&lt;=$A$1,1,0),IF(BP$4="休","",IF(COUNTIF(DATA!BQ:BQ,$A:$A)=0,"×","√")),""))</f>
        <v/>
      </c>
      <c r="BQ37" s="34" t="str">
        <f ca="1">IF($A37="","",IF(IF(BQ$2&lt;=$A$1,1,0),IF(BQ$4="休","",IF(COUNTIF(DATA!BR:BR,$A:$A)=0,"×","√")),""))</f>
        <v/>
      </c>
      <c r="BR37" s="34" t="str">
        <f ca="1">IF($A37="","",IF(IF(BR$2&lt;=$A$1,1,0),IF(BR$4="休","",IF(COUNTIF(DATA!BS:BS,$A:$A)=0,"×","√")),""))</f>
        <v/>
      </c>
      <c r="BS37" s="34" t="str">
        <f ca="1">IF($A37="","",IF(IF(BS$2&lt;=$A$1,1,0),IF(BS$4="休","",IF(COUNTIF(DATA!BT:BT,$A:$A)=0,"×","√")),""))</f>
        <v/>
      </c>
      <c r="BT37" s="34" t="str">
        <f ca="1">IF($A37="","",IF(IF(BT$2&lt;=$A$1,1,0),IF(BT$4="休","",IF(COUNTIF(DATA!BU:BU,$A:$A)=0,"×","√")),""))</f>
        <v/>
      </c>
      <c r="BU37" s="34" t="str">
        <f ca="1">IF($A37="","",IF(IF(BU$2&lt;=$A$1,1,0),IF(BU$4="休","",IF(COUNTIF(DATA!BV:BV,$A:$A)=0,"×","√")),""))</f>
        <v/>
      </c>
      <c r="BV37" s="34" t="str">
        <f ca="1">IF($A37="","",IF(IF(BV$2&lt;=$A$1,1,0),IF(BV$4="休","",IF(COUNTIF(DATA!BW:BW,$A:$A)=0,"×","√")),""))</f>
        <v/>
      </c>
      <c r="BW37" s="34" t="str">
        <f ca="1">IF($A37="","",IF(IF(BW$2&lt;=$A$1,1,0),IF(BW$4="休","",IF(COUNTIF(DATA!BX:BX,$A:$A)=0,"×","√")),""))</f>
        <v/>
      </c>
      <c r="BX37" s="34" t="str">
        <f ca="1">IF($A37="","",IF(IF(BX$2&lt;=$A$1,1,0),IF(BX$4="休","",IF(COUNTIF(DATA!BY:BY,$A:$A)=0,"×","√")),""))</f>
        <v/>
      </c>
      <c r="BY37" s="34" t="str">
        <f ca="1">IF($A37="","",IF(IF(BY$2&lt;=$A$1,1,0),IF(BY$4="休","",IF(COUNTIF(DATA!BZ:BZ,$A:$A)=0,"×","√")),""))</f>
        <v/>
      </c>
      <c r="BZ37" s="34" t="str">
        <f ca="1">IF($A37="","",IF(IF(BZ$2&lt;=$A$1,1,0),IF(BZ$4="休","",IF(COUNTIF(DATA!CA:CA,$A:$A)=0,"×","√")),""))</f>
        <v/>
      </c>
      <c r="CA37" s="34" t="str">
        <f ca="1">IF($A37="","",IF(IF(CA$2&lt;=$A$1,1,0),IF(CA$4="休","",IF(COUNTIF(DATA!CB:CB,$A:$A)=0,"×","√")),""))</f>
        <v/>
      </c>
      <c r="CB37" s="34" t="str">
        <f ca="1">IF($A37="","",IF(IF(CB$2&lt;=$A$1,1,0),IF(CB$4="休","",IF(COUNTIF(DATA!CC:CC,$A:$A)=0,"×","√")),""))</f>
        <v/>
      </c>
      <c r="CC37" s="34" t="str">
        <f ca="1">IF($A37="","",IF(IF(CC$2&lt;=$A$1,1,0),IF(CC$4="休","",IF(COUNTIF(DATA!CD:CD,$A:$A)=0,"×","√")),""))</f>
        <v/>
      </c>
      <c r="CD37" s="34" t="str">
        <f ca="1">IF($A37="","",IF(IF(CD$2&lt;=$A$1,1,0),IF(CD$4="休","",IF(COUNTIF(DATA!CE:CE,$A:$A)=0,"×","√")),""))</f>
        <v/>
      </c>
      <c r="CE37" s="34" t="str">
        <f ca="1">IF($A37="","",IF(IF(CE$2&lt;=$A$1,1,0),IF(CE$4="休","",IF(COUNTIF(DATA!CF:CF,$A:$A)=0,"×","√")),""))</f>
        <v/>
      </c>
      <c r="CF37" s="34" t="str">
        <f ca="1">IF($A37="","",IF(IF(CF$2&lt;=$A$1,1,0),IF(CF$4="休","",IF(COUNTIF(DATA!CG:CG,$A:$A)=0,"×","√")),""))</f>
        <v/>
      </c>
      <c r="CG37" s="34" t="str">
        <f ca="1">IF($A37="","",IF(IF(CG$2&lt;=$A$1,1,0),IF(CG$4="休","",IF(COUNTIF(DATA!CH:CH,$A:$A)=0,"×","√")),""))</f>
        <v/>
      </c>
      <c r="CH37" s="34" t="str">
        <f ca="1">IF($A37="","",IF(IF(CH$2&lt;=$A$1,1,0),IF(CH$4="休","",IF(COUNTIF(DATA!CI:CI,$A:$A)=0,"×","√")),""))</f>
        <v/>
      </c>
      <c r="CI37" s="34" t="str">
        <f ca="1">IF($A37="","",IF(IF(CI$2&lt;=$A$1,1,0),IF(CI$4="休","",IF(COUNTIF(DATA!CJ:CJ,$A:$A)=0,"×","√")),""))</f>
        <v/>
      </c>
      <c r="CJ37" s="34" t="str">
        <f ca="1">IF($A37="","",IF(IF(CJ$2&lt;=$A$1,1,0),IF(CJ$4="休","",IF(COUNTIF(DATA!CK:CK,$A:$A)=0,"×","√")),""))</f>
        <v/>
      </c>
      <c r="CK37" s="34" t="str">
        <f ca="1">IF($A37="","",IF(IF(CK$2&lt;=$A$1,1,0),IF(CK$4="休","",IF(COUNTIF(DATA!CL:CL,$A:$A)=0,"×","√")),""))</f>
        <v/>
      </c>
      <c r="CL37" s="34" t="str">
        <f ca="1">IF($A37="","",IF(IF(CL$2&lt;=$A$1,1,0),IF(CL$4="休","",IF(COUNTIF(DATA!CM:CM,$A:$A)=0,"×","√")),""))</f>
        <v/>
      </c>
      <c r="CM37" s="34" t="str">
        <f ca="1">IF($A37="","",IF(IF(CM$2&lt;=$A$1,1,0),IF(CM$4="休","",IF(COUNTIF(DATA!CN:CN,$A:$A)=0,"×","√")),""))</f>
        <v/>
      </c>
      <c r="CN37" s="34" t="str">
        <f ca="1">IF($A37="","",IF(IF(CN$2&lt;=$A$1,1,0),IF(CN$4="休","",IF(COUNTIF(DATA!CO:CO,$A:$A)=0,"×","√")),""))</f>
        <v/>
      </c>
      <c r="CO37" s="34" t="str">
        <f ca="1">IF($A37="","",IF(IF(CO$2&lt;=$A$1,1,0),IF(CO$4="休","",IF(COUNTIF(DATA!CP:CP,$A:$A)=0,"×","√")),""))</f>
        <v/>
      </c>
      <c r="CP37" s="34" t="str">
        <f ca="1">IF($A37="","",IF(IF(CP$2&lt;=$A$1,1,0),IF(CP$4="休","",IF(COUNTIF(DATA!CQ:CQ,$A:$A)=0,"×","√")),""))</f>
        <v/>
      </c>
      <c r="CQ37" s="34" t="str">
        <f ca="1">IF($A37="","",IF(IF(CQ$2&lt;=$A$1,1,0),IF(CQ$4="休","",IF(COUNTIF(DATA!CR:CR,$A:$A)=0,"×","√")),""))</f>
        <v/>
      </c>
      <c r="CR37" s="34" t="str">
        <f ca="1">IF($A37="","",IF(IF(CR$2&lt;=$A$1,1,0),IF(CR$4="休","",IF(COUNTIF(DATA!CS:CS,$A:$A)=0,"×","√")),""))</f>
        <v/>
      </c>
    </row>
    <row r="38" s="28" customFormat="1" ht="18.75" spans="1:96">
      <c r="A38" s="34" t="str">
        <f>DATA!$A37&amp;""</f>
        <v>胡栋杰</v>
      </c>
      <c r="B38" s="34" t="str">
        <f ca="1">IF($A38="","",IF(IF(B$2&lt;=$A$1,1,0),IF(B$4="休","",IF(COUNTIF(DATA!C:C,$A:$A)=0,"×","√")),""))</f>
        <v>√</v>
      </c>
      <c r="C38" s="34" t="str">
        <f ca="1">IF($A38="","",IF(IF(C$2&lt;=$A$1,1,0),IF(C$4="休","",IF(COUNTIF(DATA!D:D,$A:$A)=0,"×","√")),""))</f>
        <v>√</v>
      </c>
      <c r="D38" s="34" t="str">
        <f ca="1">IF($A38="","",IF(IF(D$2&lt;=$A$1,1,0),IF(D$4="休","",IF(COUNTIF(DATA!E:E,$A:$A)=0,"×","√")),""))</f>
        <v>√</v>
      </c>
      <c r="E38" s="34" t="str">
        <f ca="1">IF($A38="","",IF(IF(E$2&lt;=$A$1,1,0),IF(E$4="休","",IF(COUNTIF(DATA!F:F,$A:$A)=0,"×","√")),""))</f>
        <v>√</v>
      </c>
      <c r="F38" s="34" t="str">
        <f ca="1">IF($A38="","",IF(IF(F$2&lt;=$A$1,1,0),IF(F$4="休","",IF(COUNTIF(DATA!G:G,$A:$A)=0,"×","√")),""))</f>
        <v>√</v>
      </c>
      <c r="G38" s="34" t="str">
        <f ca="1">IF($A38="","",IF(IF(G$2&lt;=$A$1,1,0),IF(G$4="休","",IF(COUNTIF(DATA!H:H,$A:$A)=0,"×","√")),""))</f>
        <v>√</v>
      </c>
      <c r="H38" s="34" t="str">
        <f ca="1">IF($A38="","",IF(IF(H$2&lt;=$A$1,1,0),IF(H$4="休","",IF(COUNTIF(DATA!I:I,$A:$A)=0,"×","√")),""))</f>
        <v>√</v>
      </c>
      <c r="I38" s="34" t="str">
        <f ca="1">IF($A38="","",IF(IF(I$2&lt;=$A$1,1,0),IF(I$4="休","",IF(COUNTIF(DATA!J:J,$A:$A)=0,"×","√")),""))</f>
        <v>√</v>
      </c>
      <c r="J38" s="34" t="str">
        <f ca="1">IF($A38="","",IF(IF(J$2&lt;=$A$1,1,0),IF(J$4="休","",IF(COUNTIF(DATA!K:K,$A:$A)=0,"×","√")),""))</f>
        <v>√</v>
      </c>
      <c r="K38" s="34" t="str">
        <f ca="1">IF($A38="","",IF(IF(K$2&lt;=$A$1,1,0),IF(K$4="休","",IF(COUNTIF(DATA!L:L,$A:$A)=0,"×","√")),""))</f>
        <v>√</v>
      </c>
      <c r="L38" s="34" t="str">
        <f ca="1">IF($A38="","",IF(IF(L$2&lt;=$A$1,1,0),IF(L$4="休","",IF(COUNTIF(DATA!M:M,$A:$A)=0,"×","√")),""))</f>
        <v>√</v>
      </c>
      <c r="M38" s="34" t="str">
        <f ca="1">IF($A38="","",IF(IF(M$2&lt;=$A$1,1,0),IF(M$4="休","",IF(COUNTIF(DATA!N:N,$A:$A)=0,"×","√")),""))</f>
        <v>√</v>
      </c>
      <c r="N38" s="34" t="str">
        <f ca="1">IF($A38="","",IF(IF(N$2&lt;=$A$1,1,0),IF(N$4="休","",IF(COUNTIF(DATA!O:O,$A:$A)=0,"×","√")),""))</f>
        <v>√</v>
      </c>
      <c r="O38" s="34" t="str">
        <f ca="1">IF($A38="","",IF(IF(O$2&lt;=$A$1,1,0),IF(O$4="休","",IF(COUNTIF(DATA!P:P,$A:$A)=0,"×","√")),""))</f>
        <v>×</v>
      </c>
      <c r="P38" s="34" t="str">
        <f ca="1">IF($A38="","",IF(IF(P$2&lt;=$A$1,1,0),IF(P$4="休","",IF(COUNTIF(DATA!Q:Q,$A:$A)=0,"×","√")),""))</f>
        <v/>
      </c>
      <c r="Q38" s="34" t="str">
        <f ca="1">IF($A38="","",IF(IF(Q$2&lt;=$A$1,1,0),IF(Q$4="休","",IF(COUNTIF(DATA!R:R,$A:$A)=0,"×","√")),""))</f>
        <v/>
      </c>
      <c r="R38" s="34" t="str">
        <f ca="1">IF($A38="","",IF(IF(R$2&lt;=$A$1,1,0),IF(R$4="休","",IF(COUNTIF(DATA!S:S,$A:$A)=0,"×","√")),""))</f>
        <v/>
      </c>
      <c r="S38" s="34" t="str">
        <f ca="1">IF($A38="","",IF(IF(S$2&lt;=$A$1,1,0),IF(S$4="休","",IF(COUNTIF(DATA!T:T,$A:$A)=0,"×","√")),""))</f>
        <v/>
      </c>
      <c r="T38" s="34" t="str">
        <f ca="1">IF($A38="","",IF(IF(T$2&lt;=$A$1,1,0),IF(T$4="休","",IF(COUNTIF(DATA!U:U,$A:$A)=0,"×","√")),""))</f>
        <v/>
      </c>
      <c r="U38" s="34" t="str">
        <f ca="1">IF($A38="","",IF(IF(U$2&lt;=$A$1,1,0),IF(U$4="休","",IF(COUNTIF(DATA!V:V,$A:$A)=0,"×","√")),""))</f>
        <v/>
      </c>
      <c r="V38" s="34" t="str">
        <f ca="1">IF($A38="","",IF(IF(V$2&lt;=$A$1,1,0),IF(V$4="休","",IF(COUNTIF(DATA!W:W,$A:$A)=0,"×","√")),""))</f>
        <v/>
      </c>
      <c r="W38" s="34" t="str">
        <f ca="1">IF($A38="","",IF(IF(W$2&lt;=$A$1,1,0),IF(W$4="休","",IF(COUNTIF(DATA!X:X,$A:$A)=0,"×","√")),""))</f>
        <v/>
      </c>
      <c r="X38" s="34" t="str">
        <f ca="1">IF($A38="","",IF(IF(X$2&lt;=$A$1,1,0),IF(X$4="休","",IF(COUNTIF(DATA!Y:Y,$A:$A)=0,"×","√")),""))</f>
        <v/>
      </c>
      <c r="Y38" s="34" t="str">
        <f ca="1">IF($A38="","",IF(IF(Y$2&lt;=$A$1,1,0),IF(Y$4="休","",IF(COUNTIF(DATA!Z:Z,$A:$A)=0,"×","√")),""))</f>
        <v/>
      </c>
      <c r="Z38" s="34" t="str">
        <f ca="1">IF($A38="","",IF(IF(Z$2&lt;=$A$1,1,0),IF(Z$4="休","",IF(COUNTIF(DATA!AA:AA,$A:$A)=0,"×","√")),""))</f>
        <v/>
      </c>
      <c r="AA38" s="34" t="str">
        <f ca="1">IF($A38="","",IF(IF(AA$2&lt;=$A$1,1,0),IF(AA$4="休","",IF(COUNTIF(DATA!AB:AB,$A:$A)=0,"×","√")),""))</f>
        <v/>
      </c>
      <c r="AB38" s="34" t="str">
        <f ca="1">IF($A38="","",IF(IF(AB$2&lt;=$A$1,1,0),IF(AB$4="休","",IF(COUNTIF(DATA!AC:AC,$A:$A)=0,"×","√")),""))</f>
        <v/>
      </c>
      <c r="AC38" s="34" t="str">
        <f ca="1">IF($A38="","",IF(IF(AC$2&lt;=$A$1,1,0),IF(AC$4="休","",IF(COUNTIF(DATA!AD:AD,$A:$A)=0,"×","√")),""))</f>
        <v/>
      </c>
      <c r="AD38" s="34" t="str">
        <f ca="1">IF($A38="","",IF(IF(AD$2&lt;=$A$1,1,0),IF(AD$4="休","",IF(COUNTIF(DATA!AE:AE,$A:$A)=0,"×","√")),""))</f>
        <v/>
      </c>
      <c r="AE38" s="34" t="str">
        <f ca="1">IF($A38="","",IF(IF(AE$2&lt;=$A$1,1,0),IF(AE$4="休","",IF(COUNTIF(DATA!AF:AF,$A:$A)=0,"×","√")),""))</f>
        <v/>
      </c>
      <c r="AF38" s="34" t="str">
        <f ca="1">IF($A38="","",IF(IF(AF$2&lt;=$A$1,1,0),IF(AF$4="休","",IF(COUNTIF(DATA!AG:AG,$A:$A)=0,"×","√")),""))</f>
        <v/>
      </c>
      <c r="AG38" s="34" t="str">
        <f ca="1">IF($A38="","",IF(IF(AG$2&lt;=$A$1,1,0),IF(AG$4="休","",IF(COUNTIF(DATA!AH:AH,$A:$A)=0,"×","√")),""))</f>
        <v/>
      </c>
      <c r="AH38" s="34" t="str">
        <f ca="1">IF($A38="","",IF(IF(AH$2&lt;=$A$1,1,0),IF(AH$4="休","",IF(COUNTIF(DATA!AI:AI,$A:$A)=0,"×","√")),""))</f>
        <v/>
      </c>
      <c r="AI38" s="34" t="str">
        <f ca="1">IF($A38="","",IF(IF(AI$2&lt;=$A$1,1,0),IF(AI$4="休","",IF(COUNTIF(DATA!AJ:AJ,$A:$A)=0,"×","√")),""))</f>
        <v/>
      </c>
      <c r="AJ38" s="34" t="str">
        <f ca="1">IF($A38="","",IF(IF(AJ$2&lt;=$A$1,1,0),IF(AJ$4="休","",IF(COUNTIF(DATA!AK:AK,$A:$A)=0,"×","√")),""))</f>
        <v/>
      </c>
      <c r="AK38" s="34" t="str">
        <f ca="1">IF($A38="","",IF(IF(AK$2&lt;=$A$1,1,0),IF(AK$4="休","",IF(COUNTIF(DATA!AL:AL,$A:$A)=0,"×","√")),""))</f>
        <v/>
      </c>
      <c r="AL38" s="34" t="str">
        <f ca="1">IF($A38="","",IF(IF(AL$2&lt;=$A$1,1,0),IF(AL$4="休","",IF(COUNTIF(DATA!AM:AM,$A:$A)=0,"×","√")),""))</f>
        <v/>
      </c>
      <c r="AM38" s="34" t="str">
        <f ca="1">IF($A38="","",IF(IF(AM$2&lt;=$A$1,1,0),IF(AM$4="休","",IF(COUNTIF(DATA!AN:AN,$A:$A)=0,"×","√")),""))</f>
        <v/>
      </c>
      <c r="AN38" s="34" t="str">
        <f ca="1">IF($A38="","",IF(IF(AN$2&lt;=$A$1,1,0),IF(AN$4="休","",IF(COUNTIF(DATA!AO:AO,$A:$A)=0,"×","√")),""))</f>
        <v/>
      </c>
      <c r="AO38" s="34" t="str">
        <f ca="1">IF($A38="","",IF(IF(AO$2&lt;=$A$1,1,0),IF(AO$4="休","",IF(COUNTIF(DATA!AP:AP,$A:$A)=0,"×","√")),""))</f>
        <v/>
      </c>
      <c r="AP38" s="34" t="str">
        <f ca="1">IF($A38="","",IF(IF(AP$2&lt;=$A$1,1,0),IF(AP$4="休","",IF(COUNTIF(DATA!AQ:AQ,$A:$A)=0,"×","√")),""))</f>
        <v/>
      </c>
      <c r="AQ38" s="34" t="str">
        <f ca="1">IF($A38="","",IF(IF(AQ$2&lt;=$A$1,1,0),IF(AQ$4="休","",IF(COUNTIF(DATA!AR:AR,$A:$A)=0,"×","√")),""))</f>
        <v/>
      </c>
      <c r="AR38" s="34" t="str">
        <f ca="1">IF($A38="","",IF(IF(AR$2&lt;=$A$1,1,0),IF(AR$4="休","",IF(COUNTIF(DATA!AS:AS,$A:$A)=0,"×","√")),""))</f>
        <v/>
      </c>
      <c r="AS38" s="34" t="str">
        <f ca="1">IF($A38="","",IF(IF(AS$2&lt;=$A$1,1,0),IF(AS$4="休","",IF(COUNTIF(DATA!AT:AT,$A:$A)=0,"×","√")),""))</f>
        <v/>
      </c>
      <c r="AT38" s="34" t="str">
        <f ca="1">IF($A38="","",IF(IF(AT$2&lt;=$A$1,1,0),IF(AT$4="休","",IF(COUNTIF(DATA!AU:AU,$A:$A)=0,"×","√")),""))</f>
        <v/>
      </c>
      <c r="AU38" s="34" t="str">
        <f ca="1">IF($A38="","",IF(IF(AU$2&lt;=$A$1,1,0),IF(AU$4="休","",IF(COUNTIF(DATA!AV:AV,$A:$A)=0,"×","√")),""))</f>
        <v/>
      </c>
      <c r="AV38" s="34" t="str">
        <f ca="1">IF($A38="","",IF(IF(AV$2&lt;=$A$1,1,0),IF(AV$4="休","",IF(COUNTIF(DATA!AW:AW,$A:$A)=0,"×","√")),""))</f>
        <v/>
      </c>
      <c r="AW38" s="34" t="str">
        <f ca="1">IF($A38="","",IF(IF(AW$2&lt;=$A$1,1,0),IF(AW$4="休","",IF(COUNTIF(DATA!AX:AX,$A:$A)=0,"×","√")),""))</f>
        <v/>
      </c>
      <c r="AX38" s="34" t="str">
        <f ca="1">IF($A38="","",IF(IF(AX$2&lt;=$A$1,1,0),IF(AX$4="休","",IF(COUNTIF(DATA!AY:AY,$A:$A)=0,"×","√")),""))</f>
        <v/>
      </c>
      <c r="AY38" s="34" t="str">
        <f ca="1">IF($A38="","",IF(IF(AY$2&lt;=$A$1,1,0),IF(AY$4="休","",IF(COUNTIF(DATA!AZ:AZ,$A:$A)=0,"×","√")),""))</f>
        <v/>
      </c>
      <c r="AZ38" s="34" t="str">
        <f ca="1">IF($A38="","",IF(IF(AZ$2&lt;=$A$1,1,0),IF(AZ$4="休","",IF(COUNTIF(DATA!BA:BA,$A:$A)=0,"×","√")),""))</f>
        <v/>
      </c>
      <c r="BA38" s="34" t="str">
        <f ca="1">IF($A38="","",IF(IF(BA$2&lt;=$A$1,1,0),IF(BA$4="休","",IF(COUNTIF(DATA!BB:BB,$A:$A)=0,"×","√")),""))</f>
        <v/>
      </c>
      <c r="BB38" s="34" t="str">
        <f ca="1">IF($A38="","",IF(IF(BB$2&lt;=$A$1,1,0),IF(BB$4="休","",IF(COUNTIF(DATA!BC:BC,$A:$A)=0,"×","√")),""))</f>
        <v/>
      </c>
      <c r="BC38" s="34" t="str">
        <f ca="1">IF($A38="","",IF(IF(BC$2&lt;=$A$1,1,0),IF(BC$4="休","",IF(COUNTIF(DATA!BD:BD,$A:$A)=0,"×","√")),""))</f>
        <v/>
      </c>
      <c r="BD38" s="34" t="str">
        <f ca="1">IF($A38="","",IF(IF(BD$2&lt;=$A$1,1,0),IF(BD$4="休","",IF(COUNTIF(DATA!BE:BE,$A:$A)=0,"×","√")),""))</f>
        <v/>
      </c>
      <c r="BE38" s="34" t="str">
        <f ca="1">IF($A38="","",IF(IF(BE$2&lt;=$A$1,1,0),IF(BE$4="休","",IF(COUNTIF(DATA!BF:BF,$A:$A)=0,"×","√")),""))</f>
        <v/>
      </c>
      <c r="BF38" s="34" t="str">
        <f ca="1">IF($A38="","",IF(IF(BF$2&lt;=$A$1,1,0),IF(BF$4="休","",IF(COUNTIF(DATA!BG:BG,$A:$A)=0,"×","√")),""))</f>
        <v/>
      </c>
      <c r="BG38" s="34" t="str">
        <f ca="1">IF($A38="","",IF(IF(BG$2&lt;=$A$1,1,0),IF(BG$4="休","",IF(COUNTIF(DATA!BH:BH,$A:$A)=0,"×","√")),""))</f>
        <v/>
      </c>
      <c r="BH38" s="34" t="str">
        <f ca="1">IF($A38="","",IF(IF(BH$2&lt;=$A$1,1,0),IF(BH$4="休","",IF(COUNTIF(DATA!BI:BI,$A:$A)=0,"×","√")),""))</f>
        <v/>
      </c>
      <c r="BI38" s="34" t="str">
        <f ca="1">IF($A38="","",IF(IF(BI$2&lt;=$A$1,1,0),IF(BI$4="休","",IF(COUNTIF(DATA!BJ:BJ,$A:$A)=0,"×","√")),""))</f>
        <v/>
      </c>
      <c r="BJ38" s="34" t="str">
        <f ca="1">IF($A38="","",IF(IF(BJ$2&lt;=$A$1,1,0),IF(BJ$4="休","",IF(COUNTIF(DATA!BK:BK,$A:$A)=0,"×","√")),""))</f>
        <v/>
      </c>
      <c r="BK38" s="34" t="str">
        <f ca="1">IF($A38="","",IF(IF(BK$2&lt;=$A$1,1,0),IF(BK$4="休","",IF(COUNTIF(DATA!BL:BL,$A:$A)=0,"×","√")),""))</f>
        <v/>
      </c>
      <c r="BL38" s="34" t="str">
        <f ca="1">IF($A38="","",IF(IF(BL$2&lt;=$A$1,1,0),IF(BL$4="休","",IF(COUNTIF(DATA!BM:BM,$A:$A)=0,"×","√")),""))</f>
        <v/>
      </c>
      <c r="BM38" s="34" t="str">
        <f ca="1">IF($A38="","",IF(IF(BM$2&lt;=$A$1,1,0),IF(BM$4="休","",IF(COUNTIF(DATA!BN:BN,$A:$A)=0,"×","√")),""))</f>
        <v/>
      </c>
      <c r="BN38" s="34" t="str">
        <f ca="1">IF($A38="","",IF(IF(BN$2&lt;=$A$1,1,0),IF(BN$4="休","",IF(COUNTIF(DATA!BO:BO,$A:$A)=0,"×","√")),""))</f>
        <v/>
      </c>
      <c r="BO38" s="34" t="str">
        <f ca="1">IF($A38="","",IF(IF(BO$2&lt;=$A$1,1,0),IF(BO$4="休","",IF(COUNTIF(DATA!BP:BP,$A:$A)=0,"×","√")),""))</f>
        <v/>
      </c>
      <c r="BP38" s="34" t="str">
        <f ca="1">IF($A38="","",IF(IF(BP$2&lt;=$A$1,1,0),IF(BP$4="休","",IF(COUNTIF(DATA!BQ:BQ,$A:$A)=0,"×","√")),""))</f>
        <v/>
      </c>
      <c r="BQ38" s="34" t="str">
        <f ca="1">IF($A38="","",IF(IF(BQ$2&lt;=$A$1,1,0),IF(BQ$4="休","",IF(COUNTIF(DATA!BR:BR,$A:$A)=0,"×","√")),""))</f>
        <v/>
      </c>
      <c r="BR38" s="34" t="str">
        <f ca="1">IF($A38="","",IF(IF(BR$2&lt;=$A$1,1,0),IF(BR$4="休","",IF(COUNTIF(DATA!BS:BS,$A:$A)=0,"×","√")),""))</f>
        <v/>
      </c>
      <c r="BS38" s="34" t="str">
        <f ca="1">IF($A38="","",IF(IF(BS$2&lt;=$A$1,1,0),IF(BS$4="休","",IF(COUNTIF(DATA!BT:BT,$A:$A)=0,"×","√")),""))</f>
        <v/>
      </c>
      <c r="BT38" s="34" t="str">
        <f ca="1">IF($A38="","",IF(IF(BT$2&lt;=$A$1,1,0),IF(BT$4="休","",IF(COUNTIF(DATA!BU:BU,$A:$A)=0,"×","√")),""))</f>
        <v/>
      </c>
      <c r="BU38" s="34" t="str">
        <f ca="1">IF($A38="","",IF(IF(BU$2&lt;=$A$1,1,0),IF(BU$4="休","",IF(COUNTIF(DATA!BV:BV,$A:$A)=0,"×","√")),""))</f>
        <v/>
      </c>
      <c r="BV38" s="34" t="str">
        <f ca="1">IF($A38="","",IF(IF(BV$2&lt;=$A$1,1,0),IF(BV$4="休","",IF(COUNTIF(DATA!BW:BW,$A:$A)=0,"×","√")),""))</f>
        <v/>
      </c>
      <c r="BW38" s="34" t="str">
        <f ca="1">IF($A38="","",IF(IF(BW$2&lt;=$A$1,1,0),IF(BW$4="休","",IF(COUNTIF(DATA!BX:BX,$A:$A)=0,"×","√")),""))</f>
        <v/>
      </c>
      <c r="BX38" s="34" t="str">
        <f ca="1">IF($A38="","",IF(IF(BX$2&lt;=$A$1,1,0),IF(BX$4="休","",IF(COUNTIF(DATA!BY:BY,$A:$A)=0,"×","√")),""))</f>
        <v/>
      </c>
      <c r="BY38" s="34" t="str">
        <f ca="1">IF($A38="","",IF(IF(BY$2&lt;=$A$1,1,0),IF(BY$4="休","",IF(COUNTIF(DATA!BZ:BZ,$A:$A)=0,"×","√")),""))</f>
        <v/>
      </c>
      <c r="BZ38" s="34" t="str">
        <f ca="1">IF($A38="","",IF(IF(BZ$2&lt;=$A$1,1,0),IF(BZ$4="休","",IF(COUNTIF(DATA!CA:CA,$A:$A)=0,"×","√")),""))</f>
        <v/>
      </c>
      <c r="CA38" s="34" t="str">
        <f ca="1">IF($A38="","",IF(IF(CA$2&lt;=$A$1,1,0),IF(CA$4="休","",IF(COUNTIF(DATA!CB:CB,$A:$A)=0,"×","√")),""))</f>
        <v/>
      </c>
      <c r="CB38" s="34" t="str">
        <f ca="1">IF($A38="","",IF(IF(CB$2&lt;=$A$1,1,0),IF(CB$4="休","",IF(COUNTIF(DATA!CC:CC,$A:$A)=0,"×","√")),""))</f>
        <v/>
      </c>
      <c r="CC38" s="34" t="str">
        <f ca="1">IF($A38="","",IF(IF(CC$2&lt;=$A$1,1,0),IF(CC$4="休","",IF(COUNTIF(DATA!CD:CD,$A:$A)=0,"×","√")),""))</f>
        <v/>
      </c>
      <c r="CD38" s="34" t="str">
        <f ca="1">IF($A38="","",IF(IF(CD$2&lt;=$A$1,1,0),IF(CD$4="休","",IF(COUNTIF(DATA!CE:CE,$A:$A)=0,"×","√")),""))</f>
        <v/>
      </c>
      <c r="CE38" s="34" t="str">
        <f ca="1">IF($A38="","",IF(IF(CE$2&lt;=$A$1,1,0),IF(CE$4="休","",IF(COUNTIF(DATA!CF:CF,$A:$A)=0,"×","√")),""))</f>
        <v/>
      </c>
      <c r="CF38" s="34" t="str">
        <f ca="1">IF($A38="","",IF(IF(CF$2&lt;=$A$1,1,0),IF(CF$4="休","",IF(COUNTIF(DATA!CG:CG,$A:$A)=0,"×","√")),""))</f>
        <v/>
      </c>
      <c r="CG38" s="34" t="str">
        <f ca="1">IF($A38="","",IF(IF(CG$2&lt;=$A$1,1,0),IF(CG$4="休","",IF(COUNTIF(DATA!CH:CH,$A:$A)=0,"×","√")),""))</f>
        <v/>
      </c>
      <c r="CH38" s="34" t="str">
        <f ca="1">IF($A38="","",IF(IF(CH$2&lt;=$A$1,1,0),IF(CH$4="休","",IF(COUNTIF(DATA!CI:CI,$A:$A)=0,"×","√")),""))</f>
        <v/>
      </c>
      <c r="CI38" s="34" t="str">
        <f ca="1">IF($A38="","",IF(IF(CI$2&lt;=$A$1,1,0),IF(CI$4="休","",IF(COUNTIF(DATA!CJ:CJ,$A:$A)=0,"×","√")),""))</f>
        <v/>
      </c>
      <c r="CJ38" s="34" t="str">
        <f ca="1">IF($A38="","",IF(IF(CJ$2&lt;=$A$1,1,0),IF(CJ$4="休","",IF(COUNTIF(DATA!CK:CK,$A:$A)=0,"×","√")),""))</f>
        <v/>
      </c>
      <c r="CK38" s="34" t="str">
        <f ca="1">IF($A38="","",IF(IF(CK$2&lt;=$A$1,1,0),IF(CK$4="休","",IF(COUNTIF(DATA!CL:CL,$A:$A)=0,"×","√")),""))</f>
        <v/>
      </c>
      <c r="CL38" s="34" t="str">
        <f ca="1">IF($A38="","",IF(IF(CL$2&lt;=$A$1,1,0),IF(CL$4="休","",IF(COUNTIF(DATA!CM:CM,$A:$A)=0,"×","√")),""))</f>
        <v/>
      </c>
      <c r="CM38" s="34" t="str">
        <f ca="1">IF($A38="","",IF(IF(CM$2&lt;=$A$1,1,0),IF(CM$4="休","",IF(COUNTIF(DATA!CN:CN,$A:$A)=0,"×","√")),""))</f>
        <v/>
      </c>
      <c r="CN38" s="34" t="str">
        <f ca="1">IF($A38="","",IF(IF(CN$2&lt;=$A$1,1,0),IF(CN$4="休","",IF(COUNTIF(DATA!CO:CO,$A:$A)=0,"×","√")),""))</f>
        <v/>
      </c>
      <c r="CO38" s="34" t="str">
        <f ca="1">IF($A38="","",IF(IF(CO$2&lt;=$A$1,1,0),IF(CO$4="休","",IF(COUNTIF(DATA!CP:CP,$A:$A)=0,"×","√")),""))</f>
        <v/>
      </c>
      <c r="CP38" s="34" t="str">
        <f ca="1">IF($A38="","",IF(IF(CP$2&lt;=$A$1,1,0),IF(CP$4="休","",IF(COUNTIF(DATA!CQ:CQ,$A:$A)=0,"×","√")),""))</f>
        <v/>
      </c>
      <c r="CQ38" s="34" t="str">
        <f ca="1">IF($A38="","",IF(IF(CQ$2&lt;=$A$1,1,0),IF(CQ$4="休","",IF(COUNTIF(DATA!CR:CR,$A:$A)=0,"×","√")),""))</f>
        <v/>
      </c>
      <c r="CR38" s="34" t="str">
        <f ca="1">IF($A38="","",IF(IF(CR$2&lt;=$A$1,1,0),IF(CR$4="休","",IF(COUNTIF(DATA!CS:CS,$A:$A)=0,"×","√")),""))</f>
        <v/>
      </c>
    </row>
    <row r="39" s="28" customFormat="1" ht="18.75" spans="1:96">
      <c r="A39" s="34" t="str">
        <f>DATA!$A38&amp;""</f>
        <v>熊立武</v>
      </c>
      <c r="B39" s="34" t="str">
        <f ca="1">IF($A39="","",IF(IF(B$2&lt;=$A$1,1,0),IF(B$4="休","",IF(COUNTIF(DATA!C:C,$A:$A)=0,"×","√")),""))</f>
        <v>√</v>
      </c>
      <c r="C39" s="34" t="str">
        <f ca="1">IF($A39="","",IF(IF(C$2&lt;=$A$1,1,0),IF(C$4="休","",IF(COUNTIF(DATA!D:D,$A:$A)=0,"×","√")),""))</f>
        <v>√</v>
      </c>
      <c r="D39" s="34" t="str">
        <f ca="1">IF($A39="","",IF(IF(D$2&lt;=$A$1,1,0),IF(D$4="休","",IF(COUNTIF(DATA!E:E,$A:$A)=0,"×","√")),""))</f>
        <v>√</v>
      </c>
      <c r="E39" s="34" t="str">
        <f ca="1">IF($A39="","",IF(IF(E$2&lt;=$A$1,1,0),IF(E$4="休","",IF(COUNTIF(DATA!F:F,$A:$A)=0,"×","√")),""))</f>
        <v>√</v>
      </c>
      <c r="F39" s="34" t="str">
        <f ca="1">IF($A39="","",IF(IF(F$2&lt;=$A$1,1,0),IF(F$4="休","",IF(COUNTIF(DATA!G:G,$A:$A)=0,"×","√")),""))</f>
        <v>√</v>
      </c>
      <c r="G39" s="34" t="str">
        <f ca="1">IF($A39="","",IF(IF(G$2&lt;=$A$1,1,0),IF(G$4="休","",IF(COUNTIF(DATA!H:H,$A:$A)=0,"×","√")),""))</f>
        <v>√</v>
      </c>
      <c r="H39" s="34" t="str">
        <f ca="1">IF($A39="","",IF(IF(H$2&lt;=$A$1,1,0),IF(H$4="休","",IF(COUNTIF(DATA!I:I,$A:$A)=0,"×","√")),""))</f>
        <v>√</v>
      </c>
      <c r="I39" s="34" t="str">
        <f ca="1">IF($A39="","",IF(IF(I$2&lt;=$A$1,1,0),IF(I$4="休","",IF(COUNTIF(DATA!J:J,$A:$A)=0,"×","√")),""))</f>
        <v>√</v>
      </c>
      <c r="J39" s="34" t="str">
        <f ca="1">IF($A39="","",IF(IF(J$2&lt;=$A$1,1,0),IF(J$4="休","",IF(COUNTIF(DATA!K:K,$A:$A)=0,"×","√")),""))</f>
        <v>√</v>
      </c>
      <c r="K39" s="34" t="str">
        <f ca="1">IF($A39="","",IF(IF(K$2&lt;=$A$1,1,0),IF(K$4="休","",IF(COUNTIF(DATA!L:L,$A:$A)=0,"×","√")),""))</f>
        <v>√</v>
      </c>
      <c r="L39" s="34" t="str">
        <f ca="1">IF($A39="","",IF(IF(L$2&lt;=$A$1,1,0),IF(L$4="休","",IF(COUNTIF(DATA!M:M,$A:$A)=0,"×","√")),""))</f>
        <v>√</v>
      </c>
      <c r="M39" s="34" t="str">
        <f ca="1">IF($A39="","",IF(IF(M$2&lt;=$A$1,1,0),IF(M$4="休","",IF(COUNTIF(DATA!N:N,$A:$A)=0,"×","√")),""))</f>
        <v>√</v>
      </c>
      <c r="N39" s="34" t="str">
        <f ca="1">IF($A39="","",IF(IF(N$2&lt;=$A$1,1,0),IF(N$4="休","",IF(COUNTIF(DATA!O:O,$A:$A)=0,"×","√")),""))</f>
        <v>√</v>
      </c>
      <c r="O39" s="34" t="str">
        <f ca="1">IF($A39="","",IF(IF(O$2&lt;=$A$1,1,0),IF(O$4="休","",IF(COUNTIF(DATA!P:P,$A:$A)=0,"×","√")),""))</f>
        <v>×</v>
      </c>
      <c r="P39" s="34" t="str">
        <f ca="1">IF($A39="","",IF(IF(P$2&lt;=$A$1,1,0),IF(P$4="休","",IF(COUNTIF(DATA!Q:Q,$A:$A)=0,"×","√")),""))</f>
        <v/>
      </c>
      <c r="Q39" s="34" t="str">
        <f ca="1">IF($A39="","",IF(IF(Q$2&lt;=$A$1,1,0),IF(Q$4="休","",IF(COUNTIF(DATA!R:R,$A:$A)=0,"×","√")),""))</f>
        <v/>
      </c>
      <c r="R39" s="34" t="str">
        <f ca="1">IF($A39="","",IF(IF(R$2&lt;=$A$1,1,0),IF(R$4="休","",IF(COUNTIF(DATA!S:S,$A:$A)=0,"×","√")),""))</f>
        <v/>
      </c>
      <c r="S39" s="34" t="str">
        <f ca="1">IF($A39="","",IF(IF(S$2&lt;=$A$1,1,0),IF(S$4="休","",IF(COUNTIF(DATA!T:T,$A:$A)=0,"×","√")),""))</f>
        <v/>
      </c>
      <c r="T39" s="34" t="str">
        <f ca="1">IF($A39="","",IF(IF(T$2&lt;=$A$1,1,0),IF(T$4="休","",IF(COUNTIF(DATA!U:U,$A:$A)=0,"×","√")),""))</f>
        <v/>
      </c>
      <c r="U39" s="34" t="str">
        <f ca="1">IF($A39="","",IF(IF(U$2&lt;=$A$1,1,0),IF(U$4="休","",IF(COUNTIF(DATA!V:V,$A:$A)=0,"×","√")),""))</f>
        <v/>
      </c>
      <c r="V39" s="34" t="str">
        <f ca="1">IF($A39="","",IF(IF(V$2&lt;=$A$1,1,0),IF(V$4="休","",IF(COUNTIF(DATA!W:W,$A:$A)=0,"×","√")),""))</f>
        <v/>
      </c>
      <c r="W39" s="34" t="str">
        <f ca="1">IF($A39="","",IF(IF(W$2&lt;=$A$1,1,0),IF(W$4="休","",IF(COUNTIF(DATA!X:X,$A:$A)=0,"×","√")),""))</f>
        <v/>
      </c>
      <c r="X39" s="34" t="str">
        <f ca="1">IF($A39="","",IF(IF(X$2&lt;=$A$1,1,0),IF(X$4="休","",IF(COUNTIF(DATA!Y:Y,$A:$A)=0,"×","√")),""))</f>
        <v/>
      </c>
      <c r="Y39" s="34" t="str">
        <f ca="1">IF($A39="","",IF(IF(Y$2&lt;=$A$1,1,0),IF(Y$4="休","",IF(COUNTIF(DATA!Z:Z,$A:$A)=0,"×","√")),""))</f>
        <v/>
      </c>
      <c r="Z39" s="34" t="str">
        <f ca="1">IF($A39="","",IF(IF(Z$2&lt;=$A$1,1,0),IF(Z$4="休","",IF(COUNTIF(DATA!AA:AA,$A:$A)=0,"×","√")),""))</f>
        <v/>
      </c>
      <c r="AA39" s="34" t="str">
        <f ca="1">IF($A39="","",IF(IF(AA$2&lt;=$A$1,1,0),IF(AA$4="休","",IF(COUNTIF(DATA!AB:AB,$A:$A)=0,"×","√")),""))</f>
        <v/>
      </c>
      <c r="AB39" s="34" t="str">
        <f ca="1">IF($A39="","",IF(IF(AB$2&lt;=$A$1,1,0),IF(AB$4="休","",IF(COUNTIF(DATA!AC:AC,$A:$A)=0,"×","√")),""))</f>
        <v/>
      </c>
      <c r="AC39" s="34" t="str">
        <f ca="1">IF($A39="","",IF(IF(AC$2&lt;=$A$1,1,0),IF(AC$4="休","",IF(COUNTIF(DATA!AD:AD,$A:$A)=0,"×","√")),""))</f>
        <v/>
      </c>
      <c r="AD39" s="34" t="str">
        <f ca="1">IF($A39="","",IF(IF(AD$2&lt;=$A$1,1,0),IF(AD$4="休","",IF(COUNTIF(DATA!AE:AE,$A:$A)=0,"×","√")),""))</f>
        <v/>
      </c>
      <c r="AE39" s="34" t="str">
        <f ca="1">IF($A39="","",IF(IF(AE$2&lt;=$A$1,1,0),IF(AE$4="休","",IF(COUNTIF(DATA!AF:AF,$A:$A)=0,"×","√")),""))</f>
        <v/>
      </c>
      <c r="AF39" s="34" t="str">
        <f ca="1">IF($A39="","",IF(IF(AF$2&lt;=$A$1,1,0),IF(AF$4="休","",IF(COUNTIF(DATA!AG:AG,$A:$A)=0,"×","√")),""))</f>
        <v/>
      </c>
      <c r="AG39" s="34" t="str">
        <f ca="1">IF($A39="","",IF(IF(AG$2&lt;=$A$1,1,0),IF(AG$4="休","",IF(COUNTIF(DATA!AH:AH,$A:$A)=0,"×","√")),""))</f>
        <v/>
      </c>
      <c r="AH39" s="34" t="str">
        <f ca="1">IF($A39="","",IF(IF(AH$2&lt;=$A$1,1,0),IF(AH$4="休","",IF(COUNTIF(DATA!AI:AI,$A:$A)=0,"×","√")),""))</f>
        <v/>
      </c>
      <c r="AI39" s="34" t="str">
        <f ca="1">IF($A39="","",IF(IF(AI$2&lt;=$A$1,1,0),IF(AI$4="休","",IF(COUNTIF(DATA!AJ:AJ,$A:$A)=0,"×","√")),""))</f>
        <v/>
      </c>
      <c r="AJ39" s="34" t="str">
        <f ca="1">IF($A39="","",IF(IF(AJ$2&lt;=$A$1,1,0),IF(AJ$4="休","",IF(COUNTIF(DATA!AK:AK,$A:$A)=0,"×","√")),""))</f>
        <v/>
      </c>
      <c r="AK39" s="34" t="str">
        <f ca="1">IF($A39="","",IF(IF(AK$2&lt;=$A$1,1,0),IF(AK$4="休","",IF(COUNTIF(DATA!AL:AL,$A:$A)=0,"×","√")),""))</f>
        <v/>
      </c>
      <c r="AL39" s="34" t="str">
        <f ca="1">IF($A39="","",IF(IF(AL$2&lt;=$A$1,1,0),IF(AL$4="休","",IF(COUNTIF(DATA!AM:AM,$A:$A)=0,"×","√")),""))</f>
        <v/>
      </c>
      <c r="AM39" s="34" t="str">
        <f ca="1">IF($A39="","",IF(IF(AM$2&lt;=$A$1,1,0),IF(AM$4="休","",IF(COUNTIF(DATA!AN:AN,$A:$A)=0,"×","√")),""))</f>
        <v/>
      </c>
      <c r="AN39" s="34" t="str">
        <f ca="1">IF($A39="","",IF(IF(AN$2&lt;=$A$1,1,0),IF(AN$4="休","",IF(COUNTIF(DATA!AO:AO,$A:$A)=0,"×","√")),""))</f>
        <v/>
      </c>
      <c r="AO39" s="34" t="str">
        <f ca="1">IF($A39="","",IF(IF(AO$2&lt;=$A$1,1,0),IF(AO$4="休","",IF(COUNTIF(DATA!AP:AP,$A:$A)=0,"×","√")),""))</f>
        <v/>
      </c>
      <c r="AP39" s="34" t="str">
        <f ca="1">IF($A39="","",IF(IF(AP$2&lt;=$A$1,1,0),IF(AP$4="休","",IF(COUNTIF(DATA!AQ:AQ,$A:$A)=0,"×","√")),""))</f>
        <v/>
      </c>
      <c r="AQ39" s="34" t="str">
        <f ca="1">IF($A39="","",IF(IF(AQ$2&lt;=$A$1,1,0),IF(AQ$4="休","",IF(COUNTIF(DATA!AR:AR,$A:$A)=0,"×","√")),""))</f>
        <v/>
      </c>
      <c r="AR39" s="34" t="str">
        <f ca="1">IF($A39="","",IF(IF(AR$2&lt;=$A$1,1,0),IF(AR$4="休","",IF(COUNTIF(DATA!AS:AS,$A:$A)=0,"×","√")),""))</f>
        <v/>
      </c>
      <c r="AS39" s="34" t="str">
        <f ca="1">IF($A39="","",IF(IF(AS$2&lt;=$A$1,1,0),IF(AS$4="休","",IF(COUNTIF(DATA!AT:AT,$A:$A)=0,"×","√")),""))</f>
        <v/>
      </c>
      <c r="AT39" s="34" t="str">
        <f ca="1">IF($A39="","",IF(IF(AT$2&lt;=$A$1,1,0),IF(AT$4="休","",IF(COUNTIF(DATA!AU:AU,$A:$A)=0,"×","√")),""))</f>
        <v/>
      </c>
      <c r="AU39" s="34" t="str">
        <f ca="1">IF($A39="","",IF(IF(AU$2&lt;=$A$1,1,0),IF(AU$4="休","",IF(COUNTIF(DATA!AV:AV,$A:$A)=0,"×","√")),""))</f>
        <v/>
      </c>
      <c r="AV39" s="34" t="str">
        <f ca="1">IF($A39="","",IF(IF(AV$2&lt;=$A$1,1,0),IF(AV$4="休","",IF(COUNTIF(DATA!AW:AW,$A:$A)=0,"×","√")),""))</f>
        <v/>
      </c>
      <c r="AW39" s="34" t="str">
        <f ca="1">IF($A39="","",IF(IF(AW$2&lt;=$A$1,1,0),IF(AW$4="休","",IF(COUNTIF(DATA!AX:AX,$A:$A)=0,"×","√")),""))</f>
        <v/>
      </c>
      <c r="AX39" s="34" t="str">
        <f ca="1">IF($A39="","",IF(IF(AX$2&lt;=$A$1,1,0),IF(AX$4="休","",IF(COUNTIF(DATA!AY:AY,$A:$A)=0,"×","√")),""))</f>
        <v/>
      </c>
      <c r="AY39" s="34" t="str">
        <f ca="1">IF($A39="","",IF(IF(AY$2&lt;=$A$1,1,0),IF(AY$4="休","",IF(COUNTIF(DATA!AZ:AZ,$A:$A)=0,"×","√")),""))</f>
        <v/>
      </c>
      <c r="AZ39" s="34" t="str">
        <f ca="1">IF($A39="","",IF(IF(AZ$2&lt;=$A$1,1,0),IF(AZ$4="休","",IF(COUNTIF(DATA!BA:BA,$A:$A)=0,"×","√")),""))</f>
        <v/>
      </c>
      <c r="BA39" s="34" t="str">
        <f ca="1">IF($A39="","",IF(IF(BA$2&lt;=$A$1,1,0),IF(BA$4="休","",IF(COUNTIF(DATA!BB:BB,$A:$A)=0,"×","√")),""))</f>
        <v/>
      </c>
      <c r="BB39" s="34" t="str">
        <f ca="1">IF($A39="","",IF(IF(BB$2&lt;=$A$1,1,0),IF(BB$4="休","",IF(COUNTIF(DATA!BC:BC,$A:$A)=0,"×","√")),""))</f>
        <v/>
      </c>
      <c r="BC39" s="34" t="str">
        <f ca="1">IF($A39="","",IF(IF(BC$2&lt;=$A$1,1,0),IF(BC$4="休","",IF(COUNTIF(DATA!BD:BD,$A:$A)=0,"×","√")),""))</f>
        <v/>
      </c>
      <c r="BD39" s="34" t="str">
        <f ca="1">IF($A39="","",IF(IF(BD$2&lt;=$A$1,1,0),IF(BD$4="休","",IF(COUNTIF(DATA!BE:BE,$A:$A)=0,"×","√")),""))</f>
        <v/>
      </c>
      <c r="BE39" s="34" t="str">
        <f ca="1">IF($A39="","",IF(IF(BE$2&lt;=$A$1,1,0),IF(BE$4="休","",IF(COUNTIF(DATA!BF:BF,$A:$A)=0,"×","√")),""))</f>
        <v/>
      </c>
      <c r="BF39" s="34" t="str">
        <f ca="1">IF($A39="","",IF(IF(BF$2&lt;=$A$1,1,0),IF(BF$4="休","",IF(COUNTIF(DATA!BG:BG,$A:$A)=0,"×","√")),""))</f>
        <v/>
      </c>
      <c r="BG39" s="34" t="str">
        <f ca="1">IF($A39="","",IF(IF(BG$2&lt;=$A$1,1,0),IF(BG$4="休","",IF(COUNTIF(DATA!BH:BH,$A:$A)=0,"×","√")),""))</f>
        <v/>
      </c>
      <c r="BH39" s="34" t="str">
        <f ca="1">IF($A39="","",IF(IF(BH$2&lt;=$A$1,1,0),IF(BH$4="休","",IF(COUNTIF(DATA!BI:BI,$A:$A)=0,"×","√")),""))</f>
        <v/>
      </c>
      <c r="BI39" s="34" t="str">
        <f ca="1">IF($A39="","",IF(IF(BI$2&lt;=$A$1,1,0),IF(BI$4="休","",IF(COUNTIF(DATA!BJ:BJ,$A:$A)=0,"×","√")),""))</f>
        <v/>
      </c>
      <c r="BJ39" s="34" t="str">
        <f ca="1">IF($A39="","",IF(IF(BJ$2&lt;=$A$1,1,0),IF(BJ$4="休","",IF(COUNTIF(DATA!BK:BK,$A:$A)=0,"×","√")),""))</f>
        <v/>
      </c>
      <c r="BK39" s="34" t="str">
        <f ca="1">IF($A39="","",IF(IF(BK$2&lt;=$A$1,1,0),IF(BK$4="休","",IF(COUNTIF(DATA!BL:BL,$A:$A)=0,"×","√")),""))</f>
        <v/>
      </c>
      <c r="BL39" s="34" t="str">
        <f ca="1">IF($A39="","",IF(IF(BL$2&lt;=$A$1,1,0),IF(BL$4="休","",IF(COUNTIF(DATA!BM:BM,$A:$A)=0,"×","√")),""))</f>
        <v/>
      </c>
      <c r="BM39" s="34" t="str">
        <f ca="1">IF($A39="","",IF(IF(BM$2&lt;=$A$1,1,0),IF(BM$4="休","",IF(COUNTIF(DATA!BN:BN,$A:$A)=0,"×","√")),""))</f>
        <v/>
      </c>
      <c r="BN39" s="34" t="str">
        <f ca="1">IF($A39="","",IF(IF(BN$2&lt;=$A$1,1,0),IF(BN$4="休","",IF(COUNTIF(DATA!BO:BO,$A:$A)=0,"×","√")),""))</f>
        <v/>
      </c>
      <c r="BO39" s="34" t="str">
        <f ca="1">IF($A39="","",IF(IF(BO$2&lt;=$A$1,1,0),IF(BO$4="休","",IF(COUNTIF(DATA!BP:BP,$A:$A)=0,"×","√")),""))</f>
        <v/>
      </c>
      <c r="BP39" s="34" t="str">
        <f ca="1">IF($A39="","",IF(IF(BP$2&lt;=$A$1,1,0),IF(BP$4="休","",IF(COUNTIF(DATA!BQ:BQ,$A:$A)=0,"×","√")),""))</f>
        <v/>
      </c>
      <c r="BQ39" s="34" t="str">
        <f ca="1">IF($A39="","",IF(IF(BQ$2&lt;=$A$1,1,0),IF(BQ$4="休","",IF(COUNTIF(DATA!BR:BR,$A:$A)=0,"×","√")),""))</f>
        <v/>
      </c>
      <c r="BR39" s="34" t="str">
        <f ca="1">IF($A39="","",IF(IF(BR$2&lt;=$A$1,1,0),IF(BR$4="休","",IF(COUNTIF(DATA!BS:BS,$A:$A)=0,"×","√")),""))</f>
        <v/>
      </c>
      <c r="BS39" s="34" t="str">
        <f ca="1">IF($A39="","",IF(IF(BS$2&lt;=$A$1,1,0),IF(BS$4="休","",IF(COUNTIF(DATA!BT:BT,$A:$A)=0,"×","√")),""))</f>
        <v/>
      </c>
      <c r="BT39" s="34" t="str">
        <f ca="1">IF($A39="","",IF(IF(BT$2&lt;=$A$1,1,0),IF(BT$4="休","",IF(COUNTIF(DATA!BU:BU,$A:$A)=0,"×","√")),""))</f>
        <v/>
      </c>
      <c r="BU39" s="34" t="str">
        <f ca="1">IF($A39="","",IF(IF(BU$2&lt;=$A$1,1,0),IF(BU$4="休","",IF(COUNTIF(DATA!BV:BV,$A:$A)=0,"×","√")),""))</f>
        <v/>
      </c>
      <c r="BV39" s="34" t="str">
        <f ca="1">IF($A39="","",IF(IF(BV$2&lt;=$A$1,1,0),IF(BV$4="休","",IF(COUNTIF(DATA!BW:BW,$A:$A)=0,"×","√")),""))</f>
        <v/>
      </c>
      <c r="BW39" s="34" t="str">
        <f ca="1">IF($A39="","",IF(IF(BW$2&lt;=$A$1,1,0),IF(BW$4="休","",IF(COUNTIF(DATA!BX:BX,$A:$A)=0,"×","√")),""))</f>
        <v/>
      </c>
      <c r="BX39" s="34" t="str">
        <f ca="1">IF($A39="","",IF(IF(BX$2&lt;=$A$1,1,0),IF(BX$4="休","",IF(COUNTIF(DATA!BY:BY,$A:$A)=0,"×","√")),""))</f>
        <v/>
      </c>
      <c r="BY39" s="34" t="str">
        <f ca="1">IF($A39="","",IF(IF(BY$2&lt;=$A$1,1,0),IF(BY$4="休","",IF(COUNTIF(DATA!BZ:BZ,$A:$A)=0,"×","√")),""))</f>
        <v/>
      </c>
      <c r="BZ39" s="34" t="str">
        <f ca="1">IF($A39="","",IF(IF(BZ$2&lt;=$A$1,1,0),IF(BZ$4="休","",IF(COUNTIF(DATA!CA:CA,$A:$A)=0,"×","√")),""))</f>
        <v/>
      </c>
      <c r="CA39" s="34" t="str">
        <f ca="1">IF($A39="","",IF(IF(CA$2&lt;=$A$1,1,0),IF(CA$4="休","",IF(COUNTIF(DATA!CB:CB,$A:$A)=0,"×","√")),""))</f>
        <v/>
      </c>
      <c r="CB39" s="34" t="str">
        <f ca="1">IF($A39="","",IF(IF(CB$2&lt;=$A$1,1,0),IF(CB$4="休","",IF(COUNTIF(DATA!CC:CC,$A:$A)=0,"×","√")),""))</f>
        <v/>
      </c>
      <c r="CC39" s="34" t="str">
        <f ca="1">IF($A39="","",IF(IF(CC$2&lt;=$A$1,1,0),IF(CC$4="休","",IF(COUNTIF(DATA!CD:CD,$A:$A)=0,"×","√")),""))</f>
        <v/>
      </c>
      <c r="CD39" s="34" t="str">
        <f ca="1">IF($A39="","",IF(IF(CD$2&lt;=$A$1,1,0),IF(CD$4="休","",IF(COUNTIF(DATA!CE:CE,$A:$A)=0,"×","√")),""))</f>
        <v/>
      </c>
      <c r="CE39" s="34" t="str">
        <f ca="1">IF($A39="","",IF(IF(CE$2&lt;=$A$1,1,0),IF(CE$4="休","",IF(COUNTIF(DATA!CF:CF,$A:$A)=0,"×","√")),""))</f>
        <v/>
      </c>
      <c r="CF39" s="34" t="str">
        <f ca="1">IF($A39="","",IF(IF(CF$2&lt;=$A$1,1,0),IF(CF$4="休","",IF(COUNTIF(DATA!CG:CG,$A:$A)=0,"×","√")),""))</f>
        <v/>
      </c>
      <c r="CG39" s="34" t="str">
        <f ca="1">IF($A39="","",IF(IF(CG$2&lt;=$A$1,1,0),IF(CG$4="休","",IF(COUNTIF(DATA!CH:CH,$A:$A)=0,"×","√")),""))</f>
        <v/>
      </c>
      <c r="CH39" s="34" t="str">
        <f ca="1">IF($A39="","",IF(IF(CH$2&lt;=$A$1,1,0),IF(CH$4="休","",IF(COUNTIF(DATA!CI:CI,$A:$A)=0,"×","√")),""))</f>
        <v/>
      </c>
      <c r="CI39" s="34" t="str">
        <f ca="1">IF($A39="","",IF(IF(CI$2&lt;=$A$1,1,0),IF(CI$4="休","",IF(COUNTIF(DATA!CJ:CJ,$A:$A)=0,"×","√")),""))</f>
        <v/>
      </c>
      <c r="CJ39" s="34" t="str">
        <f ca="1">IF($A39="","",IF(IF(CJ$2&lt;=$A$1,1,0),IF(CJ$4="休","",IF(COUNTIF(DATA!CK:CK,$A:$A)=0,"×","√")),""))</f>
        <v/>
      </c>
      <c r="CK39" s="34" t="str">
        <f ca="1">IF($A39="","",IF(IF(CK$2&lt;=$A$1,1,0),IF(CK$4="休","",IF(COUNTIF(DATA!CL:CL,$A:$A)=0,"×","√")),""))</f>
        <v/>
      </c>
      <c r="CL39" s="34" t="str">
        <f ca="1">IF($A39="","",IF(IF(CL$2&lt;=$A$1,1,0),IF(CL$4="休","",IF(COUNTIF(DATA!CM:CM,$A:$A)=0,"×","√")),""))</f>
        <v/>
      </c>
      <c r="CM39" s="34" t="str">
        <f ca="1">IF($A39="","",IF(IF(CM$2&lt;=$A$1,1,0),IF(CM$4="休","",IF(COUNTIF(DATA!CN:CN,$A:$A)=0,"×","√")),""))</f>
        <v/>
      </c>
      <c r="CN39" s="34" t="str">
        <f ca="1">IF($A39="","",IF(IF(CN$2&lt;=$A$1,1,0),IF(CN$4="休","",IF(COUNTIF(DATA!CO:CO,$A:$A)=0,"×","√")),""))</f>
        <v/>
      </c>
      <c r="CO39" s="34" t="str">
        <f ca="1">IF($A39="","",IF(IF(CO$2&lt;=$A$1,1,0),IF(CO$4="休","",IF(COUNTIF(DATA!CP:CP,$A:$A)=0,"×","√")),""))</f>
        <v/>
      </c>
      <c r="CP39" s="34" t="str">
        <f ca="1">IF($A39="","",IF(IF(CP$2&lt;=$A$1,1,0),IF(CP$4="休","",IF(COUNTIF(DATA!CQ:CQ,$A:$A)=0,"×","√")),""))</f>
        <v/>
      </c>
      <c r="CQ39" s="34" t="str">
        <f ca="1">IF($A39="","",IF(IF(CQ$2&lt;=$A$1,1,0),IF(CQ$4="休","",IF(COUNTIF(DATA!CR:CR,$A:$A)=0,"×","√")),""))</f>
        <v/>
      </c>
      <c r="CR39" s="34" t="str">
        <f ca="1">IF($A39="","",IF(IF(CR$2&lt;=$A$1,1,0),IF(CR$4="休","",IF(COUNTIF(DATA!CS:CS,$A:$A)=0,"×","√")),""))</f>
        <v/>
      </c>
    </row>
    <row r="40" s="28" customFormat="1" ht="18.75" spans="1:96">
      <c r="A40" s="34" t="str">
        <f>DATA!$A39&amp;""</f>
        <v>陈相</v>
      </c>
      <c r="B40" s="34" t="str">
        <f ca="1">IF($A40="","",IF(IF(B$2&lt;=$A$1,1,0),IF(B$4="休","",IF(COUNTIF(DATA!C:C,$A:$A)=0,"×","√")),""))</f>
        <v>√</v>
      </c>
      <c r="C40" s="34" t="str">
        <f ca="1">IF($A40="","",IF(IF(C$2&lt;=$A$1,1,0),IF(C$4="休","",IF(COUNTIF(DATA!D:D,$A:$A)=0,"×","√")),""))</f>
        <v>√</v>
      </c>
      <c r="D40" s="34" t="str">
        <f ca="1">IF($A40="","",IF(IF(D$2&lt;=$A$1,1,0),IF(D$4="休","",IF(COUNTIF(DATA!E:E,$A:$A)=0,"×","√")),""))</f>
        <v>√</v>
      </c>
      <c r="E40" s="34" t="str">
        <f ca="1">IF($A40="","",IF(IF(E$2&lt;=$A$1,1,0),IF(E$4="休","",IF(COUNTIF(DATA!F:F,$A:$A)=0,"×","√")),""))</f>
        <v>√</v>
      </c>
      <c r="F40" s="34" t="str">
        <f ca="1">IF($A40="","",IF(IF(F$2&lt;=$A$1,1,0),IF(F$4="休","",IF(COUNTIF(DATA!G:G,$A:$A)=0,"×","√")),""))</f>
        <v>√</v>
      </c>
      <c r="G40" s="34" t="str">
        <f ca="1">IF($A40="","",IF(IF(G$2&lt;=$A$1,1,0),IF(G$4="休","",IF(COUNTIF(DATA!H:H,$A:$A)=0,"×","√")),""))</f>
        <v>√</v>
      </c>
      <c r="H40" s="34" t="str">
        <f ca="1">IF($A40="","",IF(IF(H$2&lt;=$A$1,1,0),IF(H$4="休","",IF(COUNTIF(DATA!I:I,$A:$A)=0,"×","√")),""))</f>
        <v>√</v>
      </c>
      <c r="I40" s="34" t="str">
        <f ca="1">IF($A40="","",IF(IF(I$2&lt;=$A$1,1,0),IF(I$4="休","",IF(COUNTIF(DATA!J:J,$A:$A)=0,"×","√")),""))</f>
        <v>√</v>
      </c>
      <c r="J40" s="34" t="str">
        <f ca="1">IF($A40="","",IF(IF(J$2&lt;=$A$1,1,0),IF(J$4="休","",IF(COUNTIF(DATA!K:K,$A:$A)=0,"×","√")),""))</f>
        <v>√</v>
      </c>
      <c r="K40" s="34" t="str">
        <f ca="1">IF($A40="","",IF(IF(K$2&lt;=$A$1,1,0),IF(K$4="休","",IF(COUNTIF(DATA!L:L,$A:$A)=0,"×","√")),""))</f>
        <v>√</v>
      </c>
      <c r="L40" s="34" t="str">
        <f ca="1">IF($A40="","",IF(IF(L$2&lt;=$A$1,1,0),IF(L$4="休","",IF(COUNTIF(DATA!M:M,$A:$A)=0,"×","√")),""))</f>
        <v>√</v>
      </c>
      <c r="M40" s="34" t="str">
        <f ca="1">IF($A40="","",IF(IF(M$2&lt;=$A$1,1,0),IF(M$4="休","",IF(COUNTIF(DATA!N:N,$A:$A)=0,"×","√")),""))</f>
        <v>√</v>
      </c>
      <c r="N40" s="34" t="str">
        <f ca="1">IF($A40="","",IF(IF(N$2&lt;=$A$1,1,0),IF(N$4="休","",IF(COUNTIF(DATA!O:O,$A:$A)=0,"×","√")),""))</f>
        <v>√</v>
      </c>
      <c r="O40" s="34" t="str">
        <f ca="1">IF($A40="","",IF(IF(O$2&lt;=$A$1,1,0),IF(O$4="休","",IF(COUNTIF(DATA!P:P,$A:$A)=0,"×","√")),""))</f>
        <v>×</v>
      </c>
      <c r="P40" s="34" t="str">
        <f ca="1">IF($A40="","",IF(IF(P$2&lt;=$A$1,1,0),IF(P$4="休","",IF(COUNTIF(DATA!Q:Q,$A:$A)=0,"×","√")),""))</f>
        <v/>
      </c>
      <c r="Q40" s="34" t="str">
        <f ca="1">IF($A40="","",IF(IF(Q$2&lt;=$A$1,1,0),IF(Q$4="休","",IF(COUNTIF(DATA!R:R,$A:$A)=0,"×","√")),""))</f>
        <v/>
      </c>
      <c r="R40" s="34" t="str">
        <f ca="1">IF($A40="","",IF(IF(R$2&lt;=$A$1,1,0),IF(R$4="休","",IF(COUNTIF(DATA!S:S,$A:$A)=0,"×","√")),""))</f>
        <v/>
      </c>
      <c r="S40" s="34" t="str">
        <f ca="1">IF($A40="","",IF(IF(S$2&lt;=$A$1,1,0),IF(S$4="休","",IF(COUNTIF(DATA!T:T,$A:$A)=0,"×","√")),""))</f>
        <v/>
      </c>
      <c r="T40" s="34" t="str">
        <f ca="1">IF($A40="","",IF(IF(T$2&lt;=$A$1,1,0),IF(T$4="休","",IF(COUNTIF(DATA!U:U,$A:$A)=0,"×","√")),""))</f>
        <v/>
      </c>
      <c r="U40" s="34" t="str">
        <f ca="1">IF($A40="","",IF(IF(U$2&lt;=$A$1,1,0),IF(U$4="休","",IF(COUNTIF(DATA!V:V,$A:$A)=0,"×","√")),""))</f>
        <v/>
      </c>
      <c r="V40" s="34" t="str">
        <f ca="1">IF($A40="","",IF(IF(V$2&lt;=$A$1,1,0),IF(V$4="休","",IF(COUNTIF(DATA!W:W,$A:$A)=0,"×","√")),""))</f>
        <v/>
      </c>
      <c r="W40" s="34" t="str">
        <f ca="1">IF($A40="","",IF(IF(W$2&lt;=$A$1,1,0),IF(W$4="休","",IF(COUNTIF(DATA!X:X,$A:$A)=0,"×","√")),""))</f>
        <v/>
      </c>
      <c r="X40" s="34" t="str">
        <f ca="1">IF($A40="","",IF(IF(X$2&lt;=$A$1,1,0),IF(X$4="休","",IF(COUNTIF(DATA!Y:Y,$A:$A)=0,"×","√")),""))</f>
        <v/>
      </c>
      <c r="Y40" s="34" t="str">
        <f ca="1">IF($A40="","",IF(IF(Y$2&lt;=$A$1,1,0),IF(Y$4="休","",IF(COUNTIF(DATA!Z:Z,$A:$A)=0,"×","√")),""))</f>
        <v/>
      </c>
      <c r="Z40" s="34" t="str">
        <f ca="1">IF($A40="","",IF(IF(Z$2&lt;=$A$1,1,0),IF(Z$4="休","",IF(COUNTIF(DATA!AA:AA,$A:$A)=0,"×","√")),""))</f>
        <v/>
      </c>
      <c r="AA40" s="34" t="str">
        <f ca="1">IF($A40="","",IF(IF(AA$2&lt;=$A$1,1,0),IF(AA$4="休","",IF(COUNTIF(DATA!AB:AB,$A:$A)=0,"×","√")),""))</f>
        <v/>
      </c>
      <c r="AB40" s="34" t="str">
        <f ca="1">IF($A40="","",IF(IF(AB$2&lt;=$A$1,1,0),IF(AB$4="休","",IF(COUNTIF(DATA!AC:AC,$A:$A)=0,"×","√")),""))</f>
        <v/>
      </c>
      <c r="AC40" s="34" t="str">
        <f ca="1">IF($A40="","",IF(IF(AC$2&lt;=$A$1,1,0),IF(AC$4="休","",IF(COUNTIF(DATA!AD:AD,$A:$A)=0,"×","√")),""))</f>
        <v/>
      </c>
      <c r="AD40" s="34" t="str">
        <f ca="1">IF($A40="","",IF(IF(AD$2&lt;=$A$1,1,0),IF(AD$4="休","",IF(COUNTIF(DATA!AE:AE,$A:$A)=0,"×","√")),""))</f>
        <v/>
      </c>
      <c r="AE40" s="34" t="str">
        <f ca="1">IF($A40="","",IF(IF(AE$2&lt;=$A$1,1,0),IF(AE$4="休","",IF(COUNTIF(DATA!AF:AF,$A:$A)=0,"×","√")),""))</f>
        <v/>
      </c>
      <c r="AF40" s="34" t="str">
        <f ca="1">IF($A40="","",IF(IF(AF$2&lt;=$A$1,1,0),IF(AF$4="休","",IF(COUNTIF(DATA!AG:AG,$A:$A)=0,"×","√")),""))</f>
        <v/>
      </c>
      <c r="AG40" s="34" t="str">
        <f ca="1">IF($A40="","",IF(IF(AG$2&lt;=$A$1,1,0),IF(AG$4="休","",IF(COUNTIF(DATA!AH:AH,$A:$A)=0,"×","√")),""))</f>
        <v/>
      </c>
      <c r="AH40" s="34" t="str">
        <f ca="1">IF($A40="","",IF(IF(AH$2&lt;=$A$1,1,0),IF(AH$4="休","",IF(COUNTIF(DATA!AI:AI,$A:$A)=0,"×","√")),""))</f>
        <v/>
      </c>
      <c r="AI40" s="34" t="str">
        <f ca="1">IF($A40="","",IF(IF(AI$2&lt;=$A$1,1,0),IF(AI$4="休","",IF(COUNTIF(DATA!AJ:AJ,$A:$A)=0,"×","√")),""))</f>
        <v/>
      </c>
      <c r="AJ40" s="34" t="str">
        <f ca="1">IF($A40="","",IF(IF(AJ$2&lt;=$A$1,1,0),IF(AJ$4="休","",IF(COUNTIF(DATA!AK:AK,$A:$A)=0,"×","√")),""))</f>
        <v/>
      </c>
      <c r="AK40" s="34" t="str">
        <f ca="1">IF($A40="","",IF(IF(AK$2&lt;=$A$1,1,0),IF(AK$4="休","",IF(COUNTIF(DATA!AL:AL,$A:$A)=0,"×","√")),""))</f>
        <v/>
      </c>
      <c r="AL40" s="34" t="str">
        <f ca="1">IF($A40="","",IF(IF(AL$2&lt;=$A$1,1,0),IF(AL$4="休","",IF(COUNTIF(DATA!AM:AM,$A:$A)=0,"×","√")),""))</f>
        <v/>
      </c>
      <c r="AM40" s="34" t="str">
        <f ca="1">IF($A40="","",IF(IF(AM$2&lt;=$A$1,1,0),IF(AM$4="休","",IF(COUNTIF(DATA!AN:AN,$A:$A)=0,"×","√")),""))</f>
        <v/>
      </c>
      <c r="AN40" s="34" t="str">
        <f ca="1">IF($A40="","",IF(IF(AN$2&lt;=$A$1,1,0),IF(AN$4="休","",IF(COUNTIF(DATA!AO:AO,$A:$A)=0,"×","√")),""))</f>
        <v/>
      </c>
      <c r="AO40" s="34" t="str">
        <f ca="1">IF($A40="","",IF(IF(AO$2&lt;=$A$1,1,0),IF(AO$4="休","",IF(COUNTIF(DATA!AP:AP,$A:$A)=0,"×","√")),""))</f>
        <v/>
      </c>
      <c r="AP40" s="34" t="str">
        <f ca="1">IF($A40="","",IF(IF(AP$2&lt;=$A$1,1,0),IF(AP$4="休","",IF(COUNTIF(DATA!AQ:AQ,$A:$A)=0,"×","√")),""))</f>
        <v/>
      </c>
      <c r="AQ40" s="34" t="str">
        <f ca="1">IF($A40="","",IF(IF(AQ$2&lt;=$A$1,1,0),IF(AQ$4="休","",IF(COUNTIF(DATA!AR:AR,$A:$A)=0,"×","√")),""))</f>
        <v/>
      </c>
      <c r="AR40" s="34" t="str">
        <f ca="1">IF($A40="","",IF(IF(AR$2&lt;=$A$1,1,0),IF(AR$4="休","",IF(COUNTIF(DATA!AS:AS,$A:$A)=0,"×","√")),""))</f>
        <v/>
      </c>
      <c r="AS40" s="34" t="str">
        <f ca="1">IF($A40="","",IF(IF(AS$2&lt;=$A$1,1,0),IF(AS$4="休","",IF(COUNTIF(DATA!AT:AT,$A:$A)=0,"×","√")),""))</f>
        <v/>
      </c>
      <c r="AT40" s="34" t="str">
        <f ca="1">IF($A40="","",IF(IF(AT$2&lt;=$A$1,1,0),IF(AT$4="休","",IF(COUNTIF(DATA!AU:AU,$A:$A)=0,"×","√")),""))</f>
        <v/>
      </c>
      <c r="AU40" s="34" t="str">
        <f ca="1">IF($A40="","",IF(IF(AU$2&lt;=$A$1,1,0),IF(AU$4="休","",IF(COUNTIF(DATA!AV:AV,$A:$A)=0,"×","√")),""))</f>
        <v/>
      </c>
      <c r="AV40" s="34" t="str">
        <f ca="1">IF($A40="","",IF(IF(AV$2&lt;=$A$1,1,0),IF(AV$4="休","",IF(COUNTIF(DATA!AW:AW,$A:$A)=0,"×","√")),""))</f>
        <v/>
      </c>
      <c r="AW40" s="34" t="str">
        <f ca="1">IF($A40="","",IF(IF(AW$2&lt;=$A$1,1,0),IF(AW$4="休","",IF(COUNTIF(DATA!AX:AX,$A:$A)=0,"×","√")),""))</f>
        <v/>
      </c>
      <c r="AX40" s="34" t="str">
        <f ca="1">IF($A40="","",IF(IF(AX$2&lt;=$A$1,1,0),IF(AX$4="休","",IF(COUNTIF(DATA!AY:AY,$A:$A)=0,"×","√")),""))</f>
        <v/>
      </c>
      <c r="AY40" s="34" t="str">
        <f ca="1">IF($A40="","",IF(IF(AY$2&lt;=$A$1,1,0),IF(AY$4="休","",IF(COUNTIF(DATA!AZ:AZ,$A:$A)=0,"×","√")),""))</f>
        <v/>
      </c>
      <c r="AZ40" s="34" t="str">
        <f ca="1">IF($A40="","",IF(IF(AZ$2&lt;=$A$1,1,0),IF(AZ$4="休","",IF(COUNTIF(DATA!BA:BA,$A:$A)=0,"×","√")),""))</f>
        <v/>
      </c>
      <c r="BA40" s="34" t="str">
        <f ca="1">IF($A40="","",IF(IF(BA$2&lt;=$A$1,1,0),IF(BA$4="休","",IF(COUNTIF(DATA!BB:BB,$A:$A)=0,"×","√")),""))</f>
        <v/>
      </c>
      <c r="BB40" s="34" t="str">
        <f ca="1">IF($A40="","",IF(IF(BB$2&lt;=$A$1,1,0),IF(BB$4="休","",IF(COUNTIF(DATA!BC:BC,$A:$A)=0,"×","√")),""))</f>
        <v/>
      </c>
      <c r="BC40" s="34" t="str">
        <f ca="1">IF($A40="","",IF(IF(BC$2&lt;=$A$1,1,0),IF(BC$4="休","",IF(COUNTIF(DATA!BD:BD,$A:$A)=0,"×","√")),""))</f>
        <v/>
      </c>
      <c r="BD40" s="34" t="str">
        <f ca="1">IF($A40="","",IF(IF(BD$2&lt;=$A$1,1,0),IF(BD$4="休","",IF(COUNTIF(DATA!BE:BE,$A:$A)=0,"×","√")),""))</f>
        <v/>
      </c>
      <c r="BE40" s="34" t="str">
        <f ca="1">IF($A40="","",IF(IF(BE$2&lt;=$A$1,1,0),IF(BE$4="休","",IF(COUNTIF(DATA!BF:BF,$A:$A)=0,"×","√")),""))</f>
        <v/>
      </c>
      <c r="BF40" s="34" t="str">
        <f ca="1">IF($A40="","",IF(IF(BF$2&lt;=$A$1,1,0),IF(BF$4="休","",IF(COUNTIF(DATA!BG:BG,$A:$A)=0,"×","√")),""))</f>
        <v/>
      </c>
      <c r="BG40" s="34" t="str">
        <f ca="1">IF($A40="","",IF(IF(BG$2&lt;=$A$1,1,0),IF(BG$4="休","",IF(COUNTIF(DATA!BH:BH,$A:$A)=0,"×","√")),""))</f>
        <v/>
      </c>
      <c r="BH40" s="34" t="str">
        <f ca="1">IF($A40="","",IF(IF(BH$2&lt;=$A$1,1,0),IF(BH$4="休","",IF(COUNTIF(DATA!BI:BI,$A:$A)=0,"×","√")),""))</f>
        <v/>
      </c>
      <c r="BI40" s="34" t="str">
        <f ca="1">IF($A40="","",IF(IF(BI$2&lt;=$A$1,1,0),IF(BI$4="休","",IF(COUNTIF(DATA!BJ:BJ,$A:$A)=0,"×","√")),""))</f>
        <v/>
      </c>
      <c r="BJ40" s="34" t="str">
        <f ca="1">IF($A40="","",IF(IF(BJ$2&lt;=$A$1,1,0),IF(BJ$4="休","",IF(COUNTIF(DATA!BK:BK,$A:$A)=0,"×","√")),""))</f>
        <v/>
      </c>
      <c r="BK40" s="34" t="str">
        <f ca="1">IF($A40="","",IF(IF(BK$2&lt;=$A$1,1,0),IF(BK$4="休","",IF(COUNTIF(DATA!BL:BL,$A:$A)=0,"×","√")),""))</f>
        <v/>
      </c>
      <c r="BL40" s="34" t="str">
        <f ca="1">IF($A40="","",IF(IF(BL$2&lt;=$A$1,1,0),IF(BL$4="休","",IF(COUNTIF(DATA!BM:BM,$A:$A)=0,"×","√")),""))</f>
        <v/>
      </c>
      <c r="BM40" s="34" t="str">
        <f ca="1">IF($A40="","",IF(IF(BM$2&lt;=$A$1,1,0),IF(BM$4="休","",IF(COUNTIF(DATA!BN:BN,$A:$A)=0,"×","√")),""))</f>
        <v/>
      </c>
      <c r="BN40" s="34" t="str">
        <f ca="1">IF($A40="","",IF(IF(BN$2&lt;=$A$1,1,0),IF(BN$4="休","",IF(COUNTIF(DATA!BO:BO,$A:$A)=0,"×","√")),""))</f>
        <v/>
      </c>
      <c r="BO40" s="34" t="str">
        <f ca="1">IF($A40="","",IF(IF(BO$2&lt;=$A$1,1,0),IF(BO$4="休","",IF(COUNTIF(DATA!BP:BP,$A:$A)=0,"×","√")),""))</f>
        <v/>
      </c>
      <c r="BP40" s="34" t="str">
        <f ca="1">IF($A40="","",IF(IF(BP$2&lt;=$A$1,1,0),IF(BP$4="休","",IF(COUNTIF(DATA!BQ:BQ,$A:$A)=0,"×","√")),""))</f>
        <v/>
      </c>
      <c r="BQ40" s="34" t="str">
        <f ca="1">IF($A40="","",IF(IF(BQ$2&lt;=$A$1,1,0),IF(BQ$4="休","",IF(COUNTIF(DATA!BR:BR,$A:$A)=0,"×","√")),""))</f>
        <v/>
      </c>
      <c r="BR40" s="34" t="str">
        <f ca="1">IF($A40="","",IF(IF(BR$2&lt;=$A$1,1,0),IF(BR$4="休","",IF(COUNTIF(DATA!BS:BS,$A:$A)=0,"×","√")),""))</f>
        <v/>
      </c>
      <c r="BS40" s="34" t="str">
        <f ca="1">IF($A40="","",IF(IF(BS$2&lt;=$A$1,1,0),IF(BS$4="休","",IF(COUNTIF(DATA!BT:BT,$A:$A)=0,"×","√")),""))</f>
        <v/>
      </c>
      <c r="BT40" s="34" t="str">
        <f ca="1">IF($A40="","",IF(IF(BT$2&lt;=$A$1,1,0),IF(BT$4="休","",IF(COUNTIF(DATA!BU:BU,$A:$A)=0,"×","√")),""))</f>
        <v/>
      </c>
      <c r="BU40" s="34" t="str">
        <f ca="1">IF($A40="","",IF(IF(BU$2&lt;=$A$1,1,0),IF(BU$4="休","",IF(COUNTIF(DATA!BV:BV,$A:$A)=0,"×","√")),""))</f>
        <v/>
      </c>
      <c r="BV40" s="34" t="str">
        <f ca="1">IF($A40="","",IF(IF(BV$2&lt;=$A$1,1,0),IF(BV$4="休","",IF(COUNTIF(DATA!BW:BW,$A:$A)=0,"×","√")),""))</f>
        <v/>
      </c>
      <c r="BW40" s="34" t="str">
        <f ca="1">IF($A40="","",IF(IF(BW$2&lt;=$A$1,1,0),IF(BW$4="休","",IF(COUNTIF(DATA!BX:BX,$A:$A)=0,"×","√")),""))</f>
        <v/>
      </c>
      <c r="BX40" s="34" t="str">
        <f ca="1">IF($A40="","",IF(IF(BX$2&lt;=$A$1,1,0),IF(BX$4="休","",IF(COUNTIF(DATA!BY:BY,$A:$A)=0,"×","√")),""))</f>
        <v/>
      </c>
      <c r="BY40" s="34" t="str">
        <f ca="1">IF($A40="","",IF(IF(BY$2&lt;=$A$1,1,0),IF(BY$4="休","",IF(COUNTIF(DATA!BZ:BZ,$A:$A)=0,"×","√")),""))</f>
        <v/>
      </c>
      <c r="BZ40" s="34" t="str">
        <f ca="1">IF($A40="","",IF(IF(BZ$2&lt;=$A$1,1,0),IF(BZ$4="休","",IF(COUNTIF(DATA!CA:CA,$A:$A)=0,"×","√")),""))</f>
        <v/>
      </c>
      <c r="CA40" s="34" t="str">
        <f ca="1">IF($A40="","",IF(IF(CA$2&lt;=$A$1,1,0),IF(CA$4="休","",IF(COUNTIF(DATA!CB:CB,$A:$A)=0,"×","√")),""))</f>
        <v/>
      </c>
      <c r="CB40" s="34" t="str">
        <f ca="1">IF($A40="","",IF(IF(CB$2&lt;=$A$1,1,0),IF(CB$4="休","",IF(COUNTIF(DATA!CC:CC,$A:$A)=0,"×","√")),""))</f>
        <v/>
      </c>
      <c r="CC40" s="34" t="str">
        <f ca="1">IF($A40="","",IF(IF(CC$2&lt;=$A$1,1,0),IF(CC$4="休","",IF(COUNTIF(DATA!CD:CD,$A:$A)=0,"×","√")),""))</f>
        <v/>
      </c>
      <c r="CD40" s="34" t="str">
        <f ca="1">IF($A40="","",IF(IF(CD$2&lt;=$A$1,1,0),IF(CD$4="休","",IF(COUNTIF(DATA!CE:CE,$A:$A)=0,"×","√")),""))</f>
        <v/>
      </c>
      <c r="CE40" s="34" t="str">
        <f ca="1">IF($A40="","",IF(IF(CE$2&lt;=$A$1,1,0),IF(CE$4="休","",IF(COUNTIF(DATA!CF:CF,$A:$A)=0,"×","√")),""))</f>
        <v/>
      </c>
      <c r="CF40" s="34" t="str">
        <f ca="1">IF($A40="","",IF(IF(CF$2&lt;=$A$1,1,0),IF(CF$4="休","",IF(COUNTIF(DATA!CG:CG,$A:$A)=0,"×","√")),""))</f>
        <v/>
      </c>
      <c r="CG40" s="34" t="str">
        <f ca="1">IF($A40="","",IF(IF(CG$2&lt;=$A$1,1,0),IF(CG$4="休","",IF(COUNTIF(DATA!CH:CH,$A:$A)=0,"×","√")),""))</f>
        <v/>
      </c>
      <c r="CH40" s="34" t="str">
        <f ca="1">IF($A40="","",IF(IF(CH$2&lt;=$A$1,1,0),IF(CH$4="休","",IF(COUNTIF(DATA!CI:CI,$A:$A)=0,"×","√")),""))</f>
        <v/>
      </c>
      <c r="CI40" s="34" t="str">
        <f ca="1">IF($A40="","",IF(IF(CI$2&lt;=$A$1,1,0),IF(CI$4="休","",IF(COUNTIF(DATA!CJ:CJ,$A:$A)=0,"×","√")),""))</f>
        <v/>
      </c>
      <c r="CJ40" s="34" t="str">
        <f ca="1">IF($A40="","",IF(IF(CJ$2&lt;=$A$1,1,0),IF(CJ$4="休","",IF(COUNTIF(DATA!CK:CK,$A:$A)=0,"×","√")),""))</f>
        <v/>
      </c>
      <c r="CK40" s="34" t="str">
        <f ca="1">IF($A40="","",IF(IF(CK$2&lt;=$A$1,1,0),IF(CK$4="休","",IF(COUNTIF(DATA!CL:CL,$A:$A)=0,"×","√")),""))</f>
        <v/>
      </c>
      <c r="CL40" s="34" t="str">
        <f ca="1">IF($A40="","",IF(IF(CL$2&lt;=$A$1,1,0),IF(CL$4="休","",IF(COUNTIF(DATA!CM:CM,$A:$A)=0,"×","√")),""))</f>
        <v/>
      </c>
      <c r="CM40" s="34" t="str">
        <f ca="1">IF($A40="","",IF(IF(CM$2&lt;=$A$1,1,0),IF(CM$4="休","",IF(COUNTIF(DATA!CN:CN,$A:$A)=0,"×","√")),""))</f>
        <v/>
      </c>
      <c r="CN40" s="34" t="str">
        <f ca="1">IF($A40="","",IF(IF(CN$2&lt;=$A$1,1,0),IF(CN$4="休","",IF(COUNTIF(DATA!CO:CO,$A:$A)=0,"×","√")),""))</f>
        <v/>
      </c>
      <c r="CO40" s="34" t="str">
        <f ca="1">IF($A40="","",IF(IF(CO$2&lt;=$A$1,1,0),IF(CO$4="休","",IF(COUNTIF(DATA!CP:CP,$A:$A)=0,"×","√")),""))</f>
        <v/>
      </c>
      <c r="CP40" s="34" t="str">
        <f ca="1">IF($A40="","",IF(IF(CP$2&lt;=$A$1,1,0),IF(CP$4="休","",IF(COUNTIF(DATA!CQ:CQ,$A:$A)=0,"×","√")),""))</f>
        <v/>
      </c>
      <c r="CQ40" s="34" t="str">
        <f ca="1">IF($A40="","",IF(IF(CQ$2&lt;=$A$1,1,0),IF(CQ$4="休","",IF(COUNTIF(DATA!CR:CR,$A:$A)=0,"×","√")),""))</f>
        <v/>
      </c>
      <c r="CR40" s="34" t="str">
        <f ca="1">IF($A40="","",IF(IF(CR$2&lt;=$A$1,1,0),IF(CR$4="休","",IF(COUNTIF(DATA!CS:CS,$A:$A)=0,"×","√")),""))</f>
        <v/>
      </c>
    </row>
    <row r="41" s="28" customFormat="1" ht="18.75" spans="1:96">
      <c r="A41" s="34" t="str">
        <f>DATA!$A40&amp;""</f>
        <v>柯宇豪</v>
      </c>
      <c r="B41" s="34" t="str">
        <f ca="1">IF($A41="","",IF(IF(B$2&lt;=$A$1,1,0),IF(B$4="休","",IF(COUNTIF(DATA!C:C,$A:$A)=0,"×","√")),""))</f>
        <v>√</v>
      </c>
      <c r="C41" s="34" t="str">
        <f ca="1">IF($A41="","",IF(IF(C$2&lt;=$A$1,1,0),IF(C$4="休","",IF(COUNTIF(DATA!D:D,$A:$A)=0,"×","√")),""))</f>
        <v>√</v>
      </c>
      <c r="D41" s="34" t="str">
        <f ca="1">IF($A41="","",IF(IF(D$2&lt;=$A$1,1,0),IF(D$4="休","",IF(COUNTIF(DATA!E:E,$A:$A)=0,"×","√")),""))</f>
        <v>√</v>
      </c>
      <c r="E41" s="34" t="str">
        <f ca="1">IF($A41="","",IF(IF(E$2&lt;=$A$1,1,0),IF(E$4="休","",IF(COUNTIF(DATA!F:F,$A:$A)=0,"×","√")),""))</f>
        <v>√</v>
      </c>
      <c r="F41" s="34" t="str">
        <f ca="1">IF($A41="","",IF(IF(F$2&lt;=$A$1,1,0),IF(F$4="休","",IF(COUNTIF(DATA!G:G,$A:$A)=0,"×","√")),""))</f>
        <v>√</v>
      </c>
      <c r="G41" s="34" t="str">
        <f ca="1">IF($A41="","",IF(IF(G$2&lt;=$A$1,1,0),IF(G$4="休","",IF(COUNTIF(DATA!H:H,$A:$A)=0,"×","√")),""))</f>
        <v>√</v>
      </c>
      <c r="H41" s="34" t="str">
        <f ca="1">IF($A41="","",IF(IF(H$2&lt;=$A$1,1,0),IF(H$4="休","",IF(COUNTIF(DATA!I:I,$A:$A)=0,"×","√")),""))</f>
        <v>√</v>
      </c>
      <c r="I41" s="34" t="str">
        <f ca="1">IF($A41="","",IF(IF(I$2&lt;=$A$1,1,0),IF(I$4="休","",IF(COUNTIF(DATA!J:J,$A:$A)=0,"×","√")),""))</f>
        <v>√</v>
      </c>
      <c r="J41" s="34" t="str">
        <f ca="1">IF($A41="","",IF(IF(J$2&lt;=$A$1,1,0),IF(J$4="休","",IF(COUNTIF(DATA!K:K,$A:$A)=0,"×","√")),""))</f>
        <v>√</v>
      </c>
      <c r="K41" s="34" t="str">
        <f ca="1">IF($A41="","",IF(IF(K$2&lt;=$A$1,1,0),IF(K$4="休","",IF(COUNTIF(DATA!L:L,$A:$A)=0,"×","√")),""))</f>
        <v>√</v>
      </c>
      <c r="L41" s="34" t="str">
        <f ca="1">IF($A41="","",IF(IF(L$2&lt;=$A$1,1,0),IF(L$4="休","",IF(COUNTIF(DATA!M:M,$A:$A)=0,"×","√")),""))</f>
        <v>√</v>
      </c>
      <c r="M41" s="34" t="str">
        <f ca="1">IF($A41="","",IF(IF(M$2&lt;=$A$1,1,0),IF(M$4="休","",IF(COUNTIF(DATA!N:N,$A:$A)=0,"×","√")),""))</f>
        <v>√</v>
      </c>
      <c r="N41" s="34" t="str">
        <f ca="1">IF($A41="","",IF(IF(N$2&lt;=$A$1,1,0),IF(N$4="休","",IF(COUNTIF(DATA!O:O,$A:$A)=0,"×","√")),""))</f>
        <v>√</v>
      </c>
      <c r="O41" s="34" t="str">
        <f ca="1">IF($A41="","",IF(IF(O$2&lt;=$A$1,1,0),IF(O$4="休","",IF(COUNTIF(DATA!P:P,$A:$A)=0,"×","√")),""))</f>
        <v>×</v>
      </c>
      <c r="P41" s="34" t="str">
        <f ca="1">IF($A41="","",IF(IF(P$2&lt;=$A$1,1,0),IF(P$4="休","",IF(COUNTIF(DATA!Q:Q,$A:$A)=0,"×","√")),""))</f>
        <v/>
      </c>
      <c r="Q41" s="34" t="str">
        <f ca="1">IF($A41="","",IF(IF(Q$2&lt;=$A$1,1,0),IF(Q$4="休","",IF(COUNTIF(DATA!R:R,$A:$A)=0,"×","√")),""))</f>
        <v/>
      </c>
      <c r="R41" s="34" t="str">
        <f ca="1">IF($A41="","",IF(IF(R$2&lt;=$A$1,1,0),IF(R$4="休","",IF(COUNTIF(DATA!S:S,$A:$A)=0,"×","√")),""))</f>
        <v/>
      </c>
      <c r="S41" s="34" t="str">
        <f ca="1">IF($A41="","",IF(IF(S$2&lt;=$A$1,1,0),IF(S$4="休","",IF(COUNTIF(DATA!T:T,$A:$A)=0,"×","√")),""))</f>
        <v/>
      </c>
      <c r="T41" s="34" t="str">
        <f ca="1">IF($A41="","",IF(IF(T$2&lt;=$A$1,1,0),IF(T$4="休","",IF(COUNTIF(DATA!U:U,$A:$A)=0,"×","√")),""))</f>
        <v/>
      </c>
      <c r="U41" s="34" t="str">
        <f ca="1">IF($A41="","",IF(IF(U$2&lt;=$A$1,1,0),IF(U$4="休","",IF(COUNTIF(DATA!V:V,$A:$A)=0,"×","√")),""))</f>
        <v/>
      </c>
      <c r="V41" s="34" t="str">
        <f ca="1">IF($A41="","",IF(IF(V$2&lt;=$A$1,1,0),IF(V$4="休","",IF(COUNTIF(DATA!W:W,$A:$A)=0,"×","√")),""))</f>
        <v/>
      </c>
      <c r="W41" s="34" t="str">
        <f ca="1">IF($A41="","",IF(IF(W$2&lt;=$A$1,1,0),IF(W$4="休","",IF(COUNTIF(DATA!X:X,$A:$A)=0,"×","√")),""))</f>
        <v/>
      </c>
      <c r="X41" s="34" t="str">
        <f ca="1">IF($A41="","",IF(IF(X$2&lt;=$A$1,1,0),IF(X$4="休","",IF(COUNTIF(DATA!Y:Y,$A:$A)=0,"×","√")),""))</f>
        <v/>
      </c>
      <c r="Y41" s="34" t="str">
        <f ca="1">IF($A41="","",IF(IF(Y$2&lt;=$A$1,1,0),IF(Y$4="休","",IF(COUNTIF(DATA!Z:Z,$A:$A)=0,"×","√")),""))</f>
        <v/>
      </c>
      <c r="Z41" s="34" t="str">
        <f ca="1">IF($A41="","",IF(IF(Z$2&lt;=$A$1,1,0),IF(Z$4="休","",IF(COUNTIF(DATA!AA:AA,$A:$A)=0,"×","√")),""))</f>
        <v/>
      </c>
      <c r="AA41" s="34" t="str">
        <f ca="1">IF($A41="","",IF(IF(AA$2&lt;=$A$1,1,0),IF(AA$4="休","",IF(COUNTIF(DATA!AB:AB,$A:$A)=0,"×","√")),""))</f>
        <v/>
      </c>
      <c r="AB41" s="34" t="str">
        <f ca="1">IF($A41="","",IF(IF(AB$2&lt;=$A$1,1,0),IF(AB$4="休","",IF(COUNTIF(DATA!AC:AC,$A:$A)=0,"×","√")),""))</f>
        <v/>
      </c>
      <c r="AC41" s="34" t="str">
        <f ca="1">IF($A41="","",IF(IF(AC$2&lt;=$A$1,1,0),IF(AC$4="休","",IF(COUNTIF(DATA!AD:AD,$A:$A)=0,"×","√")),""))</f>
        <v/>
      </c>
      <c r="AD41" s="34" t="str">
        <f ca="1">IF($A41="","",IF(IF(AD$2&lt;=$A$1,1,0),IF(AD$4="休","",IF(COUNTIF(DATA!AE:AE,$A:$A)=0,"×","√")),""))</f>
        <v/>
      </c>
      <c r="AE41" s="34" t="str">
        <f ca="1">IF($A41="","",IF(IF(AE$2&lt;=$A$1,1,0),IF(AE$4="休","",IF(COUNTIF(DATA!AF:AF,$A:$A)=0,"×","√")),""))</f>
        <v/>
      </c>
      <c r="AF41" s="34" t="str">
        <f ca="1">IF($A41="","",IF(IF(AF$2&lt;=$A$1,1,0),IF(AF$4="休","",IF(COUNTIF(DATA!AG:AG,$A:$A)=0,"×","√")),""))</f>
        <v/>
      </c>
      <c r="AG41" s="34" t="str">
        <f ca="1">IF($A41="","",IF(IF(AG$2&lt;=$A$1,1,0),IF(AG$4="休","",IF(COUNTIF(DATA!AH:AH,$A:$A)=0,"×","√")),""))</f>
        <v/>
      </c>
      <c r="AH41" s="34" t="str">
        <f ca="1">IF($A41="","",IF(IF(AH$2&lt;=$A$1,1,0),IF(AH$4="休","",IF(COUNTIF(DATA!AI:AI,$A:$A)=0,"×","√")),""))</f>
        <v/>
      </c>
      <c r="AI41" s="34" t="str">
        <f ca="1">IF($A41="","",IF(IF(AI$2&lt;=$A$1,1,0),IF(AI$4="休","",IF(COUNTIF(DATA!AJ:AJ,$A:$A)=0,"×","√")),""))</f>
        <v/>
      </c>
      <c r="AJ41" s="34" t="str">
        <f ca="1">IF($A41="","",IF(IF(AJ$2&lt;=$A$1,1,0),IF(AJ$4="休","",IF(COUNTIF(DATA!AK:AK,$A:$A)=0,"×","√")),""))</f>
        <v/>
      </c>
      <c r="AK41" s="34" t="str">
        <f ca="1">IF($A41="","",IF(IF(AK$2&lt;=$A$1,1,0),IF(AK$4="休","",IF(COUNTIF(DATA!AL:AL,$A:$A)=0,"×","√")),""))</f>
        <v/>
      </c>
      <c r="AL41" s="34" t="str">
        <f ca="1">IF($A41="","",IF(IF(AL$2&lt;=$A$1,1,0),IF(AL$4="休","",IF(COUNTIF(DATA!AM:AM,$A:$A)=0,"×","√")),""))</f>
        <v/>
      </c>
      <c r="AM41" s="34" t="str">
        <f ca="1">IF($A41="","",IF(IF(AM$2&lt;=$A$1,1,0),IF(AM$4="休","",IF(COUNTIF(DATA!AN:AN,$A:$A)=0,"×","√")),""))</f>
        <v/>
      </c>
      <c r="AN41" s="34" t="str">
        <f ca="1">IF($A41="","",IF(IF(AN$2&lt;=$A$1,1,0),IF(AN$4="休","",IF(COUNTIF(DATA!AO:AO,$A:$A)=0,"×","√")),""))</f>
        <v/>
      </c>
      <c r="AO41" s="34" t="str">
        <f ca="1">IF($A41="","",IF(IF(AO$2&lt;=$A$1,1,0),IF(AO$4="休","",IF(COUNTIF(DATA!AP:AP,$A:$A)=0,"×","√")),""))</f>
        <v/>
      </c>
      <c r="AP41" s="34" t="str">
        <f ca="1">IF($A41="","",IF(IF(AP$2&lt;=$A$1,1,0),IF(AP$4="休","",IF(COUNTIF(DATA!AQ:AQ,$A:$A)=0,"×","√")),""))</f>
        <v/>
      </c>
      <c r="AQ41" s="34" t="str">
        <f ca="1">IF($A41="","",IF(IF(AQ$2&lt;=$A$1,1,0),IF(AQ$4="休","",IF(COUNTIF(DATA!AR:AR,$A:$A)=0,"×","√")),""))</f>
        <v/>
      </c>
      <c r="AR41" s="34" t="str">
        <f ca="1">IF($A41="","",IF(IF(AR$2&lt;=$A$1,1,0),IF(AR$4="休","",IF(COUNTIF(DATA!AS:AS,$A:$A)=0,"×","√")),""))</f>
        <v/>
      </c>
      <c r="AS41" s="34" t="str">
        <f ca="1">IF($A41="","",IF(IF(AS$2&lt;=$A$1,1,0),IF(AS$4="休","",IF(COUNTIF(DATA!AT:AT,$A:$A)=0,"×","√")),""))</f>
        <v/>
      </c>
      <c r="AT41" s="34" t="str">
        <f ca="1">IF($A41="","",IF(IF(AT$2&lt;=$A$1,1,0),IF(AT$4="休","",IF(COUNTIF(DATA!AU:AU,$A:$A)=0,"×","√")),""))</f>
        <v/>
      </c>
      <c r="AU41" s="34" t="str">
        <f ca="1">IF($A41="","",IF(IF(AU$2&lt;=$A$1,1,0),IF(AU$4="休","",IF(COUNTIF(DATA!AV:AV,$A:$A)=0,"×","√")),""))</f>
        <v/>
      </c>
      <c r="AV41" s="34" t="str">
        <f ca="1">IF($A41="","",IF(IF(AV$2&lt;=$A$1,1,0),IF(AV$4="休","",IF(COUNTIF(DATA!AW:AW,$A:$A)=0,"×","√")),""))</f>
        <v/>
      </c>
      <c r="AW41" s="34" t="str">
        <f ca="1">IF($A41="","",IF(IF(AW$2&lt;=$A$1,1,0),IF(AW$4="休","",IF(COUNTIF(DATA!AX:AX,$A:$A)=0,"×","√")),""))</f>
        <v/>
      </c>
      <c r="AX41" s="34" t="str">
        <f ca="1">IF($A41="","",IF(IF(AX$2&lt;=$A$1,1,0),IF(AX$4="休","",IF(COUNTIF(DATA!AY:AY,$A:$A)=0,"×","√")),""))</f>
        <v/>
      </c>
      <c r="AY41" s="34" t="str">
        <f ca="1">IF($A41="","",IF(IF(AY$2&lt;=$A$1,1,0),IF(AY$4="休","",IF(COUNTIF(DATA!AZ:AZ,$A:$A)=0,"×","√")),""))</f>
        <v/>
      </c>
      <c r="AZ41" s="34" t="str">
        <f ca="1">IF($A41="","",IF(IF(AZ$2&lt;=$A$1,1,0),IF(AZ$4="休","",IF(COUNTIF(DATA!BA:BA,$A:$A)=0,"×","√")),""))</f>
        <v/>
      </c>
      <c r="BA41" s="34" t="str">
        <f ca="1">IF($A41="","",IF(IF(BA$2&lt;=$A$1,1,0),IF(BA$4="休","",IF(COUNTIF(DATA!BB:BB,$A:$A)=0,"×","√")),""))</f>
        <v/>
      </c>
      <c r="BB41" s="34" t="str">
        <f ca="1">IF($A41="","",IF(IF(BB$2&lt;=$A$1,1,0),IF(BB$4="休","",IF(COUNTIF(DATA!BC:BC,$A:$A)=0,"×","√")),""))</f>
        <v/>
      </c>
      <c r="BC41" s="34" t="str">
        <f ca="1">IF($A41="","",IF(IF(BC$2&lt;=$A$1,1,0),IF(BC$4="休","",IF(COUNTIF(DATA!BD:BD,$A:$A)=0,"×","√")),""))</f>
        <v/>
      </c>
      <c r="BD41" s="34" t="str">
        <f ca="1">IF($A41="","",IF(IF(BD$2&lt;=$A$1,1,0),IF(BD$4="休","",IF(COUNTIF(DATA!BE:BE,$A:$A)=0,"×","√")),""))</f>
        <v/>
      </c>
      <c r="BE41" s="34" t="str">
        <f ca="1">IF($A41="","",IF(IF(BE$2&lt;=$A$1,1,0),IF(BE$4="休","",IF(COUNTIF(DATA!BF:BF,$A:$A)=0,"×","√")),""))</f>
        <v/>
      </c>
      <c r="BF41" s="34" t="str">
        <f ca="1">IF($A41="","",IF(IF(BF$2&lt;=$A$1,1,0),IF(BF$4="休","",IF(COUNTIF(DATA!BG:BG,$A:$A)=0,"×","√")),""))</f>
        <v/>
      </c>
      <c r="BG41" s="34" t="str">
        <f ca="1">IF($A41="","",IF(IF(BG$2&lt;=$A$1,1,0),IF(BG$4="休","",IF(COUNTIF(DATA!BH:BH,$A:$A)=0,"×","√")),""))</f>
        <v/>
      </c>
      <c r="BH41" s="34" t="str">
        <f ca="1">IF($A41="","",IF(IF(BH$2&lt;=$A$1,1,0),IF(BH$4="休","",IF(COUNTIF(DATA!BI:BI,$A:$A)=0,"×","√")),""))</f>
        <v/>
      </c>
      <c r="BI41" s="34" t="str">
        <f ca="1">IF($A41="","",IF(IF(BI$2&lt;=$A$1,1,0),IF(BI$4="休","",IF(COUNTIF(DATA!BJ:BJ,$A:$A)=0,"×","√")),""))</f>
        <v/>
      </c>
      <c r="BJ41" s="34" t="str">
        <f ca="1">IF($A41="","",IF(IF(BJ$2&lt;=$A$1,1,0),IF(BJ$4="休","",IF(COUNTIF(DATA!BK:BK,$A:$A)=0,"×","√")),""))</f>
        <v/>
      </c>
      <c r="BK41" s="34" t="str">
        <f ca="1">IF($A41="","",IF(IF(BK$2&lt;=$A$1,1,0),IF(BK$4="休","",IF(COUNTIF(DATA!BL:BL,$A:$A)=0,"×","√")),""))</f>
        <v/>
      </c>
      <c r="BL41" s="34" t="str">
        <f ca="1">IF($A41="","",IF(IF(BL$2&lt;=$A$1,1,0),IF(BL$4="休","",IF(COUNTIF(DATA!BM:BM,$A:$A)=0,"×","√")),""))</f>
        <v/>
      </c>
      <c r="BM41" s="34" t="str">
        <f ca="1">IF($A41="","",IF(IF(BM$2&lt;=$A$1,1,0),IF(BM$4="休","",IF(COUNTIF(DATA!BN:BN,$A:$A)=0,"×","√")),""))</f>
        <v/>
      </c>
      <c r="BN41" s="34" t="str">
        <f ca="1">IF($A41="","",IF(IF(BN$2&lt;=$A$1,1,0),IF(BN$4="休","",IF(COUNTIF(DATA!BO:BO,$A:$A)=0,"×","√")),""))</f>
        <v/>
      </c>
      <c r="BO41" s="34" t="str">
        <f ca="1">IF($A41="","",IF(IF(BO$2&lt;=$A$1,1,0),IF(BO$4="休","",IF(COUNTIF(DATA!BP:BP,$A:$A)=0,"×","√")),""))</f>
        <v/>
      </c>
      <c r="BP41" s="34" t="str">
        <f ca="1">IF($A41="","",IF(IF(BP$2&lt;=$A$1,1,0),IF(BP$4="休","",IF(COUNTIF(DATA!BQ:BQ,$A:$A)=0,"×","√")),""))</f>
        <v/>
      </c>
      <c r="BQ41" s="34" t="str">
        <f ca="1">IF($A41="","",IF(IF(BQ$2&lt;=$A$1,1,0),IF(BQ$4="休","",IF(COUNTIF(DATA!BR:BR,$A:$A)=0,"×","√")),""))</f>
        <v/>
      </c>
      <c r="BR41" s="34" t="str">
        <f ca="1">IF($A41="","",IF(IF(BR$2&lt;=$A$1,1,0),IF(BR$4="休","",IF(COUNTIF(DATA!BS:BS,$A:$A)=0,"×","√")),""))</f>
        <v/>
      </c>
      <c r="BS41" s="34" t="str">
        <f ca="1">IF($A41="","",IF(IF(BS$2&lt;=$A$1,1,0),IF(BS$4="休","",IF(COUNTIF(DATA!BT:BT,$A:$A)=0,"×","√")),""))</f>
        <v/>
      </c>
      <c r="BT41" s="34" t="str">
        <f ca="1">IF($A41="","",IF(IF(BT$2&lt;=$A$1,1,0),IF(BT$4="休","",IF(COUNTIF(DATA!BU:BU,$A:$A)=0,"×","√")),""))</f>
        <v/>
      </c>
      <c r="BU41" s="34" t="str">
        <f ca="1">IF($A41="","",IF(IF(BU$2&lt;=$A$1,1,0),IF(BU$4="休","",IF(COUNTIF(DATA!BV:BV,$A:$A)=0,"×","√")),""))</f>
        <v/>
      </c>
      <c r="BV41" s="34" t="str">
        <f ca="1">IF($A41="","",IF(IF(BV$2&lt;=$A$1,1,0),IF(BV$4="休","",IF(COUNTIF(DATA!BW:BW,$A:$A)=0,"×","√")),""))</f>
        <v/>
      </c>
      <c r="BW41" s="34" t="str">
        <f ca="1">IF($A41="","",IF(IF(BW$2&lt;=$A$1,1,0),IF(BW$4="休","",IF(COUNTIF(DATA!BX:BX,$A:$A)=0,"×","√")),""))</f>
        <v/>
      </c>
      <c r="BX41" s="34" t="str">
        <f ca="1">IF($A41="","",IF(IF(BX$2&lt;=$A$1,1,0),IF(BX$4="休","",IF(COUNTIF(DATA!BY:BY,$A:$A)=0,"×","√")),""))</f>
        <v/>
      </c>
      <c r="BY41" s="34" t="str">
        <f ca="1">IF($A41="","",IF(IF(BY$2&lt;=$A$1,1,0),IF(BY$4="休","",IF(COUNTIF(DATA!BZ:BZ,$A:$A)=0,"×","√")),""))</f>
        <v/>
      </c>
      <c r="BZ41" s="34" t="str">
        <f ca="1">IF($A41="","",IF(IF(BZ$2&lt;=$A$1,1,0),IF(BZ$4="休","",IF(COUNTIF(DATA!CA:CA,$A:$A)=0,"×","√")),""))</f>
        <v/>
      </c>
      <c r="CA41" s="34" t="str">
        <f ca="1">IF($A41="","",IF(IF(CA$2&lt;=$A$1,1,0),IF(CA$4="休","",IF(COUNTIF(DATA!CB:CB,$A:$A)=0,"×","√")),""))</f>
        <v/>
      </c>
      <c r="CB41" s="34" t="str">
        <f ca="1">IF($A41="","",IF(IF(CB$2&lt;=$A$1,1,0),IF(CB$4="休","",IF(COUNTIF(DATA!CC:CC,$A:$A)=0,"×","√")),""))</f>
        <v/>
      </c>
      <c r="CC41" s="34" t="str">
        <f ca="1">IF($A41="","",IF(IF(CC$2&lt;=$A$1,1,0),IF(CC$4="休","",IF(COUNTIF(DATA!CD:CD,$A:$A)=0,"×","√")),""))</f>
        <v/>
      </c>
      <c r="CD41" s="34" t="str">
        <f ca="1">IF($A41="","",IF(IF(CD$2&lt;=$A$1,1,0),IF(CD$4="休","",IF(COUNTIF(DATA!CE:CE,$A:$A)=0,"×","√")),""))</f>
        <v/>
      </c>
      <c r="CE41" s="34" t="str">
        <f ca="1">IF($A41="","",IF(IF(CE$2&lt;=$A$1,1,0),IF(CE$4="休","",IF(COUNTIF(DATA!CF:CF,$A:$A)=0,"×","√")),""))</f>
        <v/>
      </c>
      <c r="CF41" s="34" t="str">
        <f ca="1">IF($A41="","",IF(IF(CF$2&lt;=$A$1,1,0),IF(CF$4="休","",IF(COUNTIF(DATA!CG:CG,$A:$A)=0,"×","√")),""))</f>
        <v/>
      </c>
      <c r="CG41" s="34" t="str">
        <f ca="1">IF($A41="","",IF(IF(CG$2&lt;=$A$1,1,0),IF(CG$4="休","",IF(COUNTIF(DATA!CH:CH,$A:$A)=0,"×","√")),""))</f>
        <v/>
      </c>
      <c r="CH41" s="34" t="str">
        <f ca="1">IF($A41="","",IF(IF(CH$2&lt;=$A$1,1,0),IF(CH$4="休","",IF(COUNTIF(DATA!CI:CI,$A:$A)=0,"×","√")),""))</f>
        <v/>
      </c>
      <c r="CI41" s="34" t="str">
        <f ca="1">IF($A41="","",IF(IF(CI$2&lt;=$A$1,1,0),IF(CI$4="休","",IF(COUNTIF(DATA!CJ:CJ,$A:$A)=0,"×","√")),""))</f>
        <v/>
      </c>
      <c r="CJ41" s="34" t="str">
        <f ca="1">IF($A41="","",IF(IF(CJ$2&lt;=$A$1,1,0),IF(CJ$4="休","",IF(COUNTIF(DATA!CK:CK,$A:$A)=0,"×","√")),""))</f>
        <v/>
      </c>
      <c r="CK41" s="34" t="str">
        <f ca="1">IF($A41="","",IF(IF(CK$2&lt;=$A$1,1,0),IF(CK$4="休","",IF(COUNTIF(DATA!CL:CL,$A:$A)=0,"×","√")),""))</f>
        <v/>
      </c>
      <c r="CL41" s="34" t="str">
        <f ca="1">IF($A41="","",IF(IF(CL$2&lt;=$A$1,1,0),IF(CL$4="休","",IF(COUNTIF(DATA!CM:CM,$A:$A)=0,"×","√")),""))</f>
        <v/>
      </c>
      <c r="CM41" s="34" t="str">
        <f ca="1">IF($A41="","",IF(IF(CM$2&lt;=$A$1,1,0),IF(CM$4="休","",IF(COUNTIF(DATA!CN:CN,$A:$A)=0,"×","√")),""))</f>
        <v/>
      </c>
      <c r="CN41" s="34" t="str">
        <f ca="1">IF($A41="","",IF(IF(CN$2&lt;=$A$1,1,0),IF(CN$4="休","",IF(COUNTIF(DATA!CO:CO,$A:$A)=0,"×","√")),""))</f>
        <v/>
      </c>
      <c r="CO41" s="34" t="str">
        <f ca="1">IF($A41="","",IF(IF(CO$2&lt;=$A$1,1,0),IF(CO$4="休","",IF(COUNTIF(DATA!CP:CP,$A:$A)=0,"×","√")),""))</f>
        <v/>
      </c>
      <c r="CP41" s="34" t="str">
        <f ca="1">IF($A41="","",IF(IF(CP$2&lt;=$A$1,1,0),IF(CP$4="休","",IF(COUNTIF(DATA!CQ:CQ,$A:$A)=0,"×","√")),""))</f>
        <v/>
      </c>
      <c r="CQ41" s="34" t="str">
        <f ca="1">IF($A41="","",IF(IF(CQ$2&lt;=$A$1,1,0),IF(CQ$4="休","",IF(COUNTIF(DATA!CR:CR,$A:$A)=0,"×","√")),""))</f>
        <v/>
      </c>
      <c r="CR41" s="34" t="str">
        <f ca="1">IF($A41="","",IF(IF(CR$2&lt;=$A$1,1,0),IF(CR$4="休","",IF(COUNTIF(DATA!CS:CS,$A:$A)=0,"×","√")),""))</f>
        <v/>
      </c>
    </row>
    <row r="42" s="28" customFormat="1" ht="18.75" spans="1:96">
      <c r="A42" s="34" t="str">
        <f>DATA!$A41&amp;""</f>
        <v>占玄辉</v>
      </c>
      <c r="B42" s="34" t="str">
        <f ca="1">IF($A42="","",IF(IF(B$2&lt;=$A$1,1,0),IF(B$4="休","",IF(COUNTIF(DATA!C:C,$A:$A)=0,"×","√")),""))</f>
        <v>√</v>
      </c>
      <c r="C42" s="34" t="str">
        <f ca="1">IF($A42="","",IF(IF(C$2&lt;=$A$1,1,0),IF(C$4="休","",IF(COUNTIF(DATA!D:D,$A:$A)=0,"×","√")),""))</f>
        <v>√</v>
      </c>
      <c r="D42" s="34" t="str">
        <f ca="1">IF($A42="","",IF(IF(D$2&lt;=$A$1,1,0),IF(D$4="休","",IF(COUNTIF(DATA!E:E,$A:$A)=0,"×","√")),""))</f>
        <v>√</v>
      </c>
      <c r="E42" s="34" t="str">
        <f ca="1">IF($A42="","",IF(IF(E$2&lt;=$A$1,1,0),IF(E$4="休","",IF(COUNTIF(DATA!F:F,$A:$A)=0,"×","√")),""))</f>
        <v>√</v>
      </c>
      <c r="F42" s="34" t="str">
        <f ca="1">IF($A42="","",IF(IF(F$2&lt;=$A$1,1,0),IF(F$4="休","",IF(COUNTIF(DATA!G:G,$A:$A)=0,"×","√")),""))</f>
        <v>√</v>
      </c>
      <c r="G42" s="34" t="str">
        <f ca="1">IF($A42="","",IF(IF(G$2&lt;=$A$1,1,0),IF(G$4="休","",IF(COUNTIF(DATA!H:H,$A:$A)=0,"×","√")),""))</f>
        <v>√</v>
      </c>
      <c r="H42" s="34" t="str">
        <f ca="1">IF($A42="","",IF(IF(H$2&lt;=$A$1,1,0),IF(H$4="休","",IF(COUNTIF(DATA!I:I,$A:$A)=0,"×","√")),""))</f>
        <v>√</v>
      </c>
      <c r="I42" s="34" t="str">
        <f ca="1">IF($A42="","",IF(IF(I$2&lt;=$A$1,1,0),IF(I$4="休","",IF(COUNTIF(DATA!J:J,$A:$A)=0,"×","√")),""))</f>
        <v>√</v>
      </c>
      <c r="J42" s="34" t="str">
        <f ca="1">IF($A42="","",IF(IF(J$2&lt;=$A$1,1,0),IF(J$4="休","",IF(COUNTIF(DATA!K:K,$A:$A)=0,"×","√")),""))</f>
        <v>√</v>
      </c>
      <c r="K42" s="34" t="str">
        <f ca="1">IF($A42="","",IF(IF(K$2&lt;=$A$1,1,0),IF(K$4="休","",IF(COUNTIF(DATA!L:L,$A:$A)=0,"×","√")),""))</f>
        <v>√</v>
      </c>
      <c r="L42" s="34" t="str">
        <f ca="1">IF($A42="","",IF(IF(L$2&lt;=$A$1,1,0),IF(L$4="休","",IF(COUNTIF(DATA!M:M,$A:$A)=0,"×","√")),""))</f>
        <v>√</v>
      </c>
      <c r="M42" s="34" t="str">
        <f ca="1">IF($A42="","",IF(IF(M$2&lt;=$A$1,1,0),IF(M$4="休","",IF(COUNTIF(DATA!N:N,$A:$A)=0,"×","√")),""))</f>
        <v>√</v>
      </c>
      <c r="N42" s="34" t="str">
        <f ca="1">IF($A42="","",IF(IF(N$2&lt;=$A$1,1,0),IF(N$4="休","",IF(COUNTIF(DATA!O:O,$A:$A)=0,"×","√")),""))</f>
        <v>√</v>
      </c>
      <c r="O42" s="34" t="str">
        <f ca="1">IF($A42="","",IF(IF(O$2&lt;=$A$1,1,0),IF(O$4="休","",IF(COUNTIF(DATA!P:P,$A:$A)=0,"×","√")),""))</f>
        <v>×</v>
      </c>
      <c r="P42" s="34" t="str">
        <f ca="1">IF($A42="","",IF(IF(P$2&lt;=$A$1,1,0),IF(P$4="休","",IF(COUNTIF(DATA!Q:Q,$A:$A)=0,"×","√")),""))</f>
        <v/>
      </c>
      <c r="Q42" s="34" t="str">
        <f ca="1">IF($A42="","",IF(IF(Q$2&lt;=$A$1,1,0),IF(Q$4="休","",IF(COUNTIF(DATA!R:R,$A:$A)=0,"×","√")),""))</f>
        <v/>
      </c>
      <c r="R42" s="34" t="str">
        <f ca="1">IF($A42="","",IF(IF(R$2&lt;=$A$1,1,0),IF(R$4="休","",IF(COUNTIF(DATA!S:S,$A:$A)=0,"×","√")),""))</f>
        <v/>
      </c>
      <c r="S42" s="34" t="str">
        <f ca="1">IF($A42="","",IF(IF(S$2&lt;=$A$1,1,0),IF(S$4="休","",IF(COUNTIF(DATA!T:T,$A:$A)=0,"×","√")),""))</f>
        <v/>
      </c>
      <c r="T42" s="34" t="str">
        <f ca="1">IF($A42="","",IF(IF(T$2&lt;=$A$1,1,0),IF(T$4="休","",IF(COUNTIF(DATA!U:U,$A:$A)=0,"×","√")),""))</f>
        <v/>
      </c>
      <c r="U42" s="34" t="str">
        <f ca="1">IF($A42="","",IF(IF(U$2&lt;=$A$1,1,0),IF(U$4="休","",IF(COUNTIF(DATA!V:V,$A:$A)=0,"×","√")),""))</f>
        <v/>
      </c>
      <c r="V42" s="34" t="str">
        <f ca="1">IF($A42="","",IF(IF(V$2&lt;=$A$1,1,0),IF(V$4="休","",IF(COUNTIF(DATA!W:W,$A:$A)=0,"×","√")),""))</f>
        <v/>
      </c>
      <c r="W42" s="34" t="str">
        <f ca="1">IF($A42="","",IF(IF(W$2&lt;=$A$1,1,0),IF(W$4="休","",IF(COUNTIF(DATA!X:X,$A:$A)=0,"×","√")),""))</f>
        <v/>
      </c>
      <c r="X42" s="34" t="str">
        <f ca="1">IF($A42="","",IF(IF(X$2&lt;=$A$1,1,0),IF(X$4="休","",IF(COUNTIF(DATA!Y:Y,$A:$A)=0,"×","√")),""))</f>
        <v/>
      </c>
      <c r="Y42" s="34" t="str">
        <f ca="1">IF($A42="","",IF(IF(Y$2&lt;=$A$1,1,0),IF(Y$4="休","",IF(COUNTIF(DATA!Z:Z,$A:$A)=0,"×","√")),""))</f>
        <v/>
      </c>
      <c r="Z42" s="34" t="str">
        <f ca="1">IF($A42="","",IF(IF(Z$2&lt;=$A$1,1,0),IF(Z$4="休","",IF(COUNTIF(DATA!AA:AA,$A:$A)=0,"×","√")),""))</f>
        <v/>
      </c>
      <c r="AA42" s="34" t="str">
        <f ca="1">IF($A42="","",IF(IF(AA$2&lt;=$A$1,1,0),IF(AA$4="休","",IF(COUNTIF(DATA!AB:AB,$A:$A)=0,"×","√")),""))</f>
        <v/>
      </c>
      <c r="AB42" s="34" t="str">
        <f ca="1">IF($A42="","",IF(IF(AB$2&lt;=$A$1,1,0),IF(AB$4="休","",IF(COUNTIF(DATA!AC:AC,$A:$A)=0,"×","√")),""))</f>
        <v/>
      </c>
      <c r="AC42" s="34" t="str">
        <f ca="1">IF($A42="","",IF(IF(AC$2&lt;=$A$1,1,0),IF(AC$4="休","",IF(COUNTIF(DATA!AD:AD,$A:$A)=0,"×","√")),""))</f>
        <v/>
      </c>
      <c r="AD42" s="34" t="str">
        <f ca="1">IF($A42="","",IF(IF(AD$2&lt;=$A$1,1,0),IF(AD$4="休","",IF(COUNTIF(DATA!AE:AE,$A:$A)=0,"×","√")),""))</f>
        <v/>
      </c>
      <c r="AE42" s="34" t="str">
        <f ca="1">IF($A42="","",IF(IF(AE$2&lt;=$A$1,1,0),IF(AE$4="休","",IF(COUNTIF(DATA!AF:AF,$A:$A)=0,"×","√")),""))</f>
        <v/>
      </c>
      <c r="AF42" s="34" t="str">
        <f ca="1">IF($A42="","",IF(IF(AF$2&lt;=$A$1,1,0),IF(AF$4="休","",IF(COUNTIF(DATA!AG:AG,$A:$A)=0,"×","√")),""))</f>
        <v/>
      </c>
      <c r="AG42" s="34" t="str">
        <f ca="1">IF($A42="","",IF(IF(AG$2&lt;=$A$1,1,0),IF(AG$4="休","",IF(COUNTIF(DATA!AH:AH,$A:$A)=0,"×","√")),""))</f>
        <v/>
      </c>
      <c r="AH42" s="34" t="str">
        <f ca="1">IF($A42="","",IF(IF(AH$2&lt;=$A$1,1,0),IF(AH$4="休","",IF(COUNTIF(DATA!AI:AI,$A:$A)=0,"×","√")),""))</f>
        <v/>
      </c>
      <c r="AI42" s="34" t="str">
        <f ca="1">IF($A42="","",IF(IF(AI$2&lt;=$A$1,1,0),IF(AI$4="休","",IF(COUNTIF(DATA!AJ:AJ,$A:$A)=0,"×","√")),""))</f>
        <v/>
      </c>
      <c r="AJ42" s="34" t="str">
        <f ca="1">IF($A42="","",IF(IF(AJ$2&lt;=$A$1,1,0),IF(AJ$4="休","",IF(COUNTIF(DATA!AK:AK,$A:$A)=0,"×","√")),""))</f>
        <v/>
      </c>
      <c r="AK42" s="34" t="str">
        <f ca="1">IF($A42="","",IF(IF(AK$2&lt;=$A$1,1,0),IF(AK$4="休","",IF(COUNTIF(DATA!AL:AL,$A:$A)=0,"×","√")),""))</f>
        <v/>
      </c>
      <c r="AL42" s="34" t="str">
        <f ca="1">IF($A42="","",IF(IF(AL$2&lt;=$A$1,1,0),IF(AL$4="休","",IF(COUNTIF(DATA!AM:AM,$A:$A)=0,"×","√")),""))</f>
        <v/>
      </c>
      <c r="AM42" s="34" t="str">
        <f ca="1">IF($A42="","",IF(IF(AM$2&lt;=$A$1,1,0),IF(AM$4="休","",IF(COUNTIF(DATA!AN:AN,$A:$A)=0,"×","√")),""))</f>
        <v/>
      </c>
      <c r="AN42" s="34" t="str">
        <f ca="1">IF($A42="","",IF(IF(AN$2&lt;=$A$1,1,0),IF(AN$4="休","",IF(COUNTIF(DATA!AO:AO,$A:$A)=0,"×","√")),""))</f>
        <v/>
      </c>
      <c r="AO42" s="34" t="str">
        <f ca="1">IF($A42="","",IF(IF(AO$2&lt;=$A$1,1,0),IF(AO$4="休","",IF(COUNTIF(DATA!AP:AP,$A:$A)=0,"×","√")),""))</f>
        <v/>
      </c>
      <c r="AP42" s="34" t="str">
        <f ca="1">IF($A42="","",IF(IF(AP$2&lt;=$A$1,1,0),IF(AP$4="休","",IF(COUNTIF(DATA!AQ:AQ,$A:$A)=0,"×","√")),""))</f>
        <v/>
      </c>
      <c r="AQ42" s="34" t="str">
        <f ca="1">IF($A42="","",IF(IF(AQ$2&lt;=$A$1,1,0),IF(AQ$4="休","",IF(COUNTIF(DATA!AR:AR,$A:$A)=0,"×","√")),""))</f>
        <v/>
      </c>
      <c r="AR42" s="34" t="str">
        <f ca="1">IF($A42="","",IF(IF(AR$2&lt;=$A$1,1,0),IF(AR$4="休","",IF(COUNTIF(DATA!AS:AS,$A:$A)=0,"×","√")),""))</f>
        <v/>
      </c>
      <c r="AS42" s="34" t="str">
        <f ca="1">IF($A42="","",IF(IF(AS$2&lt;=$A$1,1,0),IF(AS$4="休","",IF(COUNTIF(DATA!AT:AT,$A:$A)=0,"×","√")),""))</f>
        <v/>
      </c>
      <c r="AT42" s="34" t="str">
        <f ca="1">IF($A42="","",IF(IF(AT$2&lt;=$A$1,1,0),IF(AT$4="休","",IF(COUNTIF(DATA!AU:AU,$A:$A)=0,"×","√")),""))</f>
        <v/>
      </c>
      <c r="AU42" s="34" t="str">
        <f ca="1">IF($A42="","",IF(IF(AU$2&lt;=$A$1,1,0),IF(AU$4="休","",IF(COUNTIF(DATA!AV:AV,$A:$A)=0,"×","√")),""))</f>
        <v/>
      </c>
      <c r="AV42" s="34" t="str">
        <f ca="1">IF($A42="","",IF(IF(AV$2&lt;=$A$1,1,0),IF(AV$4="休","",IF(COUNTIF(DATA!AW:AW,$A:$A)=0,"×","√")),""))</f>
        <v/>
      </c>
      <c r="AW42" s="34" t="str">
        <f ca="1">IF($A42="","",IF(IF(AW$2&lt;=$A$1,1,0),IF(AW$4="休","",IF(COUNTIF(DATA!AX:AX,$A:$A)=0,"×","√")),""))</f>
        <v/>
      </c>
      <c r="AX42" s="34" t="str">
        <f ca="1">IF($A42="","",IF(IF(AX$2&lt;=$A$1,1,0),IF(AX$4="休","",IF(COUNTIF(DATA!AY:AY,$A:$A)=0,"×","√")),""))</f>
        <v/>
      </c>
      <c r="AY42" s="34" t="str">
        <f ca="1">IF($A42="","",IF(IF(AY$2&lt;=$A$1,1,0),IF(AY$4="休","",IF(COUNTIF(DATA!AZ:AZ,$A:$A)=0,"×","√")),""))</f>
        <v/>
      </c>
      <c r="AZ42" s="34" t="str">
        <f ca="1">IF($A42="","",IF(IF(AZ$2&lt;=$A$1,1,0),IF(AZ$4="休","",IF(COUNTIF(DATA!BA:BA,$A:$A)=0,"×","√")),""))</f>
        <v/>
      </c>
      <c r="BA42" s="34" t="str">
        <f ca="1">IF($A42="","",IF(IF(BA$2&lt;=$A$1,1,0),IF(BA$4="休","",IF(COUNTIF(DATA!BB:BB,$A:$A)=0,"×","√")),""))</f>
        <v/>
      </c>
      <c r="BB42" s="34" t="str">
        <f ca="1">IF($A42="","",IF(IF(BB$2&lt;=$A$1,1,0),IF(BB$4="休","",IF(COUNTIF(DATA!BC:BC,$A:$A)=0,"×","√")),""))</f>
        <v/>
      </c>
      <c r="BC42" s="34" t="str">
        <f ca="1">IF($A42="","",IF(IF(BC$2&lt;=$A$1,1,0),IF(BC$4="休","",IF(COUNTIF(DATA!BD:BD,$A:$A)=0,"×","√")),""))</f>
        <v/>
      </c>
      <c r="BD42" s="34" t="str">
        <f ca="1">IF($A42="","",IF(IF(BD$2&lt;=$A$1,1,0),IF(BD$4="休","",IF(COUNTIF(DATA!BE:BE,$A:$A)=0,"×","√")),""))</f>
        <v/>
      </c>
      <c r="BE42" s="34" t="str">
        <f ca="1">IF($A42="","",IF(IF(BE$2&lt;=$A$1,1,0),IF(BE$4="休","",IF(COUNTIF(DATA!BF:BF,$A:$A)=0,"×","√")),""))</f>
        <v/>
      </c>
      <c r="BF42" s="34" t="str">
        <f ca="1">IF($A42="","",IF(IF(BF$2&lt;=$A$1,1,0),IF(BF$4="休","",IF(COUNTIF(DATA!BG:BG,$A:$A)=0,"×","√")),""))</f>
        <v/>
      </c>
      <c r="BG42" s="34" t="str">
        <f ca="1">IF($A42="","",IF(IF(BG$2&lt;=$A$1,1,0),IF(BG$4="休","",IF(COUNTIF(DATA!BH:BH,$A:$A)=0,"×","√")),""))</f>
        <v/>
      </c>
      <c r="BH42" s="34" t="str">
        <f ca="1">IF($A42="","",IF(IF(BH$2&lt;=$A$1,1,0),IF(BH$4="休","",IF(COUNTIF(DATA!BI:BI,$A:$A)=0,"×","√")),""))</f>
        <v/>
      </c>
      <c r="BI42" s="34" t="str">
        <f ca="1">IF($A42="","",IF(IF(BI$2&lt;=$A$1,1,0),IF(BI$4="休","",IF(COUNTIF(DATA!BJ:BJ,$A:$A)=0,"×","√")),""))</f>
        <v/>
      </c>
      <c r="BJ42" s="34" t="str">
        <f ca="1">IF($A42="","",IF(IF(BJ$2&lt;=$A$1,1,0),IF(BJ$4="休","",IF(COUNTIF(DATA!BK:BK,$A:$A)=0,"×","√")),""))</f>
        <v/>
      </c>
      <c r="BK42" s="34" t="str">
        <f ca="1">IF($A42="","",IF(IF(BK$2&lt;=$A$1,1,0),IF(BK$4="休","",IF(COUNTIF(DATA!BL:BL,$A:$A)=0,"×","√")),""))</f>
        <v/>
      </c>
      <c r="BL42" s="34" t="str">
        <f ca="1">IF($A42="","",IF(IF(BL$2&lt;=$A$1,1,0),IF(BL$4="休","",IF(COUNTIF(DATA!BM:BM,$A:$A)=0,"×","√")),""))</f>
        <v/>
      </c>
      <c r="BM42" s="34" t="str">
        <f ca="1">IF($A42="","",IF(IF(BM$2&lt;=$A$1,1,0),IF(BM$4="休","",IF(COUNTIF(DATA!BN:BN,$A:$A)=0,"×","√")),""))</f>
        <v/>
      </c>
      <c r="BN42" s="34" t="str">
        <f ca="1">IF($A42="","",IF(IF(BN$2&lt;=$A$1,1,0),IF(BN$4="休","",IF(COUNTIF(DATA!BO:BO,$A:$A)=0,"×","√")),""))</f>
        <v/>
      </c>
      <c r="BO42" s="34" t="str">
        <f ca="1">IF($A42="","",IF(IF(BO$2&lt;=$A$1,1,0),IF(BO$4="休","",IF(COUNTIF(DATA!BP:BP,$A:$A)=0,"×","√")),""))</f>
        <v/>
      </c>
      <c r="BP42" s="34" t="str">
        <f ca="1">IF($A42="","",IF(IF(BP$2&lt;=$A$1,1,0),IF(BP$4="休","",IF(COUNTIF(DATA!BQ:BQ,$A:$A)=0,"×","√")),""))</f>
        <v/>
      </c>
      <c r="BQ42" s="34" t="str">
        <f ca="1">IF($A42="","",IF(IF(BQ$2&lt;=$A$1,1,0),IF(BQ$4="休","",IF(COUNTIF(DATA!BR:BR,$A:$A)=0,"×","√")),""))</f>
        <v/>
      </c>
      <c r="BR42" s="34" t="str">
        <f ca="1">IF($A42="","",IF(IF(BR$2&lt;=$A$1,1,0),IF(BR$4="休","",IF(COUNTIF(DATA!BS:BS,$A:$A)=0,"×","√")),""))</f>
        <v/>
      </c>
      <c r="BS42" s="34" t="str">
        <f ca="1">IF($A42="","",IF(IF(BS$2&lt;=$A$1,1,0),IF(BS$4="休","",IF(COUNTIF(DATA!BT:BT,$A:$A)=0,"×","√")),""))</f>
        <v/>
      </c>
      <c r="BT42" s="34" t="str">
        <f ca="1">IF($A42="","",IF(IF(BT$2&lt;=$A$1,1,0),IF(BT$4="休","",IF(COUNTIF(DATA!BU:BU,$A:$A)=0,"×","√")),""))</f>
        <v/>
      </c>
      <c r="BU42" s="34" t="str">
        <f ca="1">IF($A42="","",IF(IF(BU$2&lt;=$A$1,1,0),IF(BU$4="休","",IF(COUNTIF(DATA!BV:BV,$A:$A)=0,"×","√")),""))</f>
        <v/>
      </c>
      <c r="BV42" s="34" t="str">
        <f ca="1">IF($A42="","",IF(IF(BV$2&lt;=$A$1,1,0),IF(BV$4="休","",IF(COUNTIF(DATA!BW:BW,$A:$A)=0,"×","√")),""))</f>
        <v/>
      </c>
      <c r="BW42" s="34" t="str">
        <f ca="1">IF($A42="","",IF(IF(BW$2&lt;=$A$1,1,0),IF(BW$4="休","",IF(COUNTIF(DATA!BX:BX,$A:$A)=0,"×","√")),""))</f>
        <v/>
      </c>
      <c r="BX42" s="34" t="str">
        <f ca="1">IF($A42="","",IF(IF(BX$2&lt;=$A$1,1,0),IF(BX$4="休","",IF(COUNTIF(DATA!BY:BY,$A:$A)=0,"×","√")),""))</f>
        <v/>
      </c>
      <c r="BY42" s="34" t="str">
        <f ca="1">IF($A42="","",IF(IF(BY$2&lt;=$A$1,1,0),IF(BY$4="休","",IF(COUNTIF(DATA!BZ:BZ,$A:$A)=0,"×","√")),""))</f>
        <v/>
      </c>
      <c r="BZ42" s="34" t="str">
        <f ca="1">IF($A42="","",IF(IF(BZ$2&lt;=$A$1,1,0),IF(BZ$4="休","",IF(COUNTIF(DATA!CA:CA,$A:$A)=0,"×","√")),""))</f>
        <v/>
      </c>
      <c r="CA42" s="34" t="str">
        <f ca="1">IF($A42="","",IF(IF(CA$2&lt;=$A$1,1,0),IF(CA$4="休","",IF(COUNTIF(DATA!CB:CB,$A:$A)=0,"×","√")),""))</f>
        <v/>
      </c>
      <c r="CB42" s="34" t="str">
        <f ca="1">IF($A42="","",IF(IF(CB$2&lt;=$A$1,1,0),IF(CB$4="休","",IF(COUNTIF(DATA!CC:CC,$A:$A)=0,"×","√")),""))</f>
        <v/>
      </c>
      <c r="CC42" s="34" t="str">
        <f ca="1">IF($A42="","",IF(IF(CC$2&lt;=$A$1,1,0),IF(CC$4="休","",IF(COUNTIF(DATA!CD:CD,$A:$A)=0,"×","√")),""))</f>
        <v/>
      </c>
      <c r="CD42" s="34" t="str">
        <f ca="1">IF($A42="","",IF(IF(CD$2&lt;=$A$1,1,0),IF(CD$4="休","",IF(COUNTIF(DATA!CE:CE,$A:$A)=0,"×","√")),""))</f>
        <v/>
      </c>
      <c r="CE42" s="34" t="str">
        <f ca="1">IF($A42="","",IF(IF(CE$2&lt;=$A$1,1,0),IF(CE$4="休","",IF(COUNTIF(DATA!CF:CF,$A:$A)=0,"×","√")),""))</f>
        <v/>
      </c>
      <c r="CF42" s="34" t="str">
        <f ca="1">IF($A42="","",IF(IF(CF$2&lt;=$A$1,1,0),IF(CF$4="休","",IF(COUNTIF(DATA!CG:CG,$A:$A)=0,"×","√")),""))</f>
        <v/>
      </c>
      <c r="CG42" s="34" t="str">
        <f ca="1">IF($A42="","",IF(IF(CG$2&lt;=$A$1,1,0),IF(CG$4="休","",IF(COUNTIF(DATA!CH:CH,$A:$A)=0,"×","√")),""))</f>
        <v/>
      </c>
      <c r="CH42" s="34" t="str">
        <f ca="1">IF($A42="","",IF(IF(CH$2&lt;=$A$1,1,0),IF(CH$4="休","",IF(COUNTIF(DATA!CI:CI,$A:$A)=0,"×","√")),""))</f>
        <v/>
      </c>
      <c r="CI42" s="34" t="str">
        <f ca="1">IF($A42="","",IF(IF(CI$2&lt;=$A$1,1,0),IF(CI$4="休","",IF(COUNTIF(DATA!CJ:CJ,$A:$A)=0,"×","√")),""))</f>
        <v/>
      </c>
      <c r="CJ42" s="34" t="str">
        <f ca="1">IF($A42="","",IF(IF(CJ$2&lt;=$A$1,1,0),IF(CJ$4="休","",IF(COUNTIF(DATA!CK:CK,$A:$A)=0,"×","√")),""))</f>
        <v/>
      </c>
      <c r="CK42" s="34" t="str">
        <f ca="1">IF($A42="","",IF(IF(CK$2&lt;=$A$1,1,0),IF(CK$4="休","",IF(COUNTIF(DATA!CL:CL,$A:$A)=0,"×","√")),""))</f>
        <v/>
      </c>
      <c r="CL42" s="34" t="str">
        <f ca="1">IF($A42="","",IF(IF(CL$2&lt;=$A$1,1,0),IF(CL$4="休","",IF(COUNTIF(DATA!CM:CM,$A:$A)=0,"×","√")),""))</f>
        <v/>
      </c>
      <c r="CM42" s="34" t="str">
        <f ca="1">IF($A42="","",IF(IF(CM$2&lt;=$A$1,1,0),IF(CM$4="休","",IF(COUNTIF(DATA!CN:CN,$A:$A)=0,"×","√")),""))</f>
        <v/>
      </c>
      <c r="CN42" s="34" t="str">
        <f ca="1">IF($A42="","",IF(IF(CN$2&lt;=$A$1,1,0),IF(CN$4="休","",IF(COUNTIF(DATA!CO:CO,$A:$A)=0,"×","√")),""))</f>
        <v/>
      </c>
      <c r="CO42" s="34" t="str">
        <f ca="1">IF($A42="","",IF(IF(CO$2&lt;=$A$1,1,0),IF(CO$4="休","",IF(COUNTIF(DATA!CP:CP,$A:$A)=0,"×","√")),""))</f>
        <v/>
      </c>
      <c r="CP42" s="34" t="str">
        <f ca="1">IF($A42="","",IF(IF(CP$2&lt;=$A$1,1,0),IF(CP$4="休","",IF(COUNTIF(DATA!CQ:CQ,$A:$A)=0,"×","√")),""))</f>
        <v/>
      </c>
      <c r="CQ42" s="34" t="str">
        <f ca="1">IF($A42="","",IF(IF(CQ$2&lt;=$A$1,1,0),IF(CQ$4="休","",IF(COUNTIF(DATA!CR:CR,$A:$A)=0,"×","√")),""))</f>
        <v/>
      </c>
      <c r="CR42" s="34" t="str">
        <f ca="1">IF($A42="","",IF(IF(CR$2&lt;=$A$1,1,0),IF(CR$4="休","",IF(COUNTIF(DATA!CS:CS,$A:$A)=0,"×","√")),""))</f>
        <v/>
      </c>
    </row>
    <row r="43" s="28" customFormat="1" ht="18.75" spans="1:96">
      <c r="A43" s="34" t="str">
        <f>DATA!$A42&amp;""</f>
        <v>周洋</v>
      </c>
      <c r="B43" s="34" t="str">
        <f ca="1">IF($A43="","",IF(IF(B$2&lt;=$A$1,1,0),IF(B$4="休","",IF(COUNTIF(DATA!C:C,$A:$A)=0,"×","√")),""))</f>
        <v>√</v>
      </c>
      <c r="C43" s="34" t="str">
        <f ca="1">IF($A43="","",IF(IF(C$2&lt;=$A$1,1,0),IF(C$4="休","",IF(COUNTIF(DATA!D:D,$A:$A)=0,"×","√")),""))</f>
        <v>√</v>
      </c>
      <c r="D43" s="34" t="str">
        <f ca="1">IF($A43="","",IF(IF(D$2&lt;=$A$1,1,0),IF(D$4="休","",IF(COUNTIF(DATA!E:E,$A:$A)=0,"×","√")),""))</f>
        <v>√</v>
      </c>
      <c r="E43" s="34" t="str">
        <f ca="1">IF($A43="","",IF(IF(E$2&lt;=$A$1,1,0),IF(E$4="休","",IF(COUNTIF(DATA!F:F,$A:$A)=0,"×","√")),""))</f>
        <v>√</v>
      </c>
      <c r="F43" s="34" t="str">
        <f ca="1">IF($A43="","",IF(IF(F$2&lt;=$A$1,1,0),IF(F$4="休","",IF(COUNTIF(DATA!G:G,$A:$A)=0,"×","√")),""))</f>
        <v>√</v>
      </c>
      <c r="G43" s="34" t="str">
        <f ca="1">IF($A43="","",IF(IF(G$2&lt;=$A$1,1,0),IF(G$4="休","",IF(COUNTIF(DATA!H:H,$A:$A)=0,"×","√")),""))</f>
        <v>√</v>
      </c>
      <c r="H43" s="34" t="str">
        <f ca="1">IF($A43="","",IF(IF(H$2&lt;=$A$1,1,0),IF(H$4="休","",IF(COUNTIF(DATA!I:I,$A:$A)=0,"×","√")),""))</f>
        <v>√</v>
      </c>
      <c r="I43" s="34" t="str">
        <f ca="1">IF($A43="","",IF(IF(I$2&lt;=$A$1,1,0),IF(I$4="休","",IF(COUNTIF(DATA!J:J,$A:$A)=0,"×","√")),""))</f>
        <v>√</v>
      </c>
      <c r="J43" s="34" t="str">
        <f ca="1">IF($A43="","",IF(IF(J$2&lt;=$A$1,1,0),IF(J$4="休","",IF(COUNTIF(DATA!K:K,$A:$A)=0,"×","√")),""))</f>
        <v>√</v>
      </c>
      <c r="K43" s="34" t="str">
        <f ca="1">IF($A43="","",IF(IF(K$2&lt;=$A$1,1,0),IF(K$4="休","",IF(COUNTIF(DATA!L:L,$A:$A)=0,"×","√")),""))</f>
        <v>√</v>
      </c>
      <c r="L43" s="34" t="str">
        <f ca="1">IF($A43="","",IF(IF(L$2&lt;=$A$1,1,0),IF(L$4="休","",IF(COUNTIF(DATA!M:M,$A:$A)=0,"×","√")),""))</f>
        <v>√</v>
      </c>
      <c r="M43" s="34" t="str">
        <f ca="1">IF($A43="","",IF(IF(M$2&lt;=$A$1,1,0),IF(M$4="休","",IF(COUNTIF(DATA!N:N,$A:$A)=0,"×","√")),""))</f>
        <v>√</v>
      </c>
      <c r="N43" s="34" t="str">
        <f ca="1">IF($A43="","",IF(IF(N$2&lt;=$A$1,1,0),IF(N$4="休","",IF(COUNTIF(DATA!O:O,$A:$A)=0,"×","√")),""))</f>
        <v>√</v>
      </c>
      <c r="O43" s="34" t="str">
        <f ca="1">IF($A43="","",IF(IF(O$2&lt;=$A$1,1,0),IF(O$4="休","",IF(COUNTIF(DATA!P:P,$A:$A)=0,"×","√")),""))</f>
        <v>×</v>
      </c>
      <c r="P43" s="34" t="str">
        <f ca="1">IF($A43="","",IF(IF(P$2&lt;=$A$1,1,0),IF(P$4="休","",IF(COUNTIF(DATA!Q:Q,$A:$A)=0,"×","√")),""))</f>
        <v/>
      </c>
      <c r="Q43" s="34" t="str">
        <f ca="1">IF($A43="","",IF(IF(Q$2&lt;=$A$1,1,0),IF(Q$4="休","",IF(COUNTIF(DATA!R:R,$A:$A)=0,"×","√")),""))</f>
        <v/>
      </c>
      <c r="R43" s="34" t="str">
        <f ca="1">IF($A43="","",IF(IF(R$2&lt;=$A$1,1,0),IF(R$4="休","",IF(COUNTIF(DATA!S:S,$A:$A)=0,"×","√")),""))</f>
        <v/>
      </c>
      <c r="S43" s="34" t="str">
        <f ca="1">IF($A43="","",IF(IF(S$2&lt;=$A$1,1,0),IF(S$4="休","",IF(COUNTIF(DATA!T:T,$A:$A)=0,"×","√")),""))</f>
        <v/>
      </c>
      <c r="T43" s="34" t="str">
        <f ca="1">IF($A43="","",IF(IF(T$2&lt;=$A$1,1,0),IF(T$4="休","",IF(COUNTIF(DATA!U:U,$A:$A)=0,"×","√")),""))</f>
        <v/>
      </c>
      <c r="U43" s="34" t="str">
        <f ca="1">IF($A43="","",IF(IF(U$2&lt;=$A$1,1,0),IF(U$4="休","",IF(COUNTIF(DATA!V:V,$A:$A)=0,"×","√")),""))</f>
        <v/>
      </c>
      <c r="V43" s="34" t="str">
        <f ca="1">IF($A43="","",IF(IF(V$2&lt;=$A$1,1,0),IF(V$4="休","",IF(COUNTIF(DATA!W:W,$A:$A)=0,"×","√")),""))</f>
        <v/>
      </c>
      <c r="W43" s="34" t="str">
        <f ca="1">IF($A43="","",IF(IF(W$2&lt;=$A$1,1,0),IF(W$4="休","",IF(COUNTIF(DATA!X:X,$A:$A)=0,"×","√")),""))</f>
        <v/>
      </c>
      <c r="X43" s="34" t="str">
        <f ca="1">IF($A43="","",IF(IF(X$2&lt;=$A$1,1,0),IF(X$4="休","",IF(COUNTIF(DATA!Y:Y,$A:$A)=0,"×","√")),""))</f>
        <v/>
      </c>
      <c r="Y43" s="34" t="str">
        <f ca="1">IF($A43="","",IF(IF(Y$2&lt;=$A$1,1,0),IF(Y$4="休","",IF(COUNTIF(DATA!Z:Z,$A:$A)=0,"×","√")),""))</f>
        <v/>
      </c>
      <c r="Z43" s="34" t="str">
        <f ca="1">IF($A43="","",IF(IF(Z$2&lt;=$A$1,1,0),IF(Z$4="休","",IF(COUNTIF(DATA!AA:AA,$A:$A)=0,"×","√")),""))</f>
        <v/>
      </c>
      <c r="AA43" s="34" t="str">
        <f ca="1">IF($A43="","",IF(IF(AA$2&lt;=$A$1,1,0),IF(AA$4="休","",IF(COUNTIF(DATA!AB:AB,$A:$A)=0,"×","√")),""))</f>
        <v/>
      </c>
      <c r="AB43" s="34" t="str">
        <f ca="1">IF($A43="","",IF(IF(AB$2&lt;=$A$1,1,0),IF(AB$4="休","",IF(COUNTIF(DATA!AC:AC,$A:$A)=0,"×","√")),""))</f>
        <v/>
      </c>
      <c r="AC43" s="34" t="str">
        <f ca="1">IF($A43="","",IF(IF(AC$2&lt;=$A$1,1,0),IF(AC$4="休","",IF(COUNTIF(DATA!AD:AD,$A:$A)=0,"×","√")),""))</f>
        <v/>
      </c>
      <c r="AD43" s="34" t="str">
        <f ca="1">IF($A43="","",IF(IF(AD$2&lt;=$A$1,1,0),IF(AD$4="休","",IF(COUNTIF(DATA!AE:AE,$A:$A)=0,"×","√")),""))</f>
        <v/>
      </c>
      <c r="AE43" s="34" t="str">
        <f ca="1">IF($A43="","",IF(IF(AE$2&lt;=$A$1,1,0),IF(AE$4="休","",IF(COUNTIF(DATA!AF:AF,$A:$A)=0,"×","√")),""))</f>
        <v/>
      </c>
      <c r="AF43" s="34" t="str">
        <f ca="1">IF($A43="","",IF(IF(AF$2&lt;=$A$1,1,0),IF(AF$4="休","",IF(COUNTIF(DATA!AG:AG,$A:$A)=0,"×","√")),""))</f>
        <v/>
      </c>
      <c r="AG43" s="34" t="str">
        <f ca="1">IF($A43="","",IF(IF(AG$2&lt;=$A$1,1,0),IF(AG$4="休","",IF(COUNTIF(DATA!AH:AH,$A:$A)=0,"×","√")),""))</f>
        <v/>
      </c>
      <c r="AH43" s="34" t="str">
        <f ca="1">IF($A43="","",IF(IF(AH$2&lt;=$A$1,1,0),IF(AH$4="休","",IF(COUNTIF(DATA!AI:AI,$A:$A)=0,"×","√")),""))</f>
        <v/>
      </c>
      <c r="AI43" s="34" t="str">
        <f ca="1">IF($A43="","",IF(IF(AI$2&lt;=$A$1,1,0),IF(AI$4="休","",IF(COUNTIF(DATA!AJ:AJ,$A:$A)=0,"×","√")),""))</f>
        <v/>
      </c>
      <c r="AJ43" s="34" t="str">
        <f ca="1">IF($A43="","",IF(IF(AJ$2&lt;=$A$1,1,0),IF(AJ$4="休","",IF(COUNTIF(DATA!AK:AK,$A:$A)=0,"×","√")),""))</f>
        <v/>
      </c>
      <c r="AK43" s="34" t="str">
        <f ca="1">IF($A43="","",IF(IF(AK$2&lt;=$A$1,1,0),IF(AK$4="休","",IF(COUNTIF(DATA!AL:AL,$A:$A)=0,"×","√")),""))</f>
        <v/>
      </c>
      <c r="AL43" s="34" t="str">
        <f ca="1">IF($A43="","",IF(IF(AL$2&lt;=$A$1,1,0),IF(AL$4="休","",IF(COUNTIF(DATA!AM:AM,$A:$A)=0,"×","√")),""))</f>
        <v/>
      </c>
      <c r="AM43" s="34" t="str">
        <f ca="1">IF($A43="","",IF(IF(AM$2&lt;=$A$1,1,0),IF(AM$4="休","",IF(COUNTIF(DATA!AN:AN,$A:$A)=0,"×","√")),""))</f>
        <v/>
      </c>
      <c r="AN43" s="34" t="str">
        <f ca="1">IF($A43="","",IF(IF(AN$2&lt;=$A$1,1,0),IF(AN$4="休","",IF(COUNTIF(DATA!AO:AO,$A:$A)=0,"×","√")),""))</f>
        <v/>
      </c>
      <c r="AO43" s="34" t="str">
        <f ca="1">IF($A43="","",IF(IF(AO$2&lt;=$A$1,1,0),IF(AO$4="休","",IF(COUNTIF(DATA!AP:AP,$A:$A)=0,"×","√")),""))</f>
        <v/>
      </c>
      <c r="AP43" s="34" t="str">
        <f ca="1">IF($A43="","",IF(IF(AP$2&lt;=$A$1,1,0),IF(AP$4="休","",IF(COUNTIF(DATA!AQ:AQ,$A:$A)=0,"×","√")),""))</f>
        <v/>
      </c>
      <c r="AQ43" s="34" t="str">
        <f ca="1">IF($A43="","",IF(IF(AQ$2&lt;=$A$1,1,0),IF(AQ$4="休","",IF(COUNTIF(DATA!AR:AR,$A:$A)=0,"×","√")),""))</f>
        <v/>
      </c>
      <c r="AR43" s="34" t="str">
        <f ca="1">IF($A43="","",IF(IF(AR$2&lt;=$A$1,1,0),IF(AR$4="休","",IF(COUNTIF(DATA!AS:AS,$A:$A)=0,"×","√")),""))</f>
        <v/>
      </c>
      <c r="AS43" s="34" t="str">
        <f ca="1">IF($A43="","",IF(IF(AS$2&lt;=$A$1,1,0),IF(AS$4="休","",IF(COUNTIF(DATA!AT:AT,$A:$A)=0,"×","√")),""))</f>
        <v/>
      </c>
      <c r="AT43" s="34" t="str">
        <f ca="1">IF($A43="","",IF(IF(AT$2&lt;=$A$1,1,0),IF(AT$4="休","",IF(COUNTIF(DATA!AU:AU,$A:$A)=0,"×","√")),""))</f>
        <v/>
      </c>
      <c r="AU43" s="34" t="str">
        <f ca="1">IF($A43="","",IF(IF(AU$2&lt;=$A$1,1,0),IF(AU$4="休","",IF(COUNTIF(DATA!AV:AV,$A:$A)=0,"×","√")),""))</f>
        <v/>
      </c>
      <c r="AV43" s="34" t="str">
        <f ca="1">IF($A43="","",IF(IF(AV$2&lt;=$A$1,1,0),IF(AV$4="休","",IF(COUNTIF(DATA!AW:AW,$A:$A)=0,"×","√")),""))</f>
        <v/>
      </c>
      <c r="AW43" s="34" t="str">
        <f ca="1">IF($A43="","",IF(IF(AW$2&lt;=$A$1,1,0),IF(AW$4="休","",IF(COUNTIF(DATA!AX:AX,$A:$A)=0,"×","√")),""))</f>
        <v/>
      </c>
      <c r="AX43" s="34" t="str">
        <f ca="1">IF($A43="","",IF(IF(AX$2&lt;=$A$1,1,0),IF(AX$4="休","",IF(COUNTIF(DATA!AY:AY,$A:$A)=0,"×","√")),""))</f>
        <v/>
      </c>
      <c r="AY43" s="34" t="str">
        <f ca="1">IF($A43="","",IF(IF(AY$2&lt;=$A$1,1,0),IF(AY$4="休","",IF(COUNTIF(DATA!AZ:AZ,$A:$A)=0,"×","√")),""))</f>
        <v/>
      </c>
      <c r="AZ43" s="34" t="str">
        <f ca="1">IF($A43="","",IF(IF(AZ$2&lt;=$A$1,1,0),IF(AZ$4="休","",IF(COUNTIF(DATA!BA:BA,$A:$A)=0,"×","√")),""))</f>
        <v/>
      </c>
      <c r="BA43" s="34" t="str">
        <f ca="1">IF($A43="","",IF(IF(BA$2&lt;=$A$1,1,0),IF(BA$4="休","",IF(COUNTIF(DATA!BB:BB,$A:$A)=0,"×","√")),""))</f>
        <v/>
      </c>
      <c r="BB43" s="34" t="str">
        <f ca="1">IF($A43="","",IF(IF(BB$2&lt;=$A$1,1,0),IF(BB$4="休","",IF(COUNTIF(DATA!BC:BC,$A:$A)=0,"×","√")),""))</f>
        <v/>
      </c>
      <c r="BC43" s="34" t="str">
        <f ca="1">IF($A43="","",IF(IF(BC$2&lt;=$A$1,1,0),IF(BC$4="休","",IF(COUNTIF(DATA!BD:BD,$A:$A)=0,"×","√")),""))</f>
        <v/>
      </c>
      <c r="BD43" s="34" t="str">
        <f ca="1">IF($A43="","",IF(IF(BD$2&lt;=$A$1,1,0),IF(BD$4="休","",IF(COUNTIF(DATA!BE:BE,$A:$A)=0,"×","√")),""))</f>
        <v/>
      </c>
      <c r="BE43" s="34" t="str">
        <f ca="1">IF($A43="","",IF(IF(BE$2&lt;=$A$1,1,0),IF(BE$4="休","",IF(COUNTIF(DATA!BF:BF,$A:$A)=0,"×","√")),""))</f>
        <v/>
      </c>
      <c r="BF43" s="34" t="str">
        <f ca="1">IF($A43="","",IF(IF(BF$2&lt;=$A$1,1,0),IF(BF$4="休","",IF(COUNTIF(DATA!BG:BG,$A:$A)=0,"×","√")),""))</f>
        <v/>
      </c>
      <c r="BG43" s="34" t="str">
        <f ca="1">IF($A43="","",IF(IF(BG$2&lt;=$A$1,1,0),IF(BG$4="休","",IF(COUNTIF(DATA!BH:BH,$A:$A)=0,"×","√")),""))</f>
        <v/>
      </c>
      <c r="BH43" s="34" t="str">
        <f ca="1">IF($A43="","",IF(IF(BH$2&lt;=$A$1,1,0),IF(BH$4="休","",IF(COUNTIF(DATA!BI:BI,$A:$A)=0,"×","√")),""))</f>
        <v/>
      </c>
      <c r="BI43" s="34" t="str">
        <f ca="1">IF($A43="","",IF(IF(BI$2&lt;=$A$1,1,0),IF(BI$4="休","",IF(COUNTIF(DATA!BJ:BJ,$A:$A)=0,"×","√")),""))</f>
        <v/>
      </c>
      <c r="BJ43" s="34" t="str">
        <f ca="1">IF($A43="","",IF(IF(BJ$2&lt;=$A$1,1,0),IF(BJ$4="休","",IF(COUNTIF(DATA!BK:BK,$A:$A)=0,"×","√")),""))</f>
        <v/>
      </c>
      <c r="BK43" s="34" t="str">
        <f ca="1">IF($A43="","",IF(IF(BK$2&lt;=$A$1,1,0),IF(BK$4="休","",IF(COUNTIF(DATA!BL:BL,$A:$A)=0,"×","√")),""))</f>
        <v/>
      </c>
      <c r="BL43" s="34" t="str">
        <f ca="1">IF($A43="","",IF(IF(BL$2&lt;=$A$1,1,0),IF(BL$4="休","",IF(COUNTIF(DATA!BM:BM,$A:$A)=0,"×","√")),""))</f>
        <v/>
      </c>
      <c r="BM43" s="34" t="str">
        <f ca="1">IF($A43="","",IF(IF(BM$2&lt;=$A$1,1,0),IF(BM$4="休","",IF(COUNTIF(DATA!BN:BN,$A:$A)=0,"×","√")),""))</f>
        <v/>
      </c>
      <c r="BN43" s="34" t="str">
        <f ca="1">IF($A43="","",IF(IF(BN$2&lt;=$A$1,1,0),IF(BN$4="休","",IF(COUNTIF(DATA!BO:BO,$A:$A)=0,"×","√")),""))</f>
        <v/>
      </c>
      <c r="BO43" s="34" t="str">
        <f ca="1">IF($A43="","",IF(IF(BO$2&lt;=$A$1,1,0),IF(BO$4="休","",IF(COUNTIF(DATA!BP:BP,$A:$A)=0,"×","√")),""))</f>
        <v/>
      </c>
      <c r="BP43" s="34" t="str">
        <f ca="1">IF($A43="","",IF(IF(BP$2&lt;=$A$1,1,0),IF(BP$4="休","",IF(COUNTIF(DATA!BQ:BQ,$A:$A)=0,"×","√")),""))</f>
        <v/>
      </c>
      <c r="BQ43" s="34" t="str">
        <f ca="1">IF($A43="","",IF(IF(BQ$2&lt;=$A$1,1,0),IF(BQ$4="休","",IF(COUNTIF(DATA!BR:BR,$A:$A)=0,"×","√")),""))</f>
        <v/>
      </c>
      <c r="BR43" s="34" t="str">
        <f ca="1">IF($A43="","",IF(IF(BR$2&lt;=$A$1,1,0),IF(BR$4="休","",IF(COUNTIF(DATA!BS:BS,$A:$A)=0,"×","√")),""))</f>
        <v/>
      </c>
      <c r="BS43" s="34" t="str">
        <f ca="1">IF($A43="","",IF(IF(BS$2&lt;=$A$1,1,0),IF(BS$4="休","",IF(COUNTIF(DATA!BT:BT,$A:$A)=0,"×","√")),""))</f>
        <v/>
      </c>
      <c r="BT43" s="34" t="str">
        <f ca="1">IF($A43="","",IF(IF(BT$2&lt;=$A$1,1,0),IF(BT$4="休","",IF(COUNTIF(DATA!BU:BU,$A:$A)=0,"×","√")),""))</f>
        <v/>
      </c>
      <c r="BU43" s="34" t="str">
        <f ca="1">IF($A43="","",IF(IF(BU$2&lt;=$A$1,1,0),IF(BU$4="休","",IF(COUNTIF(DATA!BV:BV,$A:$A)=0,"×","√")),""))</f>
        <v/>
      </c>
      <c r="BV43" s="34" t="str">
        <f ca="1">IF($A43="","",IF(IF(BV$2&lt;=$A$1,1,0),IF(BV$4="休","",IF(COUNTIF(DATA!BW:BW,$A:$A)=0,"×","√")),""))</f>
        <v/>
      </c>
      <c r="BW43" s="34" t="str">
        <f ca="1">IF($A43="","",IF(IF(BW$2&lt;=$A$1,1,0),IF(BW$4="休","",IF(COUNTIF(DATA!BX:BX,$A:$A)=0,"×","√")),""))</f>
        <v/>
      </c>
      <c r="BX43" s="34" t="str">
        <f ca="1">IF($A43="","",IF(IF(BX$2&lt;=$A$1,1,0),IF(BX$4="休","",IF(COUNTIF(DATA!BY:BY,$A:$A)=0,"×","√")),""))</f>
        <v/>
      </c>
      <c r="BY43" s="34" t="str">
        <f ca="1">IF($A43="","",IF(IF(BY$2&lt;=$A$1,1,0),IF(BY$4="休","",IF(COUNTIF(DATA!BZ:BZ,$A:$A)=0,"×","√")),""))</f>
        <v/>
      </c>
      <c r="BZ43" s="34" t="str">
        <f ca="1">IF($A43="","",IF(IF(BZ$2&lt;=$A$1,1,0),IF(BZ$4="休","",IF(COUNTIF(DATA!CA:CA,$A:$A)=0,"×","√")),""))</f>
        <v/>
      </c>
      <c r="CA43" s="34" t="str">
        <f ca="1">IF($A43="","",IF(IF(CA$2&lt;=$A$1,1,0),IF(CA$4="休","",IF(COUNTIF(DATA!CB:CB,$A:$A)=0,"×","√")),""))</f>
        <v/>
      </c>
      <c r="CB43" s="34" t="str">
        <f ca="1">IF($A43="","",IF(IF(CB$2&lt;=$A$1,1,0),IF(CB$4="休","",IF(COUNTIF(DATA!CC:CC,$A:$A)=0,"×","√")),""))</f>
        <v/>
      </c>
      <c r="CC43" s="34" t="str">
        <f ca="1">IF($A43="","",IF(IF(CC$2&lt;=$A$1,1,0),IF(CC$4="休","",IF(COUNTIF(DATA!CD:CD,$A:$A)=0,"×","√")),""))</f>
        <v/>
      </c>
      <c r="CD43" s="34" t="str">
        <f ca="1">IF($A43="","",IF(IF(CD$2&lt;=$A$1,1,0),IF(CD$4="休","",IF(COUNTIF(DATA!CE:CE,$A:$A)=0,"×","√")),""))</f>
        <v/>
      </c>
      <c r="CE43" s="34" t="str">
        <f ca="1">IF($A43="","",IF(IF(CE$2&lt;=$A$1,1,0),IF(CE$4="休","",IF(COUNTIF(DATA!CF:CF,$A:$A)=0,"×","√")),""))</f>
        <v/>
      </c>
      <c r="CF43" s="34" t="str">
        <f ca="1">IF($A43="","",IF(IF(CF$2&lt;=$A$1,1,0),IF(CF$4="休","",IF(COUNTIF(DATA!CG:CG,$A:$A)=0,"×","√")),""))</f>
        <v/>
      </c>
      <c r="CG43" s="34" t="str">
        <f ca="1">IF($A43="","",IF(IF(CG$2&lt;=$A$1,1,0),IF(CG$4="休","",IF(COUNTIF(DATA!CH:CH,$A:$A)=0,"×","√")),""))</f>
        <v/>
      </c>
      <c r="CH43" s="34" t="str">
        <f ca="1">IF($A43="","",IF(IF(CH$2&lt;=$A$1,1,0),IF(CH$4="休","",IF(COUNTIF(DATA!CI:CI,$A:$A)=0,"×","√")),""))</f>
        <v/>
      </c>
      <c r="CI43" s="34" t="str">
        <f ca="1">IF($A43="","",IF(IF(CI$2&lt;=$A$1,1,0),IF(CI$4="休","",IF(COUNTIF(DATA!CJ:CJ,$A:$A)=0,"×","√")),""))</f>
        <v/>
      </c>
      <c r="CJ43" s="34" t="str">
        <f ca="1">IF($A43="","",IF(IF(CJ$2&lt;=$A$1,1,0),IF(CJ$4="休","",IF(COUNTIF(DATA!CK:CK,$A:$A)=0,"×","√")),""))</f>
        <v/>
      </c>
      <c r="CK43" s="34" t="str">
        <f ca="1">IF($A43="","",IF(IF(CK$2&lt;=$A$1,1,0),IF(CK$4="休","",IF(COUNTIF(DATA!CL:CL,$A:$A)=0,"×","√")),""))</f>
        <v/>
      </c>
      <c r="CL43" s="34" t="str">
        <f ca="1">IF($A43="","",IF(IF(CL$2&lt;=$A$1,1,0),IF(CL$4="休","",IF(COUNTIF(DATA!CM:CM,$A:$A)=0,"×","√")),""))</f>
        <v/>
      </c>
      <c r="CM43" s="34" t="str">
        <f ca="1">IF($A43="","",IF(IF(CM$2&lt;=$A$1,1,0),IF(CM$4="休","",IF(COUNTIF(DATA!CN:CN,$A:$A)=0,"×","√")),""))</f>
        <v/>
      </c>
      <c r="CN43" s="34" t="str">
        <f ca="1">IF($A43="","",IF(IF(CN$2&lt;=$A$1,1,0),IF(CN$4="休","",IF(COUNTIF(DATA!CO:CO,$A:$A)=0,"×","√")),""))</f>
        <v/>
      </c>
      <c r="CO43" s="34" t="str">
        <f ca="1">IF($A43="","",IF(IF(CO$2&lt;=$A$1,1,0),IF(CO$4="休","",IF(COUNTIF(DATA!CP:CP,$A:$A)=0,"×","√")),""))</f>
        <v/>
      </c>
      <c r="CP43" s="34" t="str">
        <f ca="1">IF($A43="","",IF(IF(CP$2&lt;=$A$1,1,0),IF(CP$4="休","",IF(COUNTIF(DATA!CQ:CQ,$A:$A)=0,"×","√")),""))</f>
        <v/>
      </c>
      <c r="CQ43" s="34" t="str">
        <f ca="1">IF($A43="","",IF(IF(CQ$2&lt;=$A$1,1,0),IF(CQ$4="休","",IF(COUNTIF(DATA!CR:CR,$A:$A)=0,"×","√")),""))</f>
        <v/>
      </c>
      <c r="CR43" s="34" t="str">
        <f ca="1">IF($A43="","",IF(IF(CR$2&lt;=$A$1,1,0),IF(CR$4="休","",IF(COUNTIF(DATA!CS:CS,$A:$A)=0,"×","√")),""))</f>
        <v/>
      </c>
    </row>
    <row r="44" s="28" customFormat="1" ht="18.75" spans="1:96">
      <c r="A44" s="34" t="str">
        <f>DATA!$A43&amp;""</f>
        <v>王思雨</v>
      </c>
      <c r="B44" s="34" t="str">
        <f ca="1">IF($A44="","",IF(IF(B$2&lt;=$A$1,1,0),IF(B$4="休","",IF(COUNTIF(DATA!C:C,$A:$A)=0,"×","√")),""))</f>
        <v>√</v>
      </c>
      <c r="C44" s="34" t="str">
        <f ca="1">IF($A44="","",IF(IF(C$2&lt;=$A$1,1,0),IF(C$4="休","",IF(COUNTIF(DATA!D:D,$A:$A)=0,"×","√")),""))</f>
        <v>√</v>
      </c>
      <c r="D44" s="34" t="str">
        <f ca="1">IF($A44="","",IF(IF(D$2&lt;=$A$1,1,0),IF(D$4="休","",IF(COUNTIF(DATA!E:E,$A:$A)=0,"×","√")),""))</f>
        <v>√</v>
      </c>
      <c r="E44" s="34" t="str">
        <f ca="1">IF($A44="","",IF(IF(E$2&lt;=$A$1,1,0),IF(E$4="休","",IF(COUNTIF(DATA!F:F,$A:$A)=0,"×","√")),""))</f>
        <v>√</v>
      </c>
      <c r="F44" s="34" t="str">
        <f ca="1">IF($A44="","",IF(IF(F$2&lt;=$A$1,1,0),IF(F$4="休","",IF(COUNTIF(DATA!G:G,$A:$A)=0,"×","√")),""))</f>
        <v>√</v>
      </c>
      <c r="G44" s="34" t="str">
        <f ca="1">IF($A44="","",IF(IF(G$2&lt;=$A$1,1,0),IF(G$4="休","",IF(COUNTIF(DATA!H:H,$A:$A)=0,"×","√")),""))</f>
        <v>√</v>
      </c>
      <c r="H44" s="34" t="str">
        <f ca="1">IF($A44="","",IF(IF(H$2&lt;=$A$1,1,0),IF(H$4="休","",IF(COUNTIF(DATA!I:I,$A:$A)=0,"×","√")),""))</f>
        <v>√</v>
      </c>
      <c r="I44" s="34" t="str">
        <f ca="1">IF($A44="","",IF(IF(I$2&lt;=$A$1,1,0),IF(I$4="休","",IF(COUNTIF(DATA!J:J,$A:$A)=0,"×","√")),""))</f>
        <v>√</v>
      </c>
      <c r="J44" s="34" t="str">
        <f ca="1">IF($A44="","",IF(IF(J$2&lt;=$A$1,1,0),IF(J$4="休","",IF(COUNTIF(DATA!K:K,$A:$A)=0,"×","√")),""))</f>
        <v>√</v>
      </c>
      <c r="K44" s="34" t="str">
        <f ca="1">IF($A44="","",IF(IF(K$2&lt;=$A$1,1,0),IF(K$4="休","",IF(COUNTIF(DATA!L:L,$A:$A)=0,"×","√")),""))</f>
        <v>√</v>
      </c>
      <c r="L44" s="34" t="str">
        <f ca="1">IF($A44="","",IF(IF(L$2&lt;=$A$1,1,0),IF(L$4="休","",IF(COUNTIF(DATA!M:M,$A:$A)=0,"×","√")),""))</f>
        <v>√</v>
      </c>
      <c r="M44" s="34" t="str">
        <f ca="1">IF($A44="","",IF(IF(M$2&lt;=$A$1,1,0),IF(M$4="休","",IF(COUNTIF(DATA!N:N,$A:$A)=0,"×","√")),""))</f>
        <v>√</v>
      </c>
      <c r="N44" s="34" t="str">
        <f ca="1">IF($A44="","",IF(IF(N$2&lt;=$A$1,1,0),IF(N$4="休","",IF(COUNTIF(DATA!O:O,$A:$A)=0,"×","√")),""))</f>
        <v>√</v>
      </c>
      <c r="O44" s="34" t="str">
        <f ca="1">IF($A44="","",IF(IF(O$2&lt;=$A$1,1,0),IF(O$4="休","",IF(COUNTIF(DATA!P:P,$A:$A)=0,"×","√")),""))</f>
        <v>×</v>
      </c>
      <c r="P44" s="34" t="str">
        <f ca="1">IF($A44="","",IF(IF(P$2&lt;=$A$1,1,0),IF(P$4="休","",IF(COUNTIF(DATA!Q:Q,$A:$A)=0,"×","√")),""))</f>
        <v/>
      </c>
      <c r="Q44" s="34" t="str">
        <f ca="1">IF($A44="","",IF(IF(Q$2&lt;=$A$1,1,0),IF(Q$4="休","",IF(COUNTIF(DATA!R:R,$A:$A)=0,"×","√")),""))</f>
        <v/>
      </c>
      <c r="R44" s="34" t="str">
        <f ca="1">IF($A44="","",IF(IF(R$2&lt;=$A$1,1,0),IF(R$4="休","",IF(COUNTIF(DATA!S:S,$A:$A)=0,"×","√")),""))</f>
        <v/>
      </c>
      <c r="S44" s="34" t="str">
        <f ca="1">IF($A44="","",IF(IF(S$2&lt;=$A$1,1,0),IF(S$4="休","",IF(COUNTIF(DATA!T:T,$A:$A)=0,"×","√")),""))</f>
        <v/>
      </c>
      <c r="T44" s="34" t="str">
        <f ca="1">IF($A44="","",IF(IF(T$2&lt;=$A$1,1,0),IF(T$4="休","",IF(COUNTIF(DATA!U:U,$A:$A)=0,"×","√")),""))</f>
        <v/>
      </c>
      <c r="U44" s="34" t="str">
        <f ca="1">IF($A44="","",IF(IF(U$2&lt;=$A$1,1,0),IF(U$4="休","",IF(COUNTIF(DATA!V:V,$A:$A)=0,"×","√")),""))</f>
        <v/>
      </c>
      <c r="V44" s="34" t="str">
        <f ca="1">IF($A44="","",IF(IF(V$2&lt;=$A$1,1,0),IF(V$4="休","",IF(COUNTIF(DATA!W:W,$A:$A)=0,"×","√")),""))</f>
        <v/>
      </c>
      <c r="W44" s="34" t="str">
        <f ca="1">IF($A44="","",IF(IF(W$2&lt;=$A$1,1,0),IF(W$4="休","",IF(COUNTIF(DATA!X:X,$A:$A)=0,"×","√")),""))</f>
        <v/>
      </c>
      <c r="X44" s="34" t="str">
        <f ca="1">IF($A44="","",IF(IF(X$2&lt;=$A$1,1,0),IF(X$4="休","",IF(COUNTIF(DATA!Y:Y,$A:$A)=0,"×","√")),""))</f>
        <v/>
      </c>
      <c r="Y44" s="34" t="str">
        <f ca="1">IF($A44="","",IF(IF(Y$2&lt;=$A$1,1,0),IF(Y$4="休","",IF(COUNTIF(DATA!Z:Z,$A:$A)=0,"×","√")),""))</f>
        <v/>
      </c>
      <c r="Z44" s="34" t="str">
        <f ca="1">IF($A44="","",IF(IF(Z$2&lt;=$A$1,1,0),IF(Z$4="休","",IF(COUNTIF(DATA!AA:AA,$A:$A)=0,"×","√")),""))</f>
        <v/>
      </c>
      <c r="AA44" s="34" t="str">
        <f ca="1">IF($A44="","",IF(IF(AA$2&lt;=$A$1,1,0),IF(AA$4="休","",IF(COUNTIF(DATA!AB:AB,$A:$A)=0,"×","√")),""))</f>
        <v/>
      </c>
      <c r="AB44" s="34" t="str">
        <f ca="1">IF($A44="","",IF(IF(AB$2&lt;=$A$1,1,0),IF(AB$4="休","",IF(COUNTIF(DATA!AC:AC,$A:$A)=0,"×","√")),""))</f>
        <v/>
      </c>
      <c r="AC44" s="34" t="str">
        <f ca="1">IF($A44="","",IF(IF(AC$2&lt;=$A$1,1,0),IF(AC$4="休","",IF(COUNTIF(DATA!AD:AD,$A:$A)=0,"×","√")),""))</f>
        <v/>
      </c>
      <c r="AD44" s="34" t="str">
        <f ca="1">IF($A44="","",IF(IF(AD$2&lt;=$A$1,1,0),IF(AD$4="休","",IF(COUNTIF(DATA!AE:AE,$A:$A)=0,"×","√")),""))</f>
        <v/>
      </c>
      <c r="AE44" s="34" t="str">
        <f ca="1">IF($A44="","",IF(IF(AE$2&lt;=$A$1,1,0),IF(AE$4="休","",IF(COUNTIF(DATA!AF:AF,$A:$A)=0,"×","√")),""))</f>
        <v/>
      </c>
      <c r="AF44" s="34" t="str">
        <f ca="1">IF($A44="","",IF(IF(AF$2&lt;=$A$1,1,0),IF(AF$4="休","",IF(COUNTIF(DATA!AG:AG,$A:$A)=0,"×","√")),""))</f>
        <v/>
      </c>
      <c r="AG44" s="34" t="str">
        <f ca="1">IF($A44="","",IF(IF(AG$2&lt;=$A$1,1,0),IF(AG$4="休","",IF(COUNTIF(DATA!AH:AH,$A:$A)=0,"×","√")),""))</f>
        <v/>
      </c>
      <c r="AH44" s="34" t="str">
        <f ca="1">IF($A44="","",IF(IF(AH$2&lt;=$A$1,1,0),IF(AH$4="休","",IF(COUNTIF(DATA!AI:AI,$A:$A)=0,"×","√")),""))</f>
        <v/>
      </c>
      <c r="AI44" s="34" t="str">
        <f ca="1">IF($A44="","",IF(IF(AI$2&lt;=$A$1,1,0),IF(AI$4="休","",IF(COUNTIF(DATA!AJ:AJ,$A:$A)=0,"×","√")),""))</f>
        <v/>
      </c>
      <c r="AJ44" s="34" t="str">
        <f ca="1">IF($A44="","",IF(IF(AJ$2&lt;=$A$1,1,0),IF(AJ$4="休","",IF(COUNTIF(DATA!AK:AK,$A:$A)=0,"×","√")),""))</f>
        <v/>
      </c>
      <c r="AK44" s="34" t="str">
        <f ca="1">IF($A44="","",IF(IF(AK$2&lt;=$A$1,1,0),IF(AK$4="休","",IF(COUNTIF(DATA!AL:AL,$A:$A)=0,"×","√")),""))</f>
        <v/>
      </c>
      <c r="AL44" s="34" t="str">
        <f ca="1">IF($A44="","",IF(IF(AL$2&lt;=$A$1,1,0),IF(AL$4="休","",IF(COUNTIF(DATA!AM:AM,$A:$A)=0,"×","√")),""))</f>
        <v/>
      </c>
      <c r="AM44" s="34" t="str">
        <f ca="1">IF($A44="","",IF(IF(AM$2&lt;=$A$1,1,0),IF(AM$4="休","",IF(COUNTIF(DATA!AN:AN,$A:$A)=0,"×","√")),""))</f>
        <v/>
      </c>
      <c r="AN44" s="34" t="str">
        <f ca="1">IF($A44="","",IF(IF(AN$2&lt;=$A$1,1,0),IF(AN$4="休","",IF(COUNTIF(DATA!AO:AO,$A:$A)=0,"×","√")),""))</f>
        <v/>
      </c>
      <c r="AO44" s="34" t="str">
        <f ca="1">IF($A44="","",IF(IF(AO$2&lt;=$A$1,1,0),IF(AO$4="休","",IF(COUNTIF(DATA!AP:AP,$A:$A)=0,"×","√")),""))</f>
        <v/>
      </c>
      <c r="AP44" s="34" t="str">
        <f ca="1">IF($A44="","",IF(IF(AP$2&lt;=$A$1,1,0),IF(AP$4="休","",IF(COUNTIF(DATA!AQ:AQ,$A:$A)=0,"×","√")),""))</f>
        <v/>
      </c>
      <c r="AQ44" s="34" t="str">
        <f ca="1">IF($A44="","",IF(IF(AQ$2&lt;=$A$1,1,0),IF(AQ$4="休","",IF(COUNTIF(DATA!AR:AR,$A:$A)=0,"×","√")),""))</f>
        <v/>
      </c>
      <c r="AR44" s="34" t="str">
        <f ca="1">IF($A44="","",IF(IF(AR$2&lt;=$A$1,1,0),IF(AR$4="休","",IF(COUNTIF(DATA!AS:AS,$A:$A)=0,"×","√")),""))</f>
        <v/>
      </c>
      <c r="AS44" s="34" t="str">
        <f ca="1">IF($A44="","",IF(IF(AS$2&lt;=$A$1,1,0),IF(AS$4="休","",IF(COUNTIF(DATA!AT:AT,$A:$A)=0,"×","√")),""))</f>
        <v/>
      </c>
      <c r="AT44" s="34" t="str">
        <f ca="1">IF($A44="","",IF(IF(AT$2&lt;=$A$1,1,0),IF(AT$4="休","",IF(COUNTIF(DATA!AU:AU,$A:$A)=0,"×","√")),""))</f>
        <v/>
      </c>
      <c r="AU44" s="34" t="str">
        <f ca="1">IF($A44="","",IF(IF(AU$2&lt;=$A$1,1,0),IF(AU$4="休","",IF(COUNTIF(DATA!AV:AV,$A:$A)=0,"×","√")),""))</f>
        <v/>
      </c>
      <c r="AV44" s="34" t="str">
        <f ca="1">IF($A44="","",IF(IF(AV$2&lt;=$A$1,1,0),IF(AV$4="休","",IF(COUNTIF(DATA!AW:AW,$A:$A)=0,"×","√")),""))</f>
        <v/>
      </c>
      <c r="AW44" s="34" t="str">
        <f ca="1">IF($A44="","",IF(IF(AW$2&lt;=$A$1,1,0),IF(AW$4="休","",IF(COUNTIF(DATA!AX:AX,$A:$A)=0,"×","√")),""))</f>
        <v/>
      </c>
      <c r="AX44" s="34" t="str">
        <f ca="1">IF($A44="","",IF(IF(AX$2&lt;=$A$1,1,0),IF(AX$4="休","",IF(COUNTIF(DATA!AY:AY,$A:$A)=0,"×","√")),""))</f>
        <v/>
      </c>
      <c r="AY44" s="34" t="str">
        <f ca="1">IF($A44="","",IF(IF(AY$2&lt;=$A$1,1,0),IF(AY$4="休","",IF(COUNTIF(DATA!AZ:AZ,$A:$A)=0,"×","√")),""))</f>
        <v/>
      </c>
      <c r="AZ44" s="34" t="str">
        <f ca="1">IF($A44="","",IF(IF(AZ$2&lt;=$A$1,1,0),IF(AZ$4="休","",IF(COUNTIF(DATA!BA:BA,$A:$A)=0,"×","√")),""))</f>
        <v/>
      </c>
      <c r="BA44" s="34" t="str">
        <f ca="1">IF($A44="","",IF(IF(BA$2&lt;=$A$1,1,0),IF(BA$4="休","",IF(COUNTIF(DATA!BB:BB,$A:$A)=0,"×","√")),""))</f>
        <v/>
      </c>
      <c r="BB44" s="34" t="str">
        <f ca="1">IF($A44="","",IF(IF(BB$2&lt;=$A$1,1,0),IF(BB$4="休","",IF(COUNTIF(DATA!BC:BC,$A:$A)=0,"×","√")),""))</f>
        <v/>
      </c>
      <c r="BC44" s="34" t="str">
        <f ca="1">IF($A44="","",IF(IF(BC$2&lt;=$A$1,1,0),IF(BC$4="休","",IF(COUNTIF(DATA!BD:BD,$A:$A)=0,"×","√")),""))</f>
        <v/>
      </c>
      <c r="BD44" s="34" t="str">
        <f ca="1">IF($A44="","",IF(IF(BD$2&lt;=$A$1,1,0),IF(BD$4="休","",IF(COUNTIF(DATA!BE:BE,$A:$A)=0,"×","√")),""))</f>
        <v/>
      </c>
      <c r="BE44" s="34" t="str">
        <f ca="1">IF($A44="","",IF(IF(BE$2&lt;=$A$1,1,0),IF(BE$4="休","",IF(COUNTIF(DATA!BF:BF,$A:$A)=0,"×","√")),""))</f>
        <v/>
      </c>
      <c r="BF44" s="34" t="str">
        <f ca="1">IF($A44="","",IF(IF(BF$2&lt;=$A$1,1,0),IF(BF$4="休","",IF(COUNTIF(DATA!BG:BG,$A:$A)=0,"×","√")),""))</f>
        <v/>
      </c>
      <c r="BG44" s="34" t="str">
        <f ca="1">IF($A44="","",IF(IF(BG$2&lt;=$A$1,1,0),IF(BG$4="休","",IF(COUNTIF(DATA!BH:BH,$A:$A)=0,"×","√")),""))</f>
        <v/>
      </c>
      <c r="BH44" s="34" t="str">
        <f ca="1">IF($A44="","",IF(IF(BH$2&lt;=$A$1,1,0),IF(BH$4="休","",IF(COUNTIF(DATA!BI:BI,$A:$A)=0,"×","√")),""))</f>
        <v/>
      </c>
      <c r="BI44" s="34" t="str">
        <f ca="1">IF($A44="","",IF(IF(BI$2&lt;=$A$1,1,0),IF(BI$4="休","",IF(COUNTIF(DATA!BJ:BJ,$A:$A)=0,"×","√")),""))</f>
        <v/>
      </c>
      <c r="BJ44" s="34" t="str">
        <f ca="1">IF($A44="","",IF(IF(BJ$2&lt;=$A$1,1,0),IF(BJ$4="休","",IF(COUNTIF(DATA!BK:BK,$A:$A)=0,"×","√")),""))</f>
        <v/>
      </c>
      <c r="BK44" s="34" t="str">
        <f ca="1">IF($A44="","",IF(IF(BK$2&lt;=$A$1,1,0),IF(BK$4="休","",IF(COUNTIF(DATA!BL:BL,$A:$A)=0,"×","√")),""))</f>
        <v/>
      </c>
      <c r="BL44" s="34" t="str">
        <f ca="1">IF($A44="","",IF(IF(BL$2&lt;=$A$1,1,0),IF(BL$4="休","",IF(COUNTIF(DATA!BM:BM,$A:$A)=0,"×","√")),""))</f>
        <v/>
      </c>
      <c r="BM44" s="34" t="str">
        <f ca="1">IF($A44="","",IF(IF(BM$2&lt;=$A$1,1,0),IF(BM$4="休","",IF(COUNTIF(DATA!BN:BN,$A:$A)=0,"×","√")),""))</f>
        <v/>
      </c>
      <c r="BN44" s="34" t="str">
        <f ca="1">IF($A44="","",IF(IF(BN$2&lt;=$A$1,1,0),IF(BN$4="休","",IF(COUNTIF(DATA!BO:BO,$A:$A)=0,"×","√")),""))</f>
        <v/>
      </c>
      <c r="BO44" s="34" t="str">
        <f ca="1">IF($A44="","",IF(IF(BO$2&lt;=$A$1,1,0),IF(BO$4="休","",IF(COUNTIF(DATA!BP:BP,$A:$A)=0,"×","√")),""))</f>
        <v/>
      </c>
      <c r="BP44" s="34" t="str">
        <f ca="1">IF($A44="","",IF(IF(BP$2&lt;=$A$1,1,0),IF(BP$4="休","",IF(COUNTIF(DATA!BQ:BQ,$A:$A)=0,"×","√")),""))</f>
        <v/>
      </c>
      <c r="BQ44" s="34" t="str">
        <f ca="1">IF($A44="","",IF(IF(BQ$2&lt;=$A$1,1,0),IF(BQ$4="休","",IF(COUNTIF(DATA!BR:BR,$A:$A)=0,"×","√")),""))</f>
        <v/>
      </c>
      <c r="BR44" s="34" t="str">
        <f ca="1">IF($A44="","",IF(IF(BR$2&lt;=$A$1,1,0),IF(BR$4="休","",IF(COUNTIF(DATA!BS:BS,$A:$A)=0,"×","√")),""))</f>
        <v/>
      </c>
      <c r="BS44" s="34" t="str">
        <f ca="1">IF($A44="","",IF(IF(BS$2&lt;=$A$1,1,0),IF(BS$4="休","",IF(COUNTIF(DATA!BT:BT,$A:$A)=0,"×","√")),""))</f>
        <v/>
      </c>
      <c r="BT44" s="34" t="str">
        <f ca="1">IF($A44="","",IF(IF(BT$2&lt;=$A$1,1,0),IF(BT$4="休","",IF(COUNTIF(DATA!BU:BU,$A:$A)=0,"×","√")),""))</f>
        <v/>
      </c>
      <c r="BU44" s="34" t="str">
        <f ca="1">IF($A44="","",IF(IF(BU$2&lt;=$A$1,1,0),IF(BU$4="休","",IF(COUNTIF(DATA!BV:BV,$A:$A)=0,"×","√")),""))</f>
        <v/>
      </c>
      <c r="BV44" s="34" t="str">
        <f ca="1">IF($A44="","",IF(IF(BV$2&lt;=$A$1,1,0),IF(BV$4="休","",IF(COUNTIF(DATA!BW:BW,$A:$A)=0,"×","√")),""))</f>
        <v/>
      </c>
      <c r="BW44" s="34" t="str">
        <f ca="1">IF($A44="","",IF(IF(BW$2&lt;=$A$1,1,0),IF(BW$4="休","",IF(COUNTIF(DATA!BX:BX,$A:$A)=0,"×","√")),""))</f>
        <v/>
      </c>
      <c r="BX44" s="34" t="str">
        <f ca="1">IF($A44="","",IF(IF(BX$2&lt;=$A$1,1,0),IF(BX$4="休","",IF(COUNTIF(DATA!BY:BY,$A:$A)=0,"×","√")),""))</f>
        <v/>
      </c>
      <c r="BY44" s="34" t="str">
        <f ca="1">IF($A44="","",IF(IF(BY$2&lt;=$A$1,1,0),IF(BY$4="休","",IF(COUNTIF(DATA!BZ:BZ,$A:$A)=0,"×","√")),""))</f>
        <v/>
      </c>
      <c r="BZ44" s="34" t="str">
        <f ca="1">IF($A44="","",IF(IF(BZ$2&lt;=$A$1,1,0),IF(BZ$4="休","",IF(COUNTIF(DATA!CA:CA,$A:$A)=0,"×","√")),""))</f>
        <v/>
      </c>
      <c r="CA44" s="34" t="str">
        <f ca="1">IF($A44="","",IF(IF(CA$2&lt;=$A$1,1,0),IF(CA$4="休","",IF(COUNTIF(DATA!CB:CB,$A:$A)=0,"×","√")),""))</f>
        <v/>
      </c>
      <c r="CB44" s="34" t="str">
        <f ca="1">IF($A44="","",IF(IF(CB$2&lt;=$A$1,1,0),IF(CB$4="休","",IF(COUNTIF(DATA!CC:CC,$A:$A)=0,"×","√")),""))</f>
        <v/>
      </c>
      <c r="CC44" s="34" t="str">
        <f ca="1">IF($A44="","",IF(IF(CC$2&lt;=$A$1,1,0),IF(CC$4="休","",IF(COUNTIF(DATA!CD:CD,$A:$A)=0,"×","√")),""))</f>
        <v/>
      </c>
      <c r="CD44" s="34" t="str">
        <f ca="1">IF($A44="","",IF(IF(CD$2&lt;=$A$1,1,0),IF(CD$4="休","",IF(COUNTIF(DATA!CE:CE,$A:$A)=0,"×","√")),""))</f>
        <v/>
      </c>
      <c r="CE44" s="34" t="str">
        <f ca="1">IF($A44="","",IF(IF(CE$2&lt;=$A$1,1,0),IF(CE$4="休","",IF(COUNTIF(DATA!CF:CF,$A:$A)=0,"×","√")),""))</f>
        <v/>
      </c>
      <c r="CF44" s="34" t="str">
        <f ca="1">IF($A44="","",IF(IF(CF$2&lt;=$A$1,1,0),IF(CF$4="休","",IF(COUNTIF(DATA!CG:CG,$A:$A)=0,"×","√")),""))</f>
        <v/>
      </c>
      <c r="CG44" s="34" t="str">
        <f ca="1">IF($A44="","",IF(IF(CG$2&lt;=$A$1,1,0),IF(CG$4="休","",IF(COUNTIF(DATA!CH:CH,$A:$A)=0,"×","√")),""))</f>
        <v/>
      </c>
      <c r="CH44" s="34" t="str">
        <f ca="1">IF($A44="","",IF(IF(CH$2&lt;=$A$1,1,0),IF(CH$4="休","",IF(COUNTIF(DATA!CI:CI,$A:$A)=0,"×","√")),""))</f>
        <v/>
      </c>
      <c r="CI44" s="34" t="str">
        <f ca="1">IF($A44="","",IF(IF(CI$2&lt;=$A$1,1,0),IF(CI$4="休","",IF(COUNTIF(DATA!CJ:CJ,$A:$A)=0,"×","√")),""))</f>
        <v/>
      </c>
      <c r="CJ44" s="34" t="str">
        <f ca="1">IF($A44="","",IF(IF(CJ$2&lt;=$A$1,1,0),IF(CJ$4="休","",IF(COUNTIF(DATA!CK:CK,$A:$A)=0,"×","√")),""))</f>
        <v/>
      </c>
      <c r="CK44" s="34" t="str">
        <f ca="1">IF($A44="","",IF(IF(CK$2&lt;=$A$1,1,0),IF(CK$4="休","",IF(COUNTIF(DATA!CL:CL,$A:$A)=0,"×","√")),""))</f>
        <v/>
      </c>
      <c r="CL44" s="34" t="str">
        <f ca="1">IF($A44="","",IF(IF(CL$2&lt;=$A$1,1,0),IF(CL$4="休","",IF(COUNTIF(DATA!CM:CM,$A:$A)=0,"×","√")),""))</f>
        <v/>
      </c>
      <c r="CM44" s="34" t="str">
        <f ca="1">IF($A44="","",IF(IF(CM$2&lt;=$A$1,1,0),IF(CM$4="休","",IF(COUNTIF(DATA!CN:CN,$A:$A)=0,"×","√")),""))</f>
        <v/>
      </c>
      <c r="CN44" s="34" t="str">
        <f ca="1">IF($A44="","",IF(IF(CN$2&lt;=$A$1,1,0),IF(CN$4="休","",IF(COUNTIF(DATA!CO:CO,$A:$A)=0,"×","√")),""))</f>
        <v/>
      </c>
      <c r="CO44" s="34" t="str">
        <f ca="1">IF($A44="","",IF(IF(CO$2&lt;=$A$1,1,0),IF(CO$4="休","",IF(COUNTIF(DATA!CP:CP,$A:$A)=0,"×","√")),""))</f>
        <v/>
      </c>
      <c r="CP44" s="34" t="str">
        <f ca="1">IF($A44="","",IF(IF(CP$2&lt;=$A$1,1,0),IF(CP$4="休","",IF(COUNTIF(DATA!CQ:CQ,$A:$A)=0,"×","√")),""))</f>
        <v/>
      </c>
      <c r="CQ44" s="34" t="str">
        <f ca="1">IF($A44="","",IF(IF(CQ$2&lt;=$A$1,1,0),IF(CQ$4="休","",IF(COUNTIF(DATA!CR:CR,$A:$A)=0,"×","√")),""))</f>
        <v/>
      </c>
      <c r="CR44" s="34" t="str">
        <f ca="1">IF($A44="","",IF(IF(CR$2&lt;=$A$1,1,0),IF(CR$4="休","",IF(COUNTIF(DATA!CS:CS,$A:$A)=0,"×","√")),""))</f>
        <v/>
      </c>
    </row>
    <row r="45" s="28" customFormat="1" ht="18.75" spans="1:96">
      <c r="A45" s="34" t="str">
        <f>DATA!$A44&amp;""</f>
        <v>陈纳森</v>
      </c>
      <c r="B45" s="34" t="str">
        <f ca="1">IF($A45="","",IF(IF(B$2&lt;=$A$1,1,0),IF(B$4="休","",IF(COUNTIF(DATA!C:C,$A:$A)=0,"×","√")),""))</f>
        <v>×</v>
      </c>
      <c r="C45" s="34" t="str">
        <f ca="1">IF($A45="","",IF(IF(C$2&lt;=$A$1,1,0),IF(C$4="休","",IF(COUNTIF(DATA!D:D,$A:$A)=0,"×","√")),""))</f>
        <v>×</v>
      </c>
      <c r="D45" s="34" t="str">
        <f ca="1">IF($A45="","",IF(IF(D$2&lt;=$A$1,1,0),IF(D$4="休","",IF(COUNTIF(DATA!E:E,$A:$A)=0,"×","√")),""))</f>
        <v>×</v>
      </c>
      <c r="E45" s="34" t="str">
        <f ca="1">IF($A45="","",IF(IF(E$2&lt;=$A$1,1,0),IF(E$4="休","",IF(COUNTIF(DATA!F:F,$A:$A)=0,"×","√")),""))</f>
        <v>×</v>
      </c>
      <c r="F45" s="34" t="str">
        <f ca="1">IF($A45="","",IF(IF(F$2&lt;=$A$1,1,0),IF(F$4="休","",IF(COUNTIF(DATA!G:G,$A:$A)=0,"×","√")),""))</f>
        <v>×</v>
      </c>
      <c r="G45" s="34" t="str">
        <f ca="1">IF($A45="","",IF(IF(G$2&lt;=$A$1,1,0),IF(G$4="休","",IF(COUNTIF(DATA!H:H,$A:$A)=0,"×","√")),""))</f>
        <v>×</v>
      </c>
      <c r="H45" s="34" t="str">
        <f ca="1">IF($A45="","",IF(IF(H$2&lt;=$A$1,1,0),IF(H$4="休","",IF(COUNTIF(DATA!I:I,$A:$A)=0,"×","√")),""))</f>
        <v>×</v>
      </c>
      <c r="I45" s="34" t="str">
        <f ca="1">IF($A45="","",IF(IF(I$2&lt;=$A$1,1,0),IF(I$4="休","",IF(COUNTIF(DATA!J:J,$A:$A)=0,"×","√")),""))</f>
        <v>×</v>
      </c>
      <c r="J45" s="34" t="str">
        <f ca="1">IF($A45="","",IF(IF(J$2&lt;=$A$1,1,0),IF(J$4="休","",IF(COUNTIF(DATA!K:K,$A:$A)=0,"×","√")),""))</f>
        <v>×</v>
      </c>
      <c r="K45" s="34" t="str">
        <f ca="1">IF($A45="","",IF(IF(K$2&lt;=$A$1,1,0),IF(K$4="休","",IF(COUNTIF(DATA!L:L,$A:$A)=0,"×","√")),""))</f>
        <v>×</v>
      </c>
      <c r="L45" s="34" t="str">
        <f ca="1">IF($A45="","",IF(IF(L$2&lt;=$A$1,1,0),IF(L$4="休","",IF(COUNTIF(DATA!M:M,$A:$A)=0,"×","√")),""))</f>
        <v>×</v>
      </c>
      <c r="M45" s="34" t="str">
        <f ca="1">IF($A45="","",IF(IF(M$2&lt;=$A$1,1,0),IF(M$4="休","",IF(COUNTIF(DATA!N:N,$A:$A)=0,"×","√")),""))</f>
        <v>×</v>
      </c>
      <c r="N45" s="34" t="str">
        <f ca="1">IF($A45="","",IF(IF(N$2&lt;=$A$1,1,0),IF(N$4="休","",IF(COUNTIF(DATA!O:O,$A:$A)=0,"×","√")),""))</f>
        <v>×</v>
      </c>
      <c r="O45" s="34" t="str">
        <f ca="1">IF($A45="","",IF(IF(O$2&lt;=$A$1,1,0),IF(O$4="休","",IF(COUNTIF(DATA!P:P,$A:$A)=0,"×","√")),""))</f>
        <v>×</v>
      </c>
      <c r="P45" s="34" t="str">
        <f ca="1">IF($A45="","",IF(IF(P$2&lt;=$A$1,1,0),IF(P$4="休","",IF(COUNTIF(DATA!Q:Q,$A:$A)=0,"×","√")),""))</f>
        <v/>
      </c>
      <c r="Q45" s="34" t="str">
        <f ca="1">IF($A45="","",IF(IF(Q$2&lt;=$A$1,1,0),IF(Q$4="休","",IF(COUNTIF(DATA!R:R,$A:$A)=0,"×","√")),""))</f>
        <v/>
      </c>
      <c r="R45" s="34" t="str">
        <f ca="1">IF($A45="","",IF(IF(R$2&lt;=$A$1,1,0),IF(R$4="休","",IF(COUNTIF(DATA!S:S,$A:$A)=0,"×","√")),""))</f>
        <v/>
      </c>
      <c r="S45" s="34" t="str">
        <f ca="1">IF($A45="","",IF(IF(S$2&lt;=$A$1,1,0),IF(S$4="休","",IF(COUNTIF(DATA!T:T,$A:$A)=0,"×","√")),""))</f>
        <v/>
      </c>
      <c r="T45" s="34" t="str">
        <f ca="1">IF($A45="","",IF(IF(T$2&lt;=$A$1,1,0),IF(T$4="休","",IF(COUNTIF(DATA!U:U,$A:$A)=0,"×","√")),""))</f>
        <v/>
      </c>
      <c r="U45" s="34" t="str">
        <f ca="1">IF($A45="","",IF(IF(U$2&lt;=$A$1,1,0),IF(U$4="休","",IF(COUNTIF(DATA!V:V,$A:$A)=0,"×","√")),""))</f>
        <v/>
      </c>
      <c r="V45" s="34" t="str">
        <f ca="1">IF($A45="","",IF(IF(V$2&lt;=$A$1,1,0),IF(V$4="休","",IF(COUNTIF(DATA!W:W,$A:$A)=0,"×","√")),""))</f>
        <v/>
      </c>
      <c r="W45" s="34" t="str">
        <f ca="1">IF($A45="","",IF(IF(W$2&lt;=$A$1,1,0),IF(W$4="休","",IF(COUNTIF(DATA!X:X,$A:$A)=0,"×","√")),""))</f>
        <v/>
      </c>
      <c r="X45" s="34" t="str">
        <f ca="1">IF($A45="","",IF(IF(X$2&lt;=$A$1,1,0),IF(X$4="休","",IF(COUNTIF(DATA!Y:Y,$A:$A)=0,"×","√")),""))</f>
        <v/>
      </c>
      <c r="Y45" s="34" t="str">
        <f ca="1">IF($A45="","",IF(IF(Y$2&lt;=$A$1,1,0),IF(Y$4="休","",IF(COUNTIF(DATA!Z:Z,$A:$A)=0,"×","√")),""))</f>
        <v/>
      </c>
      <c r="Z45" s="34" t="str">
        <f ca="1">IF($A45="","",IF(IF(Z$2&lt;=$A$1,1,0),IF(Z$4="休","",IF(COUNTIF(DATA!AA:AA,$A:$A)=0,"×","√")),""))</f>
        <v/>
      </c>
      <c r="AA45" s="34" t="str">
        <f ca="1">IF($A45="","",IF(IF(AA$2&lt;=$A$1,1,0),IF(AA$4="休","",IF(COUNTIF(DATA!AB:AB,$A:$A)=0,"×","√")),""))</f>
        <v/>
      </c>
      <c r="AB45" s="34" t="str">
        <f ca="1">IF($A45="","",IF(IF(AB$2&lt;=$A$1,1,0),IF(AB$4="休","",IF(COUNTIF(DATA!AC:AC,$A:$A)=0,"×","√")),""))</f>
        <v/>
      </c>
      <c r="AC45" s="34" t="str">
        <f ca="1">IF($A45="","",IF(IF(AC$2&lt;=$A$1,1,0),IF(AC$4="休","",IF(COUNTIF(DATA!AD:AD,$A:$A)=0,"×","√")),""))</f>
        <v/>
      </c>
      <c r="AD45" s="34" t="str">
        <f ca="1">IF($A45="","",IF(IF(AD$2&lt;=$A$1,1,0),IF(AD$4="休","",IF(COUNTIF(DATA!AE:AE,$A:$A)=0,"×","√")),""))</f>
        <v/>
      </c>
      <c r="AE45" s="34" t="str">
        <f ca="1">IF($A45="","",IF(IF(AE$2&lt;=$A$1,1,0),IF(AE$4="休","",IF(COUNTIF(DATA!AF:AF,$A:$A)=0,"×","√")),""))</f>
        <v/>
      </c>
      <c r="AF45" s="34" t="str">
        <f ca="1">IF($A45="","",IF(IF(AF$2&lt;=$A$1,1,0),IF(AF$4="休","",IF(COUNTIF(DATA!AG:AG,$A:$A)=0,"×","√")),""))</f>
        <v/>
      </c>
      <c r="AG45" s="34" t="str">
        <f ca="1">IF($A45="","",IF(IF(AG$2&lt;=$A$1,1,0),IF(AG$4="休","",IF(COUNTIF(DATA!AH:AH,$A:$A)=0,"×","√")),""))</f>
        <v/>
      </c>
      <c r="AH45" s="34" t="str">
        <f ca="1">IF($A45="","",IF(IF(AH$2&lt;=$A$1,1,0),IF(AH$4="休","",IF(COUNTIF(DATA!AI:AI,$A:$A)=0,"×","√")),""))</f>
        <v/>
      </c>
      <c r="AI45" s="34" t="str">
        <f ca="1">IF($A45="","",IF(IF(AI$2&lt;=$A$1,1,0),IF(AI$4="休","",IF(COUNTIF(DATA!AJ:AJ,$A:$A)=0,"×","√")),""))</f>
        <v/>
      </c>
      <c r="AJ45" s="34" t="str">
        <f ca="1">IF($A45="","",IF(IF(AJ$2&lt;=$A$1,1,0),IF(AJ$4="休","",IF(COUNTIF(DATA!AK:AK,$A:$A)=0,"×","√")),""))</f>
        <v/>
      </c>
      <c r="AK45" s="34" t="str">
        <f ca="1">IF($A45="","",IF(IF(AK$2&lt;=$A$1,1,0),IF(AK$4="休","",IF(COUNTIF(DATA!AL:AL,$A:$A)=0,"×","√")),""))</f>
        <v/>
      </c>
      <c r="AL45" s="34" t="str">
        <f ca="1">IF($A45="","",IF(IF(AL$2&lt;=$A$1,1,0),IF(AL$4="休","",IF(COUNTIF(DATA!AM:AM,$A:$A)=0,"×","√")),""))</f>
        <v/>
      </c>
      <c r="AM45" s="34" t="str">
        <f ca="1">IF($A45="","",IF(IF(AM$2&lt;=$A$1,1,0),IF(AM$4="休","",IF(COUNTIF(DATA!AN:AN,$A:$A)=0,"×","√")),""))</f>
        <v/>
      </c>
      <c r="AN45" s="34" t="str">
        <f ca="1">IF($A45="","",IF(IF(AN$2&lt;=$A$1,1,0),IF(AN$4="休","",IF(COUNTIF(DATA!AO:AO,$A:$A)=0,"×","√")),""))</f>
        <v/>
      </c>
      <c r="AO45" s="34" t="str">
        <f ca="1">IF($A45="","",IF(IF(AO$2&lt;=$A$1,1,0),IF(AO$4="休","",IF(COUNTIF(DATA!AP:AP,$A:$A)=0,"×","√")),""))</f>
        <v/>
      </c>
      <c r="AP45" s="34" t="str">
        <f ca="1">IF($A45="","",IF(IF(AP$2&lt;=$A$1,1,0),IF(AP$4="休","",IF(COUNTIF(DATA!AQ:AQ,$A:$A)=0,"×","√")),""))</f>
        <v/>
      </c>
      <c r="AQ45" s="34" t="str">
        <f ca="1">IF($A45="","",IF(IF(AQ$2&lt;=$A$1,1,0),IF(AQ$4="休","",IF(COUNTIF(DATA!AR:AR,$A:$A)=0,"×","√")),""))</f>
        <v/>
      </c>
      <c r="AR45" s="34" t="str">
        <f ca="1">IF($A45="","",IF(IF(AR$2&lt;=$A$1,1,0),IF(AR$4="休","",IF(COUNTIF(DATA!AS:AS,$A:$A)=0,"×","√")),""))</f>
        <v/>
      </c>
      <c r="AS45" s="34" t="str">
        <f ca="1">IF($A45="","",IF(IF(AS$2&lt;=$A$1,1,0),IF(AS$4="休","",IF(COUNTIF(DATA!AT:AT,$A:$A)=0,"×","√")),""))</f>
        <v/>
      </c>
      <c r="AT45" s="34" t="str">
        <f ca="1">IF($A45="","",IF(IF(AT$2&lt;=$A$1,1,0),IF(AT$4="休","",IF(COUNTIF(DATA!AU:AU,$A:$A)=0,"×","√")),""))</f>
        <v/>
      </c>
      <c r="AU45" s="34" t="str">
        <f ca="1">IF($A45="","",IF(IF(AU$2&lt;=$A$1,1,0),IF(AU$4="休","",IF(COUNTIF(DATA!AV:AV,$A:$A)=0,"×","√")),""))</f>
        <v/>
      </c>
      <c r="AV45" s="34" t="str">
        <f ca="1">IF($A45="","",IF(IF(AV$2&lt;=$A$1,1,0),IF(AV$4="休","",IF(COUNTIF(DATA!AW:AW,$A:$A)=0,"×","√")),""))</f>
        <v/>
      </c>
      <c r="AW45" s="34" t="str">
        <f ca="1">IF($A45="","",IF(IF(AW$2&lt;=$A$1,1,0),IF(AW$4="休","",IF(COUNTIF(DATA!AX:AX,$A:$A)=0,"×","√")),""))</f>
        <v/>
      </c>
      <c r="AX45" s="34" t="str">
        <f ca="1">IF($A45="","",IF(IF(AX$2&lt;=$A$1,1,0),IF(AX$4="休","",IF(COUNTIF(DATA!AY:AY,$A:$A)=0,"×","√")),""))</f>
        <v/>
      </c>
      <c r="AY45" s="34" t="str">
        <f ca="1">IF($A45="","",IF(IF(AY$2&lt;=$A$1,1,0),IF(AY$4="休","",IF(COUNTIF(DATA!AZ:AZ,$A:$A)=0,"×","√")),""))</f>
        <v/>
      </c>
      <c r="AZ45" s="34" t="str">
        <f ca="1">IF($A45="","",IF(IF(AZ$2&lt;=$A$1,1,0),IF(AZ$4="休","",IF(COUNTIF(DATA!BA:BA,$A:$A)=0,"×","√")),""))</f>
        <v/>
      </c>
      <c r="BA45" s="34" t="str">
        <f ca="1">IF($A45="","",IF(IF(BA$2&lt;=$A$1,1,0),IF(BA$4="休","",IF(COUNTIF(DATA!BB:BB,$A:$A)=0,"×","√")),""))</f>
        <v/>
      </c>
      <c r="BB45" s="34" t="str">
        <f ca="1">IF($A45="","",IF(IF(BB$2&lt;=$A$1,1,0),IF(BB$4="休","",IF(COUNTIF(DATA!BC:BC,$A:$A)=0,"×","√")),""))</f>
        <v/>
      </c>
      <c r="BC45" s="34" t="str">
        <f ca="1">IF($A45="","",IF(IF(BC$2&lt;=$A$1,1,0),IF(BC$4="休","",IF(COUNTIF(DATA!BD:BD,$A:$A)=0,"×","√")),""))</f>
        <v/>
      </c>
      <c r="BD45" s="34" t="str">
        <f ca="1">IF($A45="","",IF(IF(BD$2&lt;=$A$1,1,0),IF(BD$4="休","",IF(COUNTIF(DATA!BE:BE,$A:$A)=0,"×","√")),""))</f>
        <v/>
      </c>
      <c r="BE45" s="34" t="str">
        <f ca="1">IF($A45="","",IF(IF(BE$2&lt;=$A$1,1,0),IF(BE$4="休","",IF(COUNTIF(DATA!BF:BF,$A:$A)=0,"×","√")),""))</f>
        <v/>
      </c>
      <c r="BF45" s="34" t="str">
        <f ca="1">IF($A45="","",IF(IF(BF$2&lt;=$A$1,1,0),IF(BF$4="休","",IF(COUNTIF(DATA!BG:BG,$A:$A)=0,"×","√")),""))</f>
        <v/>
      </c>
      <c r="BG45" s="34" t="str">
        <f ca="1">IF($A45="","",IF(IF(BG$2&lt;=$A$1,1,0),IF(BG$4="休","",IF(COUNTIF(DATA!BH:BH,$A:$A)=0,"×","√")),""))</f>
        <v/>
      </c>
      <c r="BH45" s="34" t="str">
        <f ca="1">IF($A45="","",IF(IF(BH$2&lt;=$A$1,1,0),IF(BH$4="休","",IF(COUNTIF(DATA!BI:BI,$A:$A)=0,"×","√")),""))</f>
        <v/>
      </c>
      <c r="BI45" s="34" t="str">
        <f ca="1">IF($A45="","",IF(IF(BI$2&lt;=$A$1,1,0),IF(BI$4="休","",IF(COUNTIF(DATA!BJ:BJ,$A:$A)=0,"×","√")),""))</f>
        <v/>
      </c>
      <c r="BJ45" s="34" t="str">
        <f ca="1">IF($A45="","",IF(IF(BJ$2&lt;=$A$1,1,0),IF(BJ$4="休","",IF(COUNTIF(DATA!BK:BK,$A:$A)=0,"×","√")),""))</f>
        <v/>
      </c>
      <c r="BK45" s="34" t="str">
        <f ca="1">IF($A45="","",IF(IF(BK$2&lt;=$A$1,1,0),IF(BK$4="休","",IF(COUNTIF(DATA!BL:BL,$A:$A)=0,"×","√")),""))</f>
        <v/>
      </c>
      <c r="BL45" s="34" t="str">
        <f ca="1">IF($A45="","",IF(IF(BL$2&lt;=$A$1,1,0),IF(BL$4="休","",IF(COUNTIF(DATA!BM:BM,$A:$A)=0,"×","√")),""))</f>
        <v/>
      </c>
      <c r="BM45" s="34" t="str">
        <f ca="1">IF($A45="","",IF(IF(BM$2&lt;=$A$1,1,0),IF(BM$4="休","",IF(COUNTIF(DATA!BN:BN,$A:$A)=0,"×","√")),""))</f>
        <v/>
      </c>
      <c r="BN45" s="34" t="str">
        <f ca="1">IF($A45="","",IF(IF(BN$2&lt;=$A$1,1,0),IF(BN$4="休","",IF(COUNTIF(DATA!BO:BO,$A:$A)=0,"×","√")),""))</f>
        <v/>
      </c>
      <c r="BO45" s="34" t="str">
        <f ca="1">IF($A45="","",IF(IF(BO$2&lt;=$A$1,1,0),IF(BO$4="休","",IF(COUNTIF(DATA!BP:BP,$A:$A)=0,"×","√")),""))</f>
        <v/>
      </c>
      <c r="BP45" s="34" t="str">
        <f ca="1">IF($A45="","",IF(IF(BP$2&lt;=$A$1,1,0),IF(BP$4="休","",IF(COUNTIF(DATA!BQ:BQ,$A:$A)=0,"×","√")),""))</f>
        <v/>
      </c>
      <c r="BQ45" s="34" t="str">
        <f ca="1">IF($A45="","",IF(IF(BQ$2&lt;=$A$1,1,0),IF(BQ$4="休","",IF(COUNTIF(DATA!BR:BR,$A:$A)=0,"×","√")),""))</f>
        <v/>
      </c>
      <c r="BR45" s="34" t="str">
        <f ca="1">IF($A45="","",IF(IF(BR$2&lt;=$A$1,1,0),IF(BR$4="休","",IF(COUNTIF(DATA!BS:BS,$A:$A)=0,"×","√")),""))</f>
        <v/>
      </c>
      <c r="BS45" s="34" t="str">
        <f ca="1">IF($A45="","",IF(IF(BS$2&lt;=$A$1,1,0),IF(BS$4="休","",IF(COUNTIF(DATA!BT:BT,$A:$A)=0,"×","√")),""))</f>
        <v/>
      </c>
      <c r="BT45" s="34" t="str">
        <f ca="1">IF($A45="","",IF(IF(BT$2&lt;=$A$1,1,0),IF(BT$4="休","",IF(COUNTIF(DATA!BU:BU,$A:$A)=0,"×","√")),""))</f>
        <v/>
      </c>
      <c r="BU45" s="34" t="str">
        <f ca="1">IF($A45="","",IF(IF(BU$2&lt;=$A$1,1,0),IF(BU$4="休","",IF(COUNTIF(DATA!BV:BV,$A:$A)=0,"×","√")),""))</f>
        <v/>
      </c>
      <c r="BV45" s="34" t="str">
        <f ca="1">IF($A45="","",IF(IF(BV$2&lt;=$A$1,1,0),IF(BV$4="休","",IF(COUNTIF(DATA!BW:BW,$A:$A)=0,"×","√")),""))</f>
        <v/>
      </c>
      <c r="BW45" s="34" t="str">
        <f ca="1">IF($A45="","",IF(IF(BW$2&lt;=$A$1,1,0),IF(BW$4="休","",IF(COUNTIF(DATA!BX:BX,$A:$A)=0,"×","√")),""))</f>
        <v/>
      </c>
      <c r="BX45" s="34" t="str">
        <f ca="1">IF($A45="","",IF(IF(BX$2&lt;=$A$1,1,0),IF(BX$4="休","",IF(COUNTIF(DATA!BY:BY,$A:$A)=0,"×","√")),""))</f>
        <v/>
      </c>
      <c r="BY45" s="34" t="str">
        <f ca="1">IF($A45="","",IF(IF(BY$2&lt;=$A$1,1,0),IF(BY$4="休","",IF(COUNTIF(DATA!BZ:BZ,$A:$A)=0,"×","√")),""))</f>
        <v/>
      </c>
      <c r="BZ45" s="34" t="str">
        <f ca="1">IF($A45="","",IF(IF(BZ$2&lt;=$A$1,1,0),IF(BZ$4="休","",IF(COUNTIF(DATA!CA:CA,$A:$A)=0,"×","√")),""))</f>
        <v/>
      </c>
      <c r="CA45" s="34" t="str">
        <f ca="1">IF($A45="","",IF(IF(CA$2&lt;=$A$1,1,0),IF(CA$4="休","",IF(COUNTIF(DATA!CB:CB,$A:$A)=0,"×","√")),""))</f>
        <v/>
      </c>
      <c r="CB45" s="34" t="str">
        <f ca="1">IF($A45="","",IF(IF(CB$2&lt;=$A$1,1,0),IF(CB$4="休","",IF(COUNTIF(DATA!CC:CC,$A:$A)=0,"×","√")),""))</f>
        <v/>
      </c>
      <c r="CC45" s="34" t="str">
        <f ca="1">IF($A45="","",IF(IF(CC$2&lt;=$A$1,1,0),IF(CC$4="休","",IF(COUNTIF(DATA!CD:CD,$A:$A)=0,"×","√")),""))</f>
        <v/>
      </c>
      <c r="CD45" s="34" t="str">
        <f ca="1">IF($A45="","",IF(IF(CD$2&lt;=$A$1,1,0),IF(CD$4="休","",IF(COUNTIF(DATA!CE:CE,$A:$A)=0,"×","√")),""))</f>
        <v/>
      </c>
      <c r="CE45" s="34" t="str">
        <f ca="1">IF($A45="","",IF(IF(CE$2&lt;=$A$1,1,0),IF(CE$4="休","",IF(COUNTIF(DATA!CF:CF,$A:$A)=0,"×","√")),""))</f>
        <v/>
      </c>
      <c r="CF45" s="34" t="str">
        <f ca="1">IF($A45="","",IF(IF(CF$2&lt;=$A$1,1,0),IF(CF$4="休","",IF(COUNTIF(DATA!CG:CG,$A:$A)=0,"×","√")),""))</f>
        <v/>
      </c>
      <c r="CG45" s="34" t="str">
        <f ca="1">IF($A45="","",IF(IF(CG$2&lt;=$A$1,1,0),IF(CG$4="休","",IF(COUNTIF(DATA!CH:CH,$A:$A)=0,"×","√")),""))</f>
        <v/>
      </c>
      <c r="CH45" s="34" t="str">
        <f ca="1">IF($A45="","",IF(IF(CH$2&lt;=$A$1,1,0),IF(CH$4="休","",IF(COUNTIF(DATA!CI:CI,$A:$A)=0,"×","√")),""))</f>
        <v/>
      </c>
      <c r="CI45" s="34" t="str">
        <f ca="1">IF($A45="","",IF(IF(CI$2&lt;=$A$1,1,0),IF(CI$4="休","",IF(COUNTIF(DATA!CJ:CJ,$A:$A)=0,"×","√")),""))</f>
        <v/>
      </c>
      <c r="CJ45" s="34" t="str">
        <f ca="1">IF($A45="","",IF(IF(CJ$2&lt;=$A$1,1,0),IF(CJ$4="休","",IF(COUNTIF(DATA!CK:CK,$A:$A)=0,"×","√")),""))</f>
        <v/>
      </c>
      <c r="CK45" s="34" t="str">
        <f ca="1">IF($A45="","",IF(IF(CK$2&lt;=$A$1,1,0),IF(CK$4="休","",IF(COUNTIF(DATA!CL:CL,$A:$A)=0,"×","√")),""))</f>
        <v/>
      </c>
      <c r="CL45" s="34" t="str">
        <f ca="1">IF($A45="","",IF(IF(CL$2&lt;=$A$1,1,0),IF(CL$4="休","",IF(COUNTIF(DATA!CM:CM,$A:$A)=0,"×","√")),""))</f>
        <v/>
      </c>
      <c r="CM45" s="34" t="str">
        <f ca="1">IF($A45="","",IF(IF(CM$2&lt;=$A$1,1,0),IF(CM$4="休","",IF(COUNTIF(DATA!CN:CN,$A:$A)=0,"×","√")),""))</f>
        <v/>
      </c>
      <c r="CN45" s="34" t="str">
        <f ca="1">IF($A45="","",IF(IF(CN$2&lt;=$A$1,1,0),IF(CN$4="休","",IF(COUNTIF(DATA!CO:CO,$A:$A)=0,"×","√")),""))</f>
        <v/>
      </c>
      <c r="CO45" s="34" t="str">
        <f ca="1">IF($A45="","",IF(IF(CO$2&lt;=$A$1,1,0),IF(CO$4="休","",IF(COUNTIF(DATA!CP:CP,$A:$A)=0,"×","√")),""))</f>
        <v/>
      </c>
      <c r="CP45" s="34" t="str">
        <f ca="1">IF($A45="","",IF(IF(CP$2&lt;=$A$1,1,0),IF(CP$4="休","",IF(COUNTIF(DATA!CQ:CQ,$A:$A)=0,"×","√")),""))</f>
        <v/>
      </c>
      <c r="CQ45" s="34" t="str">
        <f ca="1">IF($A45="","",IF(IF(CQ$2&lt;=$A$1,1,0),IF(CQ$4="休","",IF(COUNTIF(DATA!CR:CR,$A:$A)=0,"×","√")),""))</f>
        <v/>
      </c>
      <c r="CR45" s="34" t="str">
        <f ca="1">IF($A45="","",IF(IF(CR$2&lt;=$A$1,1,0),IF(CR$4="休","",IF(COUNTIF(DATA!CS:CS,$A:$A)=0,"×","√")),""))</f>
        <v/>
      </c>
    </row>
  </sheetData>
  <sheetProtection algorithmName="SHA-512" hashValue="2mAGo/9YaYyDPENgwYVm7hNj5kjkYrX5BocHKfXNp42R6CnXWdxnSKB8r6hyZOk/saQrLMe/Y7RjRxg/mbB9zg==" saltValue="77aWRRZsSAuuQbeZLHmF3w==" spinCount="100000" sheet="1" objects="1" scenarios="1"/>
  <mergeCells count="2">
    <mergeCell ref="A1:AH1"/>
    <mergeCell ref="A2:A3"/>
  </mergeCells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1"/>
  </sheetPr>
  <dimension ref="A1:CS204"/>
  <sheetViews>
    <sheetView workbookViewId="0">
      <selection activeCell="A1" sqref="A1:CS200"/>
    </sheetView>
  </sheetViews>
  <sheetFormatPr defaultColWidth="10.625" defaultRowHeight="16.5"/>
  <cols>
    <col min="1" max="1" width="12.625" style="8" customWidth="1"/>
    <col min="2" max="97" width="12.625" style="7" customWidth="1"/>
    <col min="98" max="16384" width="10.625" style="7" hidden="1" customWidth="1"/>
  </cols>
  <sheetData>
    <row r="1" s="5" customFormat="1" spans="1:97">
      <c r="A1" s="9" t="s">
        <v>73</v>
      </c>
      <c r="B1" s="10" t="s">
        <v>74</v>
      </c>
      <c r="C1" s="11">
        <v>44224</v>
      </c>
      <c r="D1" s="11">
        <v>44225</v>
      </c>
      <c r="E1" s="11">
        <v>44226</v>
      </c>
      <c r="F1" s="11">
        <v>44227</v>
      </c>
      <c r="G1" s="11">
        <v>44228</v>
      </c>
      <c r="H1" s="11">
        <v>44229</v>
      </c>
      <c r="I1" s="11">
        <v>44230</v>
      </c>
      <c r="J1" s="11">
        <v>44231</v>
      </c>
      <c r="K1" s="11">
        <v>44232</v>
      </c>
      <c r="L1" s="11">
        <v>44233</v>
      </c>
      <c r="M1" s="11">
        <v>44234</v>
      </c>
      <c r="N1" s="11">
        <v>44235</v>
      </c>
      <c r="O1" s="11">
        <v>44236</v>
      </c>
      <c r="P1" s="11">
        <v>44237</v>
      </c>
      <c r="Q1" s="11">
        <v>44238</v>
      </c>
      <c r="R1" s="11">
        <v>44239</v>
      </c>
      <c r="S1" s="11">
        <v>44240</v>
      </c>
      <c r="T1" s="11">
        <v>44241</v>
      </c>
      <c r="U1" s="11">
        <v>44242</v>
      </c>
      <c r="V1" s="11">
        <v>44243</v>
      </c>
      <c r="W1" s="11">
        <v>44244</v>
      </c>
      <c r="X1" s="11">
        <v>44245</v>
      </c>
      <c r="Y1" s="11">
        <v>44246</v>
      </c>
      <c r="Z1" s="11">
        <v>44247</v>
      </c>
      <c r="AA1" s="11">
        <v>44248</v>
      </c>
      <c r="AB1" s="11">
        <v>44249</v>
      </c>
      <c r="AC1" s="11">
        <v>44250</v>
      </c>
      <c r="AD1" s="11">
        <v>44251</v>
      </c>
      <c r="AE1" s="11">
        <v>44252</v>
      </c>
      <c r="AF1" s="11">
        <v>44253</v>
      </c>
      <c r="AG1" s="11">
        <v>44254</v>
      </c>
      <c r="AH1" s="11">
        <v>44255</v>
      </c>
      <c r="AI1" s="11">
        <v>44256</v>
      </c>
      <c r="AJ1" s="11">
        <v>44257</v>
      </c>
      <c r="AK1" s="11">
        <v>44258</v>
      </c>
      <c r="AL1" s="11">
        <v>44259</v>
      </c>
      <c r="AM1" s="11">
        <v>44260</v>
      </c>
      <c r="AN1" s="11">
        <v>44261</v>
      </c>
      <c r="AO1" s="11">
        <v>44262</v>
      </c>
      <c r="AP1" s="11">
        <v>44263</v>
      </c>
      <c r="AQ1" s="11">
        <v>44264</v>
      </c>
      <c r="AR1" s="11">
        <v>44265</v>
      </c>
      <c r="AS1" s="11">
        <v>44266</v>
      </c>
      <c r="AT1" s="11">
        <v>44267</v>
      </c>
      <c r="AU1" s="11">
        <v>44268</v>
      </c>
      <c r="AV1" s="11">
        <v>44269</v>
      </c>
      <c r="AW1" s="11">
        <v>44270</v>
      </c>
      <c r="AX1" s="11">
        <v>44271</v>
      </c>
      <c r="AY1" s="11">
        <v>44272</v>
      </c>
      <c r="AZ1" s="11">
        <v>44273</v>
      </c>
      <c r="BA1" s="11">
        <v>44274</v>
      </c>
      <c r="BB1" s="11">
        <v>44275</v>
      </c>
      <c r="BC1" s="11">
        <v>44276</v>
      </c>
      <c r="BD1" s="11">
        <v>44277</v>
      </c>
      <c r="BE1" s="11">
        <v>44278</v>
      </c>
      <c r="BF1" s="11">
        <v>44279</v>
      </c>
      <c r="BG1" s="11">
        <v>44280</v>
      </c>
      <c r="BH1" s="11">
        <v>44281</v>
      </c>
      <c r="BI1" s="11">
        <v>44282</v>
      </c>
      <c r="BJ1" s="11">
        <v>44283</v>
      </c>
      <c r="BK1" s="11">
        <v>44284</v>
      </c>
      <c r="BL1" s="11">
        <v>44285</v>
      </c>
      <c r="BM1" s="11">
        <v>44286</v>
      </c>
      <c r="BN1" s="11">
        <v>44287</v>
      </c>
      <c r="BO1" s="11">
        <v>44288</v>
      </c>
      <c r="BP1" s="11">
        <v>44289</v>
      </c>
      <c r="BQ1" s="11">
        <v>44290</v>
      </c>
      <c r="BR1" s="11">
        <v>44291</v>
      </c>
      <c r="BS1" s="11">
        <v>44292</v>
      </c>
      <c r="BT1" s="11">
        <v>44293</v>
      </c>
      <c r="BU1" s="11">
        <v>44294</v>
      </c>
      <c r="BV1" s="11">
        <v>44295</v>
      </c>
      <c r="BW1" s="11">
        <v>44296</v>
      </c>
      <c r="BX1" s="11">
        <v>44297</v>
      </c>
      <c r="BY1" s="11">
        <v>44298</v>
      </c>
      <c r="BZ1" s="11">
        <v>44299</v>
      </c>
      <c r="CA1" s="11">
        <v>44300</v>
      </c>
      <c r="CB1" s="11">
        <v>44301</v>
      </c>
      <c r="CC1" s="11">
        <v>44302</v>
      </c>
      <c r="CD1" s="11">
        <v>44303</v>
      </c>
      <c r="CE1" s="11">
        <v>44304</v>
      </c>
      <c r="CF1" s="11">
        <v>44305</v>
      </c>
      <c r="CG1" s="11">
        <v>44306</v>
      </c>
      <c r="CH1" s="11">
        <v>44307</v>
      </c>
      <c r="CI1" s="11">
        <v>44308</v>
      </c>
      <c r="CJ1" s="11">
        <v>44309</v>
      </c>
      <c r="CK1" s="11">
        <v>44310</v>
      </c>
      <c r="CL1" s="11">
        <v>44311</v>
      </c>
      <c r="CM1" s="11">
        <v>44312</v>
      </c>
      <c r="CN1" s="11">
        <v>44313</v>
      </c>
      <c r="CO1" s="11">
        <v>44314</v>
      </c>
      <c r="CP1" s="11">
        <v>44315</v>
      </c>
      <c r="CQ1" s="11">
        <v>44316</v>
      </c>
      <c r="CR1" s="11">
        <v>44317</v>
      </c>
      <c r="CS1" s="11">
        <v>44318</v>
      </c>
    </row>
    <row r="2" s="5" customFormat="1" spans="1:97">
      <c r="A2" s="9" t="s">
        <v>75</v>
      </c>
      <c r="B2" s="10"/>
      <c r="C2" s="11" t="s">
        <v>76</v>
      </c>
      <c r="D2" s="11" t="s">
        <v>77</v>
      </c>
      <c r="E2" s="11" t="s">
        <v>78</v>
      </c>
      <c r="F2" s="11" t="s">
        <v>79</v>
      </c>
      <c r="G2" s="11" t="s">
        <v>80</v>
      </c>
      <c r="H2" s="11" t="s">
        <v>81</v>
      </c>
      <c r="I2" s="11" t="s">
        <v>82</v>
      </c>
      <c r="J2" s="11" t="s">
        <v>76</v>
      </c>
      <c r="K2" s="11" t="s">
        <v>77</v>
      </c>
      <c r="L2" s="11" t="s">
        <v>78</v>
      </c>
      <c r="M2" s="11" t="s">
        <v>79</v>
      </c>
      <c r="N2" s="11" t="s">
        <v>80</v>
      </c>
      <c r="O2" s="11" t="s">
        <v>81</v>
      </c>
      <c r="P2" s="11" t="s">
        <v>82</v>
      </c>
      <c r="Q2" s="11" t="s">
        <v>76</v>
      </c>
      <c r="R2" s="11" t="s">
        <v>77</v>
      </c>
      <c r="S2" s="11" t="s">
        <v>78</v>
      </c>
      <c r="T2" s="11" t="s">
        <v>79</v>
      </c>
      <c r="U2" s="11" t="s">
        <v>80</v>
      </c>
      <c r="V2" s="11" t="s">
        <v>81</v>
      </c>
      <c r="W2" s="11" t="s">
        <v>82</v>
      </c>
      <c r="X2" s="11" t="s">
        <v>76</v>
      </c>
      <c r="Y2" s="11" t="s">
        <v>77</v>
      </c>
      <c r="Z2" s="11" t="s">
        <v>78</v>
      </c>
      <c r="AA2" s="11" t="s">
        <v>79</v>
      </c>
      <c r="AB2" s="11" t="s">
        <v>80</v>
      </c>
      <c r="AC2" s="11" t="s">
        <v>81</v>
      </c>
      <c r="AD2" s="11" t="s">
        <v>82</v>
      </c>
      <c r="AE2" s="11" t="s">
        <v>76</v>
      </c>
      <c r="AF2" s="11" t="s">
        <v>77</v>
      </c>
      <c r="AG2" s="11" t="s">
        <v>78</v>
      </c>
      <c r="AH2" s="11" t="s">
        <v>79</v>
      </c>
      <c r="AI2" s="11" t="s">
        <v>80</v>
      </c>
      <c r="AJ2" s="11" t="s">
        <v>81</v>
      </c>
      <c r="AK2" s="11" t="s">
        <v>82</v>
      </c>
      <c r="AL2" s="11" t="s">
        <v>76</v>
      </c>
      <c r="AM2" s="11" t="s">
        <v>77</v>
      </c>
      <c r="AN2" s="11" t="s">
        <v>78</v>
      </c>
      <c r="AO2" s="11" t="s">
        <v>79</v>
      </c>
      <c r="AP2" s="11" t="s">
        <v>80</v>
      </c>
      <c r="AQ2" s="11" t="s">
        <v>81</v>
      </c>
      <c r="AR2" s="11" t="s">
        <v>82</v>
      </c>
      <c r="AS2" s="11" t="s">
        <v>76</v>
      </c>
      <c r="AT2" s="11" t="s">
        <v>77</v>
      </c>
      <c r="AU2" s="11" t="s">
        <v>78</v>
      </c>
      <c r="AV2" s="11" t="s">
        <v>79</v>
      </c>
      <c r="AW2" s="11" t="s">
        <v>80</v>
      </c>
      <c r="AX2" s="11" t="s">
        <v>81</v>
      </c>
      <c r="AY2" s="11" t="s">
        <v>82</v>
      </c>
      <c r="AZ2" s="11" t="s">
        <v>76</v>
      </c>
      <c r="BA2" s="11" t="s">
        <v>77</v>
      </c>
      <c r="BB2" s="11" t="s">
        <v>78</v>
      </c>
      <c r="BC2" s="11" t="s">
        <v>79</v>
      </c>
      <c r="BD2" s="11" t="s">
        <v>80</v>
      </c>
      <c r="BE2" s="11" t="s">
        <v>81</v>
      </c>
      <c r="BF2" s="11" t="s">
        <v>82</v>
      </c>
      <c r="BG2" s="11" t="s">
        <v>76</v>
      </c>
      <c r="BH2" s="11" t="s">
        <v>77</v>
      </c>
      <c r="BI2" s="11" t="s">
        <v>78</v>
      </c>
      <c r="BJ2" s="11" t="s">
        <v>79</v>
      </c>
      <c r="BK2" s="11" t="s">
        <v>80</v>
      </c>
      <c r="BL2" s="11" t="s">
        <v>81</v>
      </c>
      <c r="BM2" s="11" t="s">
        <v>82</v>
      </c>
      <c r="BN2" s="11" t="s">
        <v>76</v>
      </c>
      <c r="BO2" s="11" t="s">
        <v>77</v>
      </c>
      <c r="BP2" s="11" t="s">
        <v>78</v>
      </c>
      <c r="BQ2" s="11" t="s">
        <v>79</v>
      </c>
      <c r="BR2" s="11" t="s">
        <v>80</v>
      </c>
      <c r="BS2" s="11" t="s">
        <v>81</v>
      </c>
      <c r="BT2" s="11" t="s">
        <v>82</v>
      </c>
      <c r="BU2" s="11" t="s">
        <v>76</v>
      </c>
      <c r="BV2" s="11" t="s">
        <v>77</v>
      </c>
      <c r="BW2" s="11" t="s">
        <v>78</v>
      </c>
      <c r="BX2" s="11" t="s">
        <v>79</v>
      </c>
      <c r="BY2" s="11" t="s">
        <v>80</v>
      </c>
      <c r="BZ2" s="11" t="s">
        <v>81</v>
      </c>
      <c r="CA2" s="11" t="s">
        <v>82</v>
      </c>
      <c r="CB2" s="11" t="s">
        <v>76</v>
      </c>
      <c r="CC2" s="11" t="s">
        <v>77</v>
      </c>
      <c r="CD2" s="11" t="s">
        <v>78</v>
      </c>
      <c r="CE2" s="11" t="s">
        <v>79</v>
      </c>
      <c r="CF2" s="11" t="s">
        <v>80</v>
      </c>
      <c r="CG2" s="11" t="s">
        <v>81</v>
      </c>
      <c r="CH2" s="11" t="s">
        <v>82</v>
      </c>
      <c r="CI2" s="11" t="s">
        <v>76</v>
      </c>
      <c r="CJ2" s="11" t="s">
        <v>77</v>
      </c>
      <c r="CK2" s="11" t="s">
        <v>78</v>
      </c>
      <c r="CL2" s="11" t="s">
        <v>79</v>
      </c>
      <c r="CM2" s="11" t="s">
        <v>80</v>
      </c>
      <c r="CN2" s="11" t="s">
        <v>81</v>
      </c>
      <c r="CO2" s="11" t="s">
        <v>82</v>
      </c>
      <c r="CP2" s="11" t="s">
        <v>76</v>
      </c>
      <c r="CQ2" s="11" t="s">
        <v>77</v>
      </c>
      <c r="CR2" s="11" t="s">
        <v>78</v>
      </c>
      <c r="CS2" s="11" t="s">
        <v>79</v>
      </c>
    </row>
    <row r="3" s="5" customFormat="1" spans="1:97">
      <c r="A3" s="9"/>
      <c r="B3" s="10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</row>
    <row r="4" s="6" customFormat="1" spans="1:97">
      <c r="A4" s="12" t="s">
        <v>22</v>
      </c>
      <c r="B4" s="13"/>
      <c r="C4" s="14" t="s">
        <v>35</v>
      </c>
      <c r="D4" s="15"/>
      <c r="E4" s="15"/>
      <c r="F4" s="15"/>
      <c r="G4" s="15"/>
      <c r="H4" s="15"/>
      <c r="I4" s="19"/>
      <c r="J4" s="19"/>
      <c r="K4" s="20"/>
      <c r="L4" s="20"/>
      <c r="M4" s="20"/>
      <c r="N4" s="20"/>
      <c r="O4" s="20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</row>
    <row r="5" s="6" customFormat="1" spans="1:97">
      <c r="A5" s="12" t="s">
        <v>24</v>
      </c>
      <c r="B5" s="13"/>
      <c r="C5" s="14" t="s">
        <v>31</v>
      </c>
      <c r="D5" s="16" t="s">
        <v>66</v>
      </c>
      <c r="E5" s="16" t="s">
        <v>52</v>
      </c>
      <c r="F5" s="16" t="s">
        <v>67</v>
      </c>
      <c r="G5" s="16" t="s">
        <v>43</v>
      </c>
      <c r="H5" s="16" t="s">
        <v>29</v>
      </c>
      <c r="I5" s="21" t="s">
        <v>67</v>
      </c>
      <c r="J5" s="21" t="s">
        <v>68</v>
      </c>
      <c r="K5" s="22" t="s">
        <v>43</v>
      </c>
      <c r="L5" s="22" t="s">
        <v>60</v>
      </c>
      <c r="M5" s="22" t="s">
        <v>43</v>
      </c>
      <c r="N5" s="22" t="s">
        <v>67</v>
      </c>
      <c r="O5" s="22" t="s">
        <v>22</v>
      </c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</row>
    <row r="6" s="6" customFormat="1" spans="1:97">
      <c r="A6" s="12" t="s">
        <v>25</v>
      </c>
      <c r="B6" s="13"/>
      <c r="C6" s="14" t="s">
        <v>48</v>
      </c>
      <c r="D6" s="17" t="s">
        <v>83</v>
      </c>
      <c r="E6" s="17" t="s">
        <v>84</v>
      </c>
      <c r="F6" s="17" t="s">
        <v>85</v>
      </c>
      <c r="G6" s="17" t="s">
        <v>86</v>
      </c>
      <c r="H6" s="17" t="s">
        <v>87</v>
      </c>
      <c r="I6" s="23" t="s">
        <v>88</v>
      </c>
      <c r="J6" s="23" t="s">
        <v>89</v>
      </c>
      <c r="K6" s="24" t="s">
        <v>90</v>
      </c>
      <c r="L6" s="24" t="s">
        <v>91</v>
      </c>
      <c r="M6" s="24" t="s">
        <v>92</v>
      </c>
      <c r="N6" s="24" t="s">
        <v>93</v>
      </c>
      <c r="O6" s="24" t="s">
        <v>94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</row>
    <row r="7" s="6" customFormat="1" spans="1:97">
      <c r="A7" s="12" t="s">
        <v>27</v>
      </c>
      <c r="B7" s="13"/>
      <c r="C7" s="14" t="s">
        <v>42</v>
      </c>
      <c r="D7" s="16"/>
      <c r="E7" s="16"/>
      <c r="F7" s="16"/>
      <c r="G7" s="16"/>
      <c r="H7" s="16"/>
      <c r="I7" s="21"/>
      <c r="J7" s="21"/>
      <c r="K7" s="22"/>
      <c r="L7" s="22"/>
      <c r="M7" s="22"/>
      <c r="N7" s="22"/>
      <c r="O7" s="22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</row>
    <row r="8" s="6" customFormat="1" spans="1:97">
      <c r="A8" s="12" t="s">
        <v>29</v>
      </c>
      <c r="B8" s="13"/>
      <c r="C8" s="14" t="s">
        <v>40</v>
      </c>
      <c r="D8" s="15"/>
      <c r="E8" s="15"/>
      <c r="F8" s="15"/>
      <c r="G8" s="15"/>
      <c r="H8" s="15"/>
      <c r="I8" s="19"/>
      <c r="J8" s="19"/>
      <c r="K8" s="20"/>
      <c r="L8" s="20"/>
      <c r="M8" s="20"/>
      <c r="N8" s="20"/>
      <c r="O8" s="20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</row>
    <row r="9" s="6" customFormat="1" spans="1:97">
      <c r="A9" s="12" t="s">
        <v>31</v>
      </c>
      <c r="B9" s="13"/>
      <c r="C9" s="14" t="s">
        <v>54</v>
      </c>
      <c r="D9" s="16" t="s">
        <v>52</v>
      </c>
      <c r="E9" s="16" t="s">
        <v>43</v>
      </c>
      <c r="F9" s="16" t="s">
        <v>43</v>
      </c>
      <c r="G9" s="16" t="s">
        <v>63</v>
      </c>
      <c r="H9" s="16" t="s">
        <v>39</v>
      </c>
      <c r="I9" s="21" t="s">
        <v>38</v>
      </c>
      <c r="J9" s="21" t="s">
        <v>59</v>
      </c>
      <c r="K9" s="22" t="s">
        <v>66</v>
      </c>
      <c r="L9" s="22" t="s">
        <v>38</v>
      </c>
      <c r="M9" s="22" t="s">
        <v>29</v>
      </c>
      <c r="N9" s="22" t="s">
        <v>43</v>
      </c>
      <c r="O9" s="22" t="s">
        <v>39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</row>
    <row r="10" s="6" customFormat="1" spans="1:97">
      <c r="A10" s="12" t="s">
        <v>33</v>
      </c>
      <c r="B10" s="13"/>
      <c r="C10" s="14" t="s">
        <v>62</v>
      </c>
      <c r="D10" s="17" t="s">
        <v>95</v>
      </c>
      <c r="E10" s="17" t="s">
        <v>96</v>
      </c>
      <c r="F10" s="17" t="s">
        <v>97</v>
      </c>
      <c r="G10" s="17" t="s">
        <v>98</v>
      </c>
      <c r="H10" s="17" t="s">
        <v>99</v>
      </c>
      <c r="I10" s="23" t="s">
        <v>100</v>
      </c>
      <c r="J10" s="23" t="s">
        <v>101</v>
      </c>
      <c r="K10" s="24" t="s">
        <v>102</v>
      </c>
      <c r="L10" s="24" t="s">
        <v>103</v>
      </c>
      <c r="M10" s="24" t="s">
        <v>104</v>
      </c>
      <c r="N10" s="24" t="s">
        <v>105</v>
      </c>
      <c r="O10" s="24" t="s">
        <v>106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</row>
    <row r="11" s="6" customFormat="1" spans="1:97">
      <c r="A11" s="12" t="s">
        <v>35</v>
      </c>
      <c r="B11" s="13"/>
      <c r="C11" s="14" t="s">
        <v>57</v>
      </c>
      <c r="D11" s="16"/>
      <c r="E11" s="16"/>
      <c r="F11" s="16"/>
      <c r="G11" s="16"/>
      <c r="H11" s="16"/>
      <c r="I11" s="21"/>
      <c r="J11" s="21"/>
      <c r="K11" s="22"/>
      <c r="L11" s="22"/>
      <c r="M11" s="22"/>
      <c r="N11" s="22"/>
      <c r="O11" s="22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</row>
    <row r="12" s="6" customFormat="1" spans="1:97">
      <c r="A12" s="12" t="s">
        <v>37</v>
      </c>
      <c r="B12" s="13"/>
      <c r="C12" s="14" t="s">
        <v>58</v>
      </c>
      <c r="D12" s="15"/>
      <c r="E12" s="15"/>
      <c r="F12" s="15"/>
      <c r="G12" s="15"/>
      <c r="H12" s="15"/>
      <c r="I12" s="19"/>
      <c r="J12" s="19"/>
      <c r="K12" s="20"/>
      <c r="L12" s="20"/>
      <c r="M12" s="20"/>
      <c r="N12" s="20"/>
      <c r="O12" s="20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</row>
    <row r="13" s="6" customFormat="1" spans="1:97">
      <c r="A13" s="12" t="s">
        <v>38</v>
      </c>
      <c r="B13" s="13"/>
      <c r="C13" s="14" t="s">
        <v>25</v>
      </c>
      <c r="D13" s="16" t="s">
        <v>43</v>
      </c>
      <c r="E13" s="16" t="s">
        <v>25</v>
      </c>
      <c r="F13" s="16" t="s">
        <v>52</v>
      </c>
      <c r="G13" s="16" t="s">
        <v>68</v>
      </c>
      <c r="H13" s="16" t="s">
        <v>66</v>
      </c>
      <c r="I13" s="21" t="s">
        <v>25</v>
      </c>
      <c r="J13" s="21" t="s">
        <v>38</v>
      </c>
      <c r="K13" s="22" t="s">
        <v>53</v>
      </c>
      <c r="L13" s="22" t="s">
        <v>39</v>
      </c>
      <c r="M13" s="22" t="s">
        <v>62</v>
      </c>
      <c r="N13" s="22" t="s">
        <v>22</v>
      </c>
      <c r="O13" s="22" t="s">
        <v>29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</row>
    <row r="14" s="6" customFormat="1" spans="1:97">
      <c r="A14" s="12" t="s">
        <v>39</v>
      </c>
      <c r="B14" s="13"/>
      <c r="C14" s="14" t="s">
        <v>56</v>
      </c>
      <c r="D14" s="17" t="s">
        <v>107</v>
      </c>
      <c r="E14" s="17" t="s">
        <v>108</v>
      </c>
      <c r="F14" s="17" t="s">
        <v>109</v>
      </c>
      <c r="G14" s="17" t="s">
        <v>110</v>
      </c>
      <c r="H14" s="17" t="s">
        <v>111</v>
      </c>
      <c r="I14" s="23" t="s">
        <v>112</v>
      </c>
      <c r="J14" s="23" t="s">
        <v>113</v>
      </c>
      <c r="K14" s="24" t="s">
        <v>114</v>
      </c>
      <c r="L14" s="24" t="s">
        <v>115</v>
      </c>
      <c r="M14" s="24" t="s">
        <v>116</v>
      </c>
      <c r="N14" s="24" t="s">
        <v>117</v>
      </c>
      <c r="O14" s="24" t="s">
        <v>118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</row>
    <row r="15" s="6" customFormat="1" spans="1:97">
      <c r="A15" s="12" t="s">
        <v>40</v>
      </c>
      <c r="B15" s="13"/>
      <c r="C15" s="14" t="s">
        <v>63</v>
      </c>
      <c r="D15" s="15"/>
      <c r="E15" s="15"/>
      <c r="F15" s="15"/>
      <c r="G15" s="15"/>
      <c r="H15" s="15"/>
      <c r="I15" s="19"/>
      <c r="J15" s="19"/>
      <c r="K15" s="20"/>
      <c r="L15" s="20"/>
      <c r="M15" s="20"/>
      <c r="N15" s="20"/>
      <c r="O15" s="20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</row>
    <row r="16" s="6" customFormat="1" spans="1:97">
      <c r="A16" s="12" t="s">
        <v>41</v>
      </c>
      <c r="B16" s="13"/>
      <c r="C16" s="14" t="s">
        <v>29</v>
      </c>
      <c r="D16" s="16" t="s">
        <v>58</v>
      </c>
      <c r="E16" s="16" t="s">
        <v>67</v>
      </c>
      <c r="F16" s="16" t="s">
        <v>64</v>
      </c>
      <c r="G16" s="16" t="s">
        <v>44</v>
      </c>
      <c r="H16" s="16" t="s">
        <v>25</v>
      </c>
      <c r="I16" s="21" t="s">
        <v>29</v>
      </c>
      <c r="J16" s="21" t="s">
        <v>22</v>
      </c>
      <c r="K16" s="22" t="s">
        <v>22</v>
      </c>
      <c r="L16" s="22" t="s">
        <v>29</v>
      </c>
      <c r="M16" s="22" t="s">
        <v>58</v>
      </c>
      <c r="N16" s="22" t="s">
        <v>29</v>
      </c>
      <c r="O16" s="22" t="s">
        <v>40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</row>
    <row r="17" s="6" customFormat="1" spans="1:97">
      <c r="A17" s="12" t="s">
        <v>42</v>
      </c>
      <c r="B17" s="13"/>
      <c r="C17" s="14" t="s">
        <v>49</v>
      </c>
      <c r="D17" s="17" t="s">
        <v>119</v>
      </c>
      <c r="E17" s="17" t="s">
        <v>120</v>
      </c>
      <c r="F17" s="17" t="s">
        <v>121</v>
      </c>
      <c r="G17" s="17" t="s">
        <v>122</v>
      </c>
      <c r="H17" s="17" t="s">
        <v>123</v>
      </c>
      <c r="I17" s="23" t="s">
        <v>124</v>
      </c>
      <c r="J17" s="23" t="s">
        <v>125</v>
      </c>
      <c r="K17" s="24" t="s">
        <v>126</v>
      </c>
      <c r="L17" s="24" t="s">
        <v>115</v>
      </c>
      <c r="M17" s="24" t="s">
        <v>127</v>
      </c>
      <c r="N17" s="24" t="s">
        <v>128</v>
      </c>
      <c r="O17" s="24" t="s">
        <v>129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</row>
    <row r="18" s="6" customFormat="1" spans="1:97">
      <c r="A18" s="12" t="s">
        <v>43</v>
      </c>
      <c r="B18" s="13"/>
      <c r="C18" s="14" t="s">
        <v>24</v>
      </c>
      <c r="D18" s="16"/>
      <c r="E18" s="16"/>
      <c r="F18" s="16"/>
      <c r="G18" s="16"/>
      <c r="H18" s="16"/>
      <c r="I18" s="21"/>
      <c r="J18" s="21"/>
      <c r="K18" s="22"/>
      <c r="L18" s="22"/>
      <c r="M18" s="22"/>
      <c r="N18" s="22"/>
      <c r="O18" s="22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</row>
    <row r="19" s="6" customFormat="1" spans="1:97">
      <c r="A19" s="12" t="s">
        <v>44</v>
      </c>
      <c r="B19" s="13"/>
      <c r="C19" s="14" t="s">
        <v>46</v>
      </c>
      <c r="D19" s="15"/>
      <c r="E19" s="15"/>
      <c r="F19" s="15"/>
      <c r="G19" s="15"/>
      <c r="H19" s="15"/>
      <c r="I19" s="19"/>
      <c r="J19" s="19"/>
      <c r="K19" s="20"/>
      <c r="L19" s="20"/>
      <c r="M19" s="20"/>
      <c r="N19" s="20"/>
      <c r="O19" s="20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</row>
    <row r="20" s="6" customFormat="1" spans="1:97">
      <c r="A20" s="12" t="s">
        <v>45</v>
      </c>
      <c r="B20" s="13"/>
      <c r="C20" s="14" t="s">
        <v>52</v>
      </c>
      <c r="D20" s="16" t="s">
        <v>67</v>
      </c>
      <c r="E20" s="16" t="s">
        <v>60</v>
      </c>
      <c r="F20" s="16" t="s">
        <v>25</v>
      </c>
      <c r="G20" s="16" t="s">
        <v>60</v>
      </c>
      <c r="H20" s="16" t="s">
        <v>38</v>
      </c>
      <c r="I20" s="21" t="s">
        <v>43</v>
      </c>
      <c r="J20" s="21" t="s">
        <v>39</v>
      </c>
      <c r="K20" s="22" t="s">
        <v>60</v>
      </c>
      <c r="L20" s="22" t="s">
        <v>43</v>
      </c>
      <c r="M20" s="22" t="s">
        <v>67</v>
      </c>
      <c r="N20" s="22" t="s">
        <v>25</v>
      </c>
      <c r="O20" s="22" t="s">
        <v>25</v>
      </c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</row>
    <row r="21" s="6" customFormat="1" spans="1:97">
      <c r="A21" s="12" t="s">
        <v>46</v>
      </c>
      <c r="B21" s="13"/>
      <c r="C21" s="14" t="s">
        <v>44</v>
      </c>
      <c r="D21" s="17" t="s">
        <v>130</v>
      </c>
      <c r="E21" s="17" t="s">
        <v>131</v>
      </c>
      <c r="F21" s="17" t="s">
        <v>132</v>
      </c>
      <c r="G21" s="17" t="s">
        <v>133</v>
      </c>
      <c r="H21" s="17" t="s">
        <v>134</v>
      </c>
      <c r="I21" s="23" t="s">
        <v>135</v>
      </c>
      <c r="J21" s="23" t="s">
        <v>136</v>
      </c>
      <c r="K21" s="24" t="s">
        <v>137</v>
      </c>
      <c r="L21" s="24" t="s">
        <v>138</v>
      </c>
      <c r="M21" s="24" t="s">
        <v>139</v>
      </c>
      <c r="N21" s="24" t="s">
        <v>140</v>
      </c>
      <c r="O21" s="24" t="s">
        <v>141</v>
      </c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</row>
    <row r="22" s="6" customFormat="1" spans="1:97">
      <c r="A22" s="12" t="s">
        <v>47</v>
      </c>
      <c r="B22" s="13"/>
      <c r="C22" s="14" t="s">
        <v>38</v>
      </c>
      <c r="D22" s="16"/>
      <c r="E22" s="16"/>
      <c r="F22" s="16"/>
      <c r="G22" s="16"/>
      <c r="H22" s="16"/>
      <c r="I22" s="21"/>
      <c r="J22" s="21"/>
      <c r="K22" s="22"/>
      <c r="L22" s="22"/>
      <c r="M22" s="22"/>
      <c r="N22" s="22"/>
      <c r="O22" s="22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</row>
    <row r="23" s="6" customFormat="1" spans="1:97">
      <c r="A23" s="12" t="s">
        <v>48</v>
      </c>
      <c r="B23" s="13"/>
      <c r="C23" s="14" t="s">
        <v>47</v>
      </c>
      <c r="D23" s="15"/>
      <c r="E23" s="15"/>
      <c r="F23" s="15"/>
      <c r="G23" s="15"/>
      <c r="H23" s="15"/>
      <c r="I23" s="19"/>
      <c r="J23" s="19"/>
      <c r="K23" s="20"/>
      <c r="L23" s="20"/>
      <c r="M23" s="20"/>
      <c r="N23" s="20"/>
      <c r="O23" s="20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</row>
    <row r="24" s="6" customFormat="1" spans="1:97">
      <c r="A24" s="12" t="s">
        <v>49</v>
      </c>
      <c r="B24" s="13"/>
      <c r="C24" s="14" t="s">
        <v>67</v>
      </c>
      <c r="D24" s="16" t="s">
        <v>59</v>
      </c>
      <c r="E24" s="16" t="s">
        <v>29</v>
      </c>
      <c r="F24" s="16" t="s">
        <v>29</v>
      </c>
      <c r="G24" s="16" t="s">
        <v>29</v>
      </c>
      <c r="H24" s="16" t="s">
        <v>63</v>
      </c>
      <c r="I24" s="21" t="s">
        <v>39</v>
      </c>
      <c r="J24" s="21" t="s">
        <v>67</v>
      </c>
      <c r="K24" s="22" t="s">
        <v>59</v>
      </c>
      <c r="L24" s="22" t="s">
        <v>25</v>
      </c>
      <c r="M24" s="22" t="s">
        <v>47</v>
      </c>
      <c r="N24" s="22" t="s">
        <v>59</v>
      </c>
      <c r="O24" s="22" t="s">
        <v>68</v>
      </c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</row>
    <row r="25" s="6" customFormat="1" spans="1:97">
      <c r="A25" s="12" t="s">
        <v>50</v>
      </c>
      <c r="B25" s="13"/>
      <c r="C25" s="14" t="s">
        <v>53</v>
      </c>
      <c r="D25" s="17" t="s">
        <v>142</v>
      </c>
      <c r="E25" s="17" t="s">
        <v>143</v>
      </c>
      <c r="F25" s="17" t="s">
        <v>144</v>
      </c>
      <c r="G25" s="17" t="s">
        <v>145</v>
      </c>
      <c r="H25" s="17" t="s">
        <v>146</v>
      </c>
      <c r="I25" s="23" t="s">
        <v>147</v>
      </c>
      <c r="J25" s="23" t="s">
        <v>148</v>
      </c>
      <c r="K25" s="24" t="s">
        <v>137</v>
      </c>
      <c r="L25" s="24" t="s">
        <v>149</v>
      </c>
      <c r="M25" s="24" t="s">
        <v>150</v>
      </c>
      <c r="N25" s="24" t="s">
        <v>151</v>
      </c>
      <c r="O25" s="24" t="s">
        <v>152</v>
      </c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</row>
    <row r="26" s="6" customFormat="1" spans="1:97">
      <c r="A26" s="12" t="s">
        <v>51</v>
      </c>
      <c r="B26" s="13"/>
      <c r="C26" s="14" t="s">
        <v>51</v>
      </c>
      <c r="D26" s="15"/>
      <c r="E26" s="15"/>
      <c r="F26" s="15"/>
      <c r="G26" s="15"/>
      <c r="H26" s="15"/>
      <c r="I26" s="19"/>
      <c r="J26" s="19"/>
      <c r="K26" s="20"/>
      <c r="L26" s="20"/>
      <c r="M26" s="20"/>
      <c r="N26" s="20"/>
      <c r="O26" s="20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</row>
    <row r="27" s="6" customFormat="1" spans="1:97">
      <c r="A27" s="12" t="s">
        <v>52</v>
      </c>
      <c r="B27" s="13"/>
      <c r="C27" s="14" t="s">
        <v>65</v>
      </c>
      <c r="D27" s="16" t="s">
        <v>56</v>
      </c>
      <c r="E27" s="16" t="s">
        <v>58</v>
      </c>
      <c r="F27" s="16" t="s">
        <v>40</v>
      </c>
      <c r="G27" s="16" t="s">
        <v>66</v>
      </c>
      <c r="H27" s="16" t="s">
        <v>43</v>
      </c>
      <c r="I27" s="21" t="s">
        <v>37</v>
      </c>
      <c r="J27" s="21" t="s">
        <v>37</v>
      </c>
      <c r="K27" s="22" t="s">
        <v>29</v>
      </c>
      <c r="L27" s="22" t="s">
        <v>59</v>
      </c>
      <c r="M27" s="22" t="s">
        <v>59</v>
      </c>
      <c r="N27" s="22" t="s">
        <v>63</v>
      </c>
      <c r="O27" s="22" t="s">
        <v>57</v>
      </c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</row>
    <row r="28" s="6" customFormat="1" spans="1:97">
      <c r="A28" s="12" t="s">
        <v>53</v>
      </c>
      <c r="B28" s="13"/>
      <c r="C28" s="14" t="s">
        <v>33</v>
      </c>
      <c r="D28" s="17" t="s">
        <v>153</v>
      </c>
      <c r="E28" s="17" t="s">
        <v>154</v>
      </c>
      <c r="F28" s="17" t="s">
        <v>155</v>
      </c>
      <c r="G28" s="17" t="s">
        <v>145</v>
      </c>
      <c r="H28" s="17" t="s">
        <v>156</v>
      </c>
      <c r="I28" s="23" t="s">
        <v>157</v>
      </c>
      <c r="J28" s="23" t="s">
        <v>158</v>
      </c>
      <c r="K28" s="24" t="s">
        <v>159</v>
      </c>
      <c r="L28" s="24" t="s">
        <v>160</v>
      </c>
      <c r="M28" s="24" t="s">
        <v>161</v>
      </c>
      <c r="N28" s="24" t="s">
        <v>162</v>
      </c>
      <c r="O28" s="24" t="s">
        <v>163</v>
      </c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</row>
    <row r="29" s="6" customFormat="1" spans="1:97">
      <c r="A29" s="12" t="s">
        <v>54</v>
      </c>
      <c r="B29" s="13"/>
      <c r="C29" s="14" t="s">
        <v>61</v>
      </c>
      <c r="D29" s="16"/>
      <c r="E29" s="16"/>
      <c r="F29" s="16"/>
      <c r="G29" s="16"/>
      <c r="H29" s="16"/>
      <c r="I29" s="21"/>
      <c r="J29" s="21"/>
      <c r="K29" s="22"/>
      <c r="L29" s="22"/>
      <c r="M29" s="22"/>
      <c r="N29" s="22"/>
      <c r="O29" s="22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</row>
    <row r="30" s="6" customFormat="1" spans="1:97">
      <c r="A30" s="12" t="s">
        <v>55</v>
      </c>
      <c r="B30" s="13"/>
      <c r="C30" s="14" t="s">
        <v>41</v>
      </c>
      <c r="D30" s="15"/>
      <c r="E30" s="15"/>
      <c r="F30" s="15"/>
      <c r="G30" s="15"/>
      <c r="H30" s="15"/>
      <c r="I30" s="19"/>
      <c r="J30" s="19"/>
      <c r="K30" s="20"/>
      <c r="L30" s="20"/>
      <c r="M30" s="20"/>
      <c r="N30" s="20"/>
      <c r="O30" s="20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</row>
    <row r="31" s="6" customFormat="1" spans="1:97">
      <c r="A31" s="12" t="s">
        <v>56</v>
      </c>
      <c r="B31" s="13"/>
      <c r="C31" s="14" t="s">
        <v>68</v>
      </c>
      <c r="D31" s="16" t="s">
        <v>29</v>
      </c>
      <c r="E31" s="16" t="s">
        <v>41</v>
      </c>
      <c r="F31" s="16" t="s">
        <v>39</v>
      </c>
      <c r="G31" s="16" t="s">
        <v>39</v>
      </c>
      <c r="H31" s="16" t="s">
        <v>53</v>
      </c>
      <c r="I31" s="21" t="s">
        <v>22</v>
      </c>
      <c r="J31" s="21" t="s">
        <v>48</v>
      </c>
      <c r="K31" s="22" t="s">
        <v>44</v>
      </c>
      <c r="L31" s="22" t="s">
        <v>42</v>
      </c>
      <c r="M31" s="22" t="s">
        <v>66</v>
      </c>
      <c r="N31" s="22" t="s">
        <v>38</v>
      </c>
      <c r="O31" s="22" t="s">
        <v>42</v>
      </c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</row>
    <row r="32" s="6" customFormat="1" spans="1:97">
      <c r="A32" s="12" t="s">
        <v>57</v>
      </c>
      <c r="B32" s="13"/>
      <c r="C32" s="14" t="s">
        <v>60</v>
      </c>
      <c r="D32" s="17" t="s">
        <v>164</v>
      </c>
      <c r="E32" s="17" t="s">
        <v>165</v>
      </c>
      <c r="F32" s="17" t="s">
        <v>122</v>
      </c>
      <c r="G32" s="17" t="s">
        <v>145</v>
      </c>
      <c r="H32" s="17" t="s">
        <v>166</v>
      </c>
      <c r="I32" s="23" t="s">
        <v>167</v>
      </c>
      <c r="J32" s="23" t="s">
        <v>158</v>
      </c>
      <c r="K32" s="24" t="s">
        <v>159</v>
      </c>
      <c r="L32" s="24" t="s">
        <v>168</v>
      </c>
      <c r="M32" s="24" t="s">
        <v>169</v>
      </c>
      <c r="N32" s="24" t="s">
        <v>170</v>
      </c>
      <c r="O32" s="24" t="s">
        <v>171</v>
      </c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</row>
    <row r="33" s="6" customFormat="1" spans="1:97">
      <c r="A33" s="12" t="s">
        <v>58</v>
      </c>
      <c r="B33" s="13"/>
      <c r="C33" s="14" t="s">
        <v>43</v>
      </c>
      <c r="D33" s="16"/>
      <c r="E33" s="16"/>
      <c r="F33" s="16"/>
      <c r="G33" s="16"/>
      <c r="H33" s="16"/>
      <c r="I33" s="21"/>
      <c r="J33" s="21"/>
      <c r="K33" s="22"/>
      <c r="L33" s="22"/>
      <c r="M33" s="22"/>
      <c r="N33" s="22"/>
      <c r="O33" s="22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</row>
    <row r="34" s="6" customFormat="1" spans="1:97">
      <c r="A34" s="12" t="s">
        <v>59</v>
      </c>
      <c r="B34" s="13"/>
      <c r="C34" s="14" t="s">
        <v>45</v>
      </c>
      <c r="D34" s="15"/>
      <c r="E34" s="15"/>
      <c r="F34" s="15"/>
      <c r="G34" s="15"/>
      <c r="H34" s="15"/>
      <c r="I34" s="19"/>
      <c r="J34" s="19"/>
      <c r="K34" s="20"/>
      <c r="L34" s="20"/>
      <c r="M34" s="20"/>
      <c r="N34" s="20"/>
      <c r="O34" s="20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</row>
    <row r="35" s="6" customFormat="1" spans="1:97">
      <c r="A35" s="12" t="s">
        <v>60</v>
      </c>
      <c r="B35" s="13"/>
      <c r="C35" s="14" t="s">
        <v>37</v>
      </c>
      <c r="D35" s="16" t="s">
        <v>48</v>
      </c>
      <c r="E35" s="16" t="s">
        <v>42</v>
      </c>
      <c r="F35" s="16" t="s">
        <v>56</v>
      </c>
      <c r="G35" s="16" t="s">
        <v>53</v>
      </c>
      <c r="H35" s="16" t="s">
        <v>57</v>
      </c>
      <c r="I35" s="21" t="s">
        <v>46</v>
      </c>
      <c r="J35" s="21" t="s">
        <v>29</v>
      </c>
      <c r="K35" s="22" t="s">
        <v>39</v>
      </c>
      <c r="L35" s="22" t="s">
        <v>35</v>
      </c>
      <c r="M35" s="22" t="s">
        <v>39</v>
      </c>
      <c r="N35" s="22" t="s">
        <v>39</v>
      </c>
      <c r="O35" s="22" t="s">
        <v>44</v>
      </c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</row>
    <row r="36" s="6" customFormat="1" spans="1:97">
      <c r="A36" s="12" t="s">
        <v>61</v>
      </c>
      <c r="B36" s="13"/>
      <c r="C36" s="14" t="s">
        <v>66</v>
      </c>
      <c r="D36" s="17" t="s">
        <v>172</v>
      </c>
      <c r="E36" s="17" t="s">
        <v>165</v>
      </c>
      <c r="F36" s="17" t="s">
        <v>173</v>
      </c>
      <c r="G36" s="17" t="s">
        <v>174</v>
      </c>
      <c r="H36" s="17" t="s">
        <v>175</v>
      </c>
      <c r="I36" s="23" t="s">
        <v>176</v>
      </c>
      <c r="J36" s="23" t="s">
        <v>177</v>
      </c>
      <c r="K36" s="24" t="s">
        <v>159</v>
      </c>
      <c r="L36" s="24" t="s">
        <v>178</v>
      </c>
      <c r="M36" s="24" t="s">
        <v>179</v>
      </c>
      <c r="N36" s="24" t="s">
        <v>180</v>
      </c>
      <c r="O36" s="24" t="s">
        <v>181</v>
      </c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</row>
    <row r="37" s="6" customFormat="1" spans="1:97">
      <c r="A37" s="12" t="s">
        <v>62</v>
      </c>
      <c r="B37" s="13"/>
      <c r="C37" s="14" t="s">
        <v>59</v>
      </c>
      <c r="D37" s="15"/>
      <c r="E37" s="15"/>
      <c r="F37" s="15"/>
      <c r="G37" s="15"/>
      <c r="H37" s="15"/>
      <c r="I37" s="19"/>
      <c r="J37" s="19"/>
      <c r="K37" s="20"/>
      <c r="L37" s="20"/>
      <c r="M37" s="20"/>
      <c r="N37" s="20"/>
      <c r="O37" s="20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</row>
    <row r="38" s="6" customFormat="1" spans="1:97">
      <c r="A38" s="12" t="s">
        <v>63</v>
      </c>
      <c r="B38" s="13"/>
      <c r="C38" s="14" t="s">
        <v>27</v>
      </c>
      <c r="D38" s="16" t="s">
        <v>63</v>
      </c>
      <c r="E38" s="16" t="s">
        <v>53</v>
      </c>
      <c r="F38" s="16" t="s">
        <v>37</v>
      </c>
      <c r="G38" s="16" t="s">
        <v>59</v>
      </c>
      <c r="H38" s="16" t="s">
        <v>59</v>
      </c>
      <c r="I38" s="21" t="s">
        <v>56</v>
      </c>
      <c r="J38" s="21" t="s">
        <v>42</v>
      </c>
      <c r="K38" s="22" t="s">
        <v>47</v>
      </c>
      <c r="L38" s="22" t="s">
        <v>68</v>
      </c>
      <c r="M38" s="22" t="s">
        <v>38</v>
      </c>
      <c r="N38" s="22" t="s">
        <v>48</v>
      </c>
      <c r="O38" s="22" t="s">
        <v>52</v>
      </c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</row>
    <row r="39" s="6" customFormat="1" spans="1:97">
      <c r="A39" s="12" t="s">
        <v>64</v>
      </c>
      <c r="B39" s="13"/>
      <c r="C39" s="14" t="s">
        <v>64</v>
      </c>
      <c r="D39" s="17" t="s">
        <v>182</v>
      </c>
      <c r="E39" s="17" t="s">
        <v>183</v>
      </c>
      <c r="F39" s="17" t="s">
        <v>184</v>
      </c>
      <c r="G39" s="17" t="s">
        <v>185</v>
      </c>
      <c r="H39" s="17" t="s">
        <v>186</v>
      </c>
      <c r="I39" s="23" t="s">
        <v>187</v>
      </c>
      <c r="J39" s="23" t="s">
        <v>188</v>
      </c>
      <c r="K39" s="24" t="s">
        <v>159</v>
      </c>
      <c r="L39" s="24" t="s">
        <v>189</v>
      </c>
      <c r="M39" s="24" t="s">
        <v>190</v>
      </c>
      <c r="N39" s="24" t="s">
        <v>180</v>
      </c>
      <c r="O39" s="24" t="s">
        <v>191</v>
      </c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</row>
    <row r="40" s="6" customFormat="1" spans="1:97">
      <c r="A40" s="12" t="s">
        <v>65</v>
      </c>
      <c r="B40" s="13"/>
      <c r="C40" s="14" t="s">
        <v>50</v>
      </c>
      <c r="D40" s="16"/>
      <c r="E40" s="16"/>
      <c r="F40" s="16"/>
      <c r="G40" s="16"/>
      <c r="H40" s="16"/>
      <c r="I40" s="21"/>
      <c r="J40" s="21"/>
      <c r="K40" s="22"/>
      <c r="L40" s="22"/>
      <c r="M40" s="22"/>
      <c r="N40" s="22"/>
      <c r="O40" s="22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</row>
    <row r="41" s="6" customFormat="1" spans="1:97">
      <c r="A41" s="12" t="s">
        <v>66</v>
      </c>
      <c r="B41" s="13"/>
      <c r="C41" s="14" t="s">
        <v>39</v>
      </c>
      <c r="D41" s="15"/>
      <c r="E41" s="15"/>
      <c r="F41" s="15"/>
      <c r="G41" s="15"/>
      <c r="H41" s="15"/>
      <c r="I41" s="19"/>
      <c r="J41" s="19"/>
      <c r="K41" s="20"/>
      <c r="L41" s="20"/>
      <c r="M41" s="20"/>
      <c r="N41" s="20"/>
      <c r="O41" s="20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</row>
    <row r="42" s="6" customFormat="1" spans="1:97">
      <c r="A42" s="12" t="s">
        <v>67</v>
      </c>
      <c r="B42" s="13"/>
      <c r="C42" s="12"/>
      <c r="D42" s="16" t="s">
        <v>40</v>
      </c>
      <c r="E42" s="16" t="s">
        <v>38</v>
      </c>
      <c r="F42" s="16" t="s">
        <v>42</v>
      </c>
      <c r="G42" s="16" t="s">
        <v>38</v>
      </c>
      <c r="H42" s="16" t="s">
        <v>60</v>
      </c>
      <c r="I42" s="21" t="s">
        <v>68</v>
      </c>
      <c r="J42" s="21" t="s">
        <v>58</v>
      </c>
      <c r="K42" s="22" t="s">
        <v>24</v>
      </c>
      <c r="L42" s="22" t="s">
        <v>56</v>
      </c>
      <c r="M42" s="22" t="s">
        <v>25</v>
      </c>
      <c r="N42" s="22" t="s">
        <v>31</v>
      </c>
      <c r="O42" s="22" t="s">
        <v>33</v>
      </c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</row>
    <row r="43" s="6" customFormat="1" spans="1:97">
      <c r="A43" s="12" t="s">
        <v>68</v>
      </c>
      <c r="B43" s="13"/>
      <c r="C43" s="12"/>
      <c r="D43" s="17" t="s">
        <v>182</v>
      </c>
      <c r="E43" s="17" t="s">
        <v>183</v>
      </c>
      <c r="F43" s="17" t="s">
        <v>192</v>
      </c>
      <c r="G43" s="17" t="s">
        <v>193</v>
      </c>
      <c r="H43" s="17" t="s">
        <v>194</v>
      </c>
      <c r="I43" s="23" t="s">
        <v>187</v>
      </c>
      <c r="J43" s="23" t="s">
        <v>188</v>
      </c>
      <c r="K43" s="24" t="s">
        <v>195</v>
      </c>
      <c r="L43" s="24" t="s">
        <v>196</v>
      </c>
      <c r="M43" s="24" t="s">
        <v>197</v>
      </c>
      <c r="N43" s="24" t="s">
        <v>198</v>
      </c>
      <c r="O43" s="24" t="s">
        <v>199</v>
      </c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</row>
    <row r="44" s="6" customFormat="1" spans="1:97">
      <c r="A44" s="12" t="s">
        <v>69</v>
      </c>
      <c r="B44" s="13"/>
      <c r="C44" s="12"/>
      <c r="D44" s="16"/>
      <c r="E44" s="16"/>
      <c r="F44" s="16"/>
      <c r="G44" s="16"/>
      <c r="H44" s="16"/>
      <c r="I44" s="21"/>
      <c r="J44" s="21"/>
      <c r="K44" s="22"/>
      <c r="L44" s="22"/>
      <c r="M44" s="22"/>
      <c r="N44" s="22"/>
      <c r="O44" s="22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</row>
    <row r="45" s="6" customFormat="1" spans="1:97">
      <c r="A45" s="18"/>
      <c r="B45" s="13"/>
      <c r="C45" s="12"/>
      <c r="D45" s="15"/>
      <c r="E45" s="15"/>
      <c r="F45" s="15"/>
      <c r="G45" s="15"/>
      <c r="H45" s="15"/>
      <c r="I45" s="19"/>
      <c r="J45" s="19"/>
      <c r="K45" s="20"/>
      <c r="L45" s="20"/>
      <c r="M45" s="20"/>
      <c r="N45" s="20"/>
      <c r="O45" s="20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</row>
    <row r="46" s="6" customFormat="1" spans="1:97">
      <c r="A46" s="18"/>
      <c r="B46" s="13"/>
      <c r="C46" s="12"/>
      <c r="D46" s="16" t="s">
        <v>68</v>
      </c>
      <c r="E46" s="16" t="s">
        <v>63</v>
      </c>
      <c r="F46" s="16" t="s">
        <v>58</v>
      </c>
      <c r="G46" s="16" t="s">
        <v>42</v>
      </c>
      <c r="H46" s="16" t="s">
        <v>48</v>
      </c>
      <c r="I46" s="21" t="s">
        <v>65</v>
      </c>
      <c r="J46" s="21" t="s">
        <v>43</v>
      </c>
      <c r="K46" s="22" t="s">
        <v>45</v>
      </c>
      <c r="L46" s="22" t="s">
        <v>61</v>
      </c>
      <c r="M46" s="22" t="s">
        <v>68</v>
      </c>
      <c r="N46" s="22" t="s">
        <v>42</v>
      </c>
      <c r="O46" s="22" t="s">
        <v>55</v>
      </c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</row>
    <row r="47" s="6" customFormat="1" spans="1:97">
      <c r="A47" s="18"/>
      <c r="B47" s="13"/>
      <c r="C47" s="12"/>
      <c r="D47" s="17" t="s">
        <v>200</v>
      </c>
      <c r="E47" s="17" t="s">
        <v>201</v>
      </c>
      <c r="F47" s="17" t="s">
        <v>202</v>
      </c>
      <c r="G47" s="17" t="s">
        <v>203</v>
      </c>
      <c r="H47" s="17" t="s">
        <v>204</v>
      </c>
      <c r="I47" s="23" t="s">
        <v>205</v>
      </c>
      <c r="J47" s="23" t="s">
        <v>206</v>
      </c>
      <c r="K47" s="24" t="s">
        <v>207</v>
      </c>
      <c r="L47" s="24" t="s">
        <v>208</v>
      </c>
      <c r="M47" s="24" t="s">
        <v>209</v>
      </c>
      <c r="N47" s="24" t="s">
        <v>210</v>
      </c>
      <c r="O47" s="24" t="s">
        <v>211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</row>
    <row r="48" s="6" customFormat="1" spans="1:97">
      <c r="A48" s="18"/>
      <c r="B48" s="13"/>
      <c r="C48" s="12"/>
      <c r="D48" s="15"/>
      <c r="E48" s="15"/>
      <c r="F48" s="15"/>
      <c r="G48" s="15"/>
      <c r="H48" s="15"/>
      <c r="I48" s="19"/>
      <c r="J48" s="19"/>
      <c r="K48" s="20"/>
      <c r="L48" s="20"/>
      <c r="M48" s="20"/>
      <c r="N48" s="20"/>
      <c r="O48" s="20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</row>
    <row r="49" s="6" customFormat="1" spans="1:97">
      <c r="A49" s="18"/>
      <c r="B49" s="13"/>
      <c r="C49" s="12"/>
      <c r="D49" s="16" t="s">
        <v>37</v>
      </c>
      <c r="E49" s="16" t="s">
        <v>55</v>
      </c>
      <c r="F49" s="16" t="s">
        <v>59</v>
      </c>
      <c r="G49" s="16" t="s">
        <v>46</v>
      </c>
      <c r="H49" s="16" t="s">
        <v>55</v>
      </c>
      <c r="I49" s="21" t="s">
        <v>58</v>
      </c>
      <c r="J49" s="21" t="s">
        <v>24</v>
      </c>
      <c r="K49" s="22" t="s">
        <v>25</v>
      </c>
      <c r="L49" s="22" t="s">
        <v>37</v>
      </c>
      <c r="M49" s="22" t="s">
        <v>22</v>
      </c>
      <c r="N49" s="22" t="s">
        <v>57</v>
      </c>
      <c r="O49" s="22" t="s">
        <v>38</v>
      </c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</row>
    <row r="50" s="6" customFormat="1" spans="1:97">
      <c r="A50" s="18"/>
      <c r="B50" s="13"/>
      <c r="C50" s="12"/>
      <c r="D50" s="17" t="s">
        <v>212</v>
      </c>
      <c r="E50" s="17" t="s">
        <v>213</v>
      </c>
      <c r="F50" s="17" t="s">
        <v>214</v>
      </c>
      <c r="G50" s="17" t="s">
        <v>215</v>
      </c>
      <c r="H50" s="17" t="s">
        <v>216</v>
      </c>
      <c r="I50" s="23" t="s">
        <v>217</v>
      </c>
      <c r="J50" s="23" t="s">
        <v>218</v>
      </c>
      <c r="K50" s="24" t="s">
        <v>219</v>
      </c>
      <c r="L50" s="24" t="s">
        <v>220</v>
      </c>
      <c r="M50" s="24" t="s">
        <v>221</v>
      </c>
      <c r="N50" s="24" t="s">
        <v>222</v>
      </c>
      <c r="O50" s="24" t="s">
        <v>223</v>
      </c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</row>
    <row r="51" s="6" customFormat="1" spans="1:97">
      <c r="A51" s="18"/>
      <c r="B51" s="13"/>
      <c r="C51" s="12"/>
      <c r="D51" s="16"/>
      <c r="E51" s="16"/>
      <c r="F51" s="16"/>
      <c r="G51" s="16"/>
      <c r="H51" s="16"/>
      <c r="I51" s="21"/>
      <c r="J51" s="21"/>
      <c r="K51" s="22"/>
      <c r="L51" s="22"/>
      <c r="M51" s="22"/>
      <c r="N51" s="22"/>
      <c r="O51" s="22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</row>
    <row r="52" s="6" customFormat="1" spans="1:97">
      <c r="A52" s="18"/>
      <c r="B52" s="13"/>
      <c r="C52" s="12"/>
      <c r="D52" s="15"/>
      <c r="E52" s="15"/>
      <c r="F52" s="15"/>
      <c r="G52" s="15"/>
      <c r="H52" s="15"/>
      <c r="I52" s="19"/>
      <c r="J52" s="19"/>
      <c r="K52" s="20"/>
      <c r="L52" s="20"/>
      <c r="M52" s="20"/>
      <c r="N52" s="20"/>
      <c r="O52" s="20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</row>
    <row r="53" s="6" customFormat="1" spans="1:97">
      <c r="A53" s="18"/>
      <c r="B53" s="13"/>
      <c r="C53" s="12"/>
      <c r="D53" s="16" t="s">
        <v>42</v>
      </c>
      <c r="E53" s="16" t="s">
        <v>22</v>
      </c>
      <c r="F53" s="16" t="s">
        <v>63</v>
      </c>
      <c r="G53" s="16" t="s">
        <v>65</v>
      </c>
      <c r="H53" s="16" t="s">
        <v>58</v>
      </c>
      <c r="I53" s="21" t="s">
        <v>24</v>
      </c>
      <c r="J53" s="21" t="s">
        <v>60</v>
      </c>
      <c r="K53" s="22" t="s">
        <v>49</v>
      </c>
      <c r="L53" s="22" t="s">
        <v>65</v>
      </c>
      <c r="M53" s="22" t="s">
        <v>31</v>
      </c>
      <c r="N53" s="22" t="s">
        <v>55</v>
      </c>
      <c r="O53" s="22" t="s">
        <v>58</v>
      </c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</row>
    <row r="54" s="6" customFormat="1" spans="1:97">
      <c r="A54" s="18"/>
      <c r="B54" s="13"/>
      <c r="C54" s="12"/>
      <c r="D54" s="17" t="s">
        <v>224</v>
      </c>
      <c r="E54" s="17" t="s">
        <v>185</v>
      </c>
      <c r="F54" s="17" t="s">
        <v>215</v>
      </c>
      <c r="G54" s="17" t="s">
        <v>225</v>
      </c>
      <c r="H54" s="17" t="s">
        <v>226</v>
      </c>
      <c r="I54" s="23" t="s">
        <v>227</v>
      </c>
      <c r="J54" s="23" t="s">
        <v>228</v>
      </c>
      <c r="K54" s="24" t="s">
        <v>229</v>
      </c>
      <c r="L54" s="24" t="s">
        <v>230</v>
      </c>
      <c r="M54" s="24" t="s">
        <v>231</v>
      </c>
      <c r="N54" s="24" t="s">
        <v>232</v>
      </c>
      <c r="O54" s="24" t="s">
        <v>233</v>
      </c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</row>
    <row r="55" s="6" customFormat="1" spans="1:97">
      <c r="A55" s="18"/>
      <c r="B55" s="13"/>
      <c r="C55" s="12"/>
      <c r="D55" s="16"/>
      <c r="E55" s="16"/>
      <c r="F55" s="16"/>
      <c r="G55" s="16"/>
      <c r="H55" s="16"/>
      <c r="I55" s="21"/>
      <c r="J55" s="21"/>
      <c r="K55" s="22"/>
      <c r="L55" s="22"/>
      <c r="M55" s="22"/>
      <c r="N55" s="22"/>
      <c r="O55" s="22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</row>
    <row r="56" s="6" customFormat="1" spans="1:97">
      <c r="A56" s="18"/>
      <c r="B56" s="13"/>
      <c r="C56" s="12"/>
      <c r="D56" s="15"/>
      <c r="E56" s="15"/>
      <c r="F56" s="15"/>
      <c r="G56" s="15"/>
      <c r="H56" s="15"/>
      <c r="I56" s="19"/>
      <c r="J56" s="19"/>
      <c r="K56" s="20"/>
      <c r="L56" s="20"/>
      <c r="M56" s="20"/>
      <c r="N56" s="20"/>
      <c r="O56" s="20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</row>
    <row r="57" s="6" customFormat="1" spans="1:97">
      <c r="A57" s="18"/>
      <c r="B57" s="13"/>
      <c r="C57" s="12"/>
      <c r="D57" s="16" t="s">
        <v>46</v>
      </c>
      <c r="E57" s="16" t="s">
        <v>37</v>
      </c>
      <c r="F57" s="16" t="s">
        <v>53</v>
      </c>
      <c r="G57" s="16" t="s">
        <v>22</v>
      </c>
      <c r="H57" s="16" t="s">
        <v>52</v>
      </c>
      <c r="I57" s="21" t="s">
        <v>59</v>
      </c>
      <c r="J57" s="21" t="s">
        <v>44</v>
      </c>
      <c r="K57" s="22" t="s">
        <v>37</v>
      </c>
      <c r="L57" s="22" t="s">
        <v>58</v>
      </c>
      <c r="M57" s="22" t="s">
        <v>52</v>
      </c>
      <c r="N57" s="22" t="s">
        <v>40</v>
      </c>
      <c r="O57" s="22" t="s">
        <v>50</v>
      </c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</row>
    <row r="58" s="6" customFormat="1" spans="1:97">
      <c r="A58" s="18"/>
      <c r="B58" s="13"/>
      <c r="C58" s="12"/>
      <c r="D58" s="17" t="s">
        <v>234</v>
      </c>
      <c r="E58" s="17" t="s">
        <v>235</v>
      </c>
      <c r="F58" s="17" t="s">
        <v>236</v>
      </c>
      <c r="G58" s="17" t="s">
        <v>237</v>
      </c>
      <c r="H58" s="17" t="s">
        <v>238</v>
      </c>
      <c r="I58" s="23" t="s">
        <v>239</v>
      </c>
      <c r="J58" s="23" t="s">
        <v>240</v>
      </c>
      <c r="K58" s="24" t="s">
        <v>241</v>
      </c>
      <c r="L58" s="24" t="s">
        <v>242</v>
      </c>
      <c r="M58" s="24" t="s">
        <v>243</v>
      </c>
      <c r="N58" s="24" t="s">
        <v>244</v>
      </c>
      <c r="O58" s="24" t="s">
        <v>245</v>
      </c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</row>
    <row r="59" s="6" customFormat="1" spans="1:97">
      <c r="A59" s="18"/>
      <c r="B59" s="13"/>
      <c r="C59" s="12"/>
      <c r="D59" s="15"/>
      <c r="E59" s="15"/>
      <c r="F59" s="15"/>
      <c r="G59" s="15"/>
      <c r="H59" s="15"/>
      <c r="I59" s="19"/>
      <c r="J59" s="19"/>
      <c r="K59" s="20"/>
      <c r="L59" s="20"/>
      <c r="M59" s="20"/>
      <c r="N59" s="20"/>
      <c r="O59" s="20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</row>
    <row r="60" s="6" customFormat="1" spans="1:97">
      <c r="A60" s="18"/>
      <c r="B60" s="13"/>
      <c r="C60" s="12"/>
      <c r="D60" s="16" t="s">
        <v>57</v>
      </c>
      <c r="E60" s="16" t="s">
        <v>24</v>
      </c>
      <c r="F60" s="16" t="s">
        <v>57</v>
      </c>
      <c r="G60" s="16" t="s">
        <v>52</v>
      </c>
      <c r="H60" s="16" t="s">
        <v>65</v>
      </c>
      <c r="I60" s="21" t="s">
        <v>47</v>
      </c>
      <c r="J60" s="21" t="s">
        <v>57</v>
      </c>
      <c r="K60" s="22" t="s">
        <v>50</v>
      </c>
      <c r="L60" s="22" t="s">
        <v>52</v>
      </c>
      <c r="M60" s="22" t="s">
        <v>53</v>
      </c>
      <c r="N60" s="22" t="s">
        <v>56</v>
      </c>
      <c r="O60" s="22" t="s">
        <v>48</v>
      </c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</row>
    <row r="61" s="6" customFormat="1" spans="1:97">
      <c r="A61" s="18"/>
      <c r="B61" s="13"/>
      <c r="C61" s="12"/>
      <c r="D61" s="17" t="s">
        <v>246</v>
      </c>
      <c r="E61" s="17" t="s">
        <v>247</v>
      </c>
      <c r="F61" s="17" t="s">
        <v>248</v>
      </c>
      <c r="G61" s="17" t="s">
        <v>249</v>
      </c>
      <c r="H61" s="17" t="s">
        <v>250</v>
      </c>
      <c r="I61" s="23" t="s">
        <v>251</v>
      </c>
      <c r="J61" s="23" t="s">
        <v>252</v>
      </c>
      <c r="K61" s="24" t="s">
        <v>253</v>
      </c>
      <c r="L61" s="24" t="s">
        <v>254</v>
      </c>
      <c r="M61" s="24" t="s">
        <v>255</v>
      </c>
      <c r="N61" s="24" t="s">
        <v>256</v>
      </c>
      <c r="O61" s="24" t="s">
        <v>257</v>
      </c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</row>
    <row r="62" s="6" customFormat="1" spans="1:97">
      <c r="A62" s="18"/>
      <c r="B62" s="13"/>
      <c r="C62" s="12"/>
      <c r="D62" s="16"/>
      <c r="E62" s="16"/>
      <c r="F62" s="16"/>
      <c r="G62" s="16"/>
      <c r="H62" s="16"/>
      <c r="I62" s="21"/>
      <c r="J62" s="21"/>
      <c r="K62" s="22"/>
      <c r="L62" s="22"/>
      <c r="M62" s="22"/>
      <c r="N62" s="22"/>
      <c r="O62" s="22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</row>
    <row r="63" s="6" customFormat="1" spans="1:97">
      <c r="A63" s="18"/>
      <c r="B63" s="13"/>
      <c r="C63" s="12"/>
      <c r="D63" s="15"/>
      <c r="E63" s="15"/>
      <c r="F63" s="15"/>
      <c r="G63" s="15"/>
      <c r="H63" s="15"/>
      <c r="I63" s="19"/>
      <c r="J63" s="19"/>
      <c r="K63" s="20"/>
      <c r="L63" s="20"/>
      <c r="M63" s="20"/>
      <c r="N63" s="20"/>
      <c r="O63" s="20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</row>
    <row r="64" s="6" customFormat="1" spans="1:97">
      <c r="A64" s="18"/>
      <c r="B64" s="13"/>
      <c r="C64" s="12"/>
      <c r="D64" s="16" t="s">
        <v>38</v>
      </c>
      <c r="E64" s="16" t="s">
        <v>68</v>
      </c>
      <c r="F64" s="16" t="s">
        <v>44</v>
      </c>
      <c r="G64" s="16" t="s">
        <v>45</v>
      </c>
      <c r="H64" s="16" t="s">
        <v>22</v>
      </c>
      <c r="I64" s="21" t="s">
        <v>61</v>
      </c>
      <c r="J64" s="21" t="s">
        <v>52</v>
      </c>
      <c r="K64" s="22" t="s">
        <v>52</v>
      </c>
      <c r="L64" s="22" t="s">
        <v>55</v>
      </c>
      <c r="M64" s="22" t="s">
        <v>24</v>
      </c>
      <c r="N64" s="22" t="s">
        <v>61</v>
      </c>
      <c r="O64" s="22" t="s">
        <v>65</v>
      </c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</row>
    <row r="65" s="6" customFormat="1" spans="1:97">
      <c r="A65" s="18"/>
      <c r="B65" s="13"/>
      <c r="C65" s="12"/>
      <c r="D65" s="17" t="s">
        <v>258</v>
      </c>
      <c r="E65" s="17" t="s">
        <v>259</v>
      </c>
      <c r="F65" s="17" t="s">
        <v>260</v>
      </c>
      <c r="G65" s="17" t="s">
        <v>261</v>
      </c>
      <c r="H65" s="17" t="s">
        <v>262</v>
      </c>
      <c r="I65" s="23" t="s">
        <v>263</v>
      </c>
      <c r="J65" s="23" t="s">
        <v>264</v>
      </c>
      <c r="K65" s="24" t="s">
        <v>265</v>
      </c>
      <c r="L65" s="24" t="s">
        <v>266</v>
      </c>
      <c r="M65" s="24" t="s">
        <v>267</v>
      </c>
      <c r="N65" s="24" t="s">
        <v>268</v>
      </c>
      <c r="O65" s="24" t="s">
        <v>269</v>
      </c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</row>
    <row r="66" s="6" customFormat="1" spans="1:97">
      <c r="A66" s="18"/>
      <c r="B66" s="13"/>
      <c r="C66" s="12"/>
      <c r="D66" s="16"/>
      <c r="E66" s="16"/>
      <c r="F66" s="16"/>
      <c r="G66" s="16"/>
      <c r="H66" s="16"/>
      <c r="I66" s="21"/>
      <c r="J66" s="21"/>
      <c r="K66" s="22"/>
      <c r="L66" s="22"/>
      <c r="M66" s="22"/>
      <c r="N66" s="22"/>
      <c r="O66" s="22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</row>
    <row r="67" s="6" customFormat="1" spans="1:97">
      <c r="A67" s="18"/>
      <c r="B67" s="13"/>
      <c r="C67" s="12"/>
      <c r="D67" s="15"/>
      <c r="E67" s="15"/>
      <c r="F67" s="15"/>
      <c r="G67" s="15"/>
      <c r="H67" s="15"/>
      <c r="I67" s="19"/>
      <c r="J67" s="19"/>
      <c r="K67" s="20"/>
      <c r="L67" s="20"/>
      <c r="M67" s="20"/>
      <c r="N67" s="20"/>
      <c r="O67" s="20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</row>
    <row r="68" s="6" customFormat="1" spans="1:97">
      <c r="A68" s="18"/>
      <c r="B68" s="13"/>
      <c r="C68" s="12"/>
      <c r="D68" s="16" t="s">
        <v>60</v>
      </c>
      <c r="E68" s="16" t="s">
        <v>59</v>
      </c>
      <c r="F68" s="16" t="s">
        <v>49</v>
      </c>
      <c r="G68" s="16" t="s">
        <v>24</v>
      </c>
      <c r="H68" s="16" t="s">
        <v>46</v>
      </c>
      <c r="I68" s="21" t="s">
        <v>53</v>
      </c>
      <c r="J68" s="21" t="s">
        <v>53</v>
      </c>
      <c r="K68" s="22" t="s">
        <v>57</v>
      </c>
      <c r="L68" s="22" t="s">
        <v>44</v>
      </c>
      <c r="M68" s="22" t="s">
        <v>55</v>
      </c>
      <c r="N68" s="22" t="s">
        <v>60</v>
      </c>
      <c r="O68" s="22" t="s">
        <v>54</v>
      </c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</row>
    <row r="69" s="6" customFormat="1" spans="1:97">
      <c r="A69" s="18"/>
      <c r="B69" s="13"/>
      <c r="C69" s="12"/>
      <c r="D69" s="17" t="s">
        <v>270</v>
      </c>
      <c r="E69" s="17" t="s">
        <v>271</v>
      </c>
      <c r="F69" s="17" t="s">
        <v>272</v>
      </c>
      <c r="G69" s="17" t="s">
        <v>273</v>
      </c>
      <c r="H69" s="17" t="s">
        <v>274</v>
      </c>
      <c r="I69" s="23" t="s">
        <v>275</v>
      </c>
      <c r="J69" s="23" t="s">
        <v>276</v>
      </c>
      <c r="K69" s="24" t="s">
        <v>277</v>
      </c>
      <c r="L69" s="24" t="s">
        <v>278</v>
      </c>
      <c r="M69" s="24" t="s">
        <v>279</v>
      </c>
      <c r="N69" s="24" t="s">
        <v>280</v>
      </c>
      <c r="O69" s="24" t="s">
        <v>281</v>
      </c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</row>
    <row r="70" s="6" customFormat="1" spans="1:97">
      <c r="A70" s="18"/>
      <c r="B70" s="13"/>
      <c r="C70" s="12"/>
      <c r="D70" s="15"/>
      <c r="E70" s="15"/>
      <c r="F70" s="15"/>
      <c r="G70" s="15"/>
      <c r="H70" s="15"/>
      <c r="I70" s="19"/>
      <c r="J70" s="19"/>
      <c r="K70" s="20"/>
      <c r="L70" s="20"/>
      <c r="M70" s="20"/>
      <c r="N70" s="20"/>
      <c r="O70" s="20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</row>
    <row r="71" s="6" customFormat="1" spans="1:97">
      <c r="A71" s="18"/>
      <c r="B71" s="13"/>
      <c r="C71" s="12"/>
      <c r="D71" s="16" t="s">
        <v>61</v>
      </c>
      <c r="E71" s="16" t="s">
        <v>57</v>
      </c>
      <c r="F71" s="16" t="s">
        <v>38</v>
      </c>
      <c r="G71" s="16" t="s">
        <v>58</v>
      </c>
      <c r="H71" s="16" t="s">
        <v>41</v>
      </c>
      <c r="I71" s="21" t="s">
        <v>42</v>
      </c>
      <c r="J71" s="21" t="s">
        <v>35</v>
      </c>
      <c r="K71" s="22" t="s">
        <v>58</v>
      </c>
      <c r="L71" s="22" t="s">
        <v>53</v>
      </c>
      <c r="M71" s="22" t="s">
        <v>40</v>
      </c>
      <c r="N71" s="22" t="s">
        <v>33</v>
      </c>
      <c r="O71" s="22" t="s">
        <v>60</v>
      </c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</row>
    <row r="72" s="6" customFormat="1" spans="1:97">
      <c r="A72" s="18"/>
      <c r="B72" s="13"/>
      <c r="C72" s="12"/>
      <c r="D72" s="17" t="s">
        <v>270</v>
      </c>
      <c r="E72" s="17" t="s">
        <v>282</v>
      </c>
      <c r="F72" s="17" t="s">
        <v>283</v>
      </c>
      <c r="G72" s="17" t="s">
        <v>284</v>
      </c>
      <c r="H72" s="17" t="s">
        <v>274</v>
      </c>
      <c r="I72" s="23" t="s">
        <v>275</v>
      </c>
      <c r="J72" s="23" t="s">
        <v>285</v>
      </c>
      <c r="K72" s="24" t="s">
        <v>286</v>
      </c>
      <c r="L72" s="24" t="s">
        <v>287</v>
      </c>
      <c r="M72" s="24" t="s">
        <v>288</v>
      </c>
      <c r="N72" s="24" t="s">
        <v>289</v>
      </c>
      <c r="O72" s="24" t="s">
        <v>290</v>
      </c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</row>
    <row r="73" s="6" customFormat="1" spans="1:97">
      <c r="A73" s="18"/>
      <c r="B73" s="13"/>
      <c r="C73" s="12"/>
      <c r="D73" s="16"/>
      <c r="E73" s="16"/>
      <c r="F73" s="16"/>
      <c r="G73" s="16"/>
      <c r="H73" s="16"/>
      <c r="I73" s="21"/>
      <c r="J73" s="21"/>
      <c r="K73" s="22"/>
      <c r="L73" s="22"/>
      <c r="M73" s="22"/>
      <c r="N73" s="22"/>
      <c r="O73" s="22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</row>
    <row r="74" s="6" customFormat="1" spans="1:97">
      <c r="A74" s="18"/>
      <c r="B74" s="13"/>
      <c r="C74" s="12"/>
      <c r="D74" s="15"/>
      <c r="E74" s="15"/>
      <c r="F74" s="15"/>
      <c r="G74" s="15"/>
      <c r="H74" s="15"/>
      <c r="I74" s="19"/>
      <c r="J74" s="19"/>
      <c r="K74" s="20"/>
      <c r="L74" s="20"/>
      <c r="M74" s="20"/>
      <c r="N74" s="20"/>
      <c r="O74" s="20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</row>
    <row r="75" s="6" customFormat="1" spans="1:97">
      <c r="A75" s="18"/>
      <c r="B75" s="13"/>
      <c r="C75" s="12"/>
      <c r="D75" s="16" t="s">
        <v>65</v>
      </c>
      <c r="E75" s="16" t="s">
        <v>33</v>
      </c>
      <c r="F75" s="16" t="s">
        <v>65</v>
      </c>
      <c r="G75" s="16" t="s">
        <v>61</v>
      </c>
      <c r="H75" s="16" t="s">
        <v>24</v>
      </c>
      <c r="I75" s="21" t="s">
        <v>63</v>
      </c>
      <c r="J75" s="21" t="s">
        <v>41</v>
      </c>
      <c r="K75" s="22" t="s">
        <v>48</v>
      </c>
      <c r="L75" s="22" t="s">
        <v>22</v>
      </c>
      <c r="M75" s="22" t="s">
        <v>57</v>
      </c>
      <c r="N75" s="22" t="s">
        <v>37</v>
      </c>
      <c r="O75" s="22" t="s">
        <v>63</v>
      </c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</row>
    <row r="76" s="6" customFormat="1" spans="1:97">
      <c r="A76" s="18"/>
      <c r="B76" s="13"/>
      <c r="C76" s="12"/>
      <c r="D76" s="17" t="s">
        <v>291</v>
      </c>
      <c r="E76" s="17" t="s">
        <v>292</v>
      </c>
      <c r="F76" s="17" t="s">
        <v>293</v>
      </c>
      <c r="G76" s="17" t="s">
        <v>294</v>
      </c>
      <c r="H76" s="17" t="s">
        <v>295</v>
      </c>
      <c r="I76" s="23" t="s">
        <v>296</v>
      </c>
      <c r="J76" s="23" t="s">
        <v>297</v>
      </c>
      <c r="K76" s="24" t="s">
        <v>298</v>
      </c>
      <c r="L76" s="24" t="s">
        <v>299</v>
      </c>
      <c r="M76" s="24" t="s">
        <v>300</v>
      </c>
      <c r="N76" s="24" t="s">
        <v>301</v>
      </c>
      <c r="O76" s="24" t="s">
        <v>302</v>
      </c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</row>
    <row r="77" s="6" customFormat="1" spans="1:97">
      <c r="A77" s="18"/>
      <c r="B77" s="13"/>
      <c r="C77" s="12"/>
      <c r="D77" s="16"/>
      <c r="E77" s="16"/>
      <c r="F77" s="16"/>
      <c r="G77" s="16"/>
      <c r="H77" s="16"/>
      <c r="I77" s="21"/>
      <c r="J77" s="21"/>
      <c r="K77" s="22"/>
      <c r="L77" s="22"/>
      <c r="M77" s="22"/>
      <c r="N77" s="22"/>
      <c r="O77" s="22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</row>
    <row r="78" s="6" customFormat="1" spans="1:97">
      <c r="A78" s="18"/>
      <c r="B78" s="13"/>
      <c r="C78" s="12"/>
      <c r="D78" s="15"/>
      <c r="E78" s="15"/>
      <c r="F78" s="15"/>
      <c r="G78" s="15"/>
      <c r="H78" s="15"/>
      <c r="I78" s="19"/>
      <c r="J78" s="19"/>
      <c r="K78" s="20"/>
      <c r="L78" s="20"/>
      <c r="M78" s="20"/>
      <c r="N78" s="20"/>
      <c r="O78" s="20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</row>
    <row r="79" s="6" customFormat="1" spans="1:97">
      <c r="A79" s="18"/>
      <c r="B79" s="13"/>
      <c r="C79" s="12"/>
      <c r="D79" s="16" t="s">
        <v>33</v>
      </c>
      <c r="E79" s="16" t="s">
        <v>40</v>
      </c>
      <c r="F79" s="16" t="s">
        <v>24</v>
      </c>
      <c r="G79" s="16" t="s">
        <v>67</v>
      </c>
      <c r="H79" s="16" t="s">
        <v>40</v>
      </c>
      <c r="I79" s="21" t="s">
        <v>57</v>
      </c>
      <c r="J79" s="21" t="s">
        <v>65</v>
      </c>
      <c r="K79" s="22" t="s">
        <v>68</v>
      </c>
      <c r="L79" s="22" t="s">
        <v>41</v>
      </c>
      <c r="M79" s="22" t="s">
        <v>65</v>
      </c>
      <c r="N79" s="22" t="s">
        <v>45</v>
      </c>
      <c r="O79" s="22" t="s">
        <v>53</v>
      </c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</row>
    <row r="80" s="6" customFormat="1" spans="1:97">
      <c r="A80" s="18"/>
      <c r="B80" s="13"/>
      <c r="C80" s="12"/>
      <c r="D80" s="17" t="s">
        <v>303</v>
      </c>
      <c r="E80" s="17" t="s">
        <v>304</v>
      </c>
      <c r="F80" s="17" t="s">
        <v>305</v>
      </c>
      <c r="G80" s="17" t="s">
        <v>294</v>
      </c>
      <c r="H80" s="17" t="s">
        <v>306</v>
      </c>
      <c r="I80" s="23" t="s">
        <v>307</v>
      </c>
      <c r="J80" s="23" t="s">
        <v>308</v>
      </c>
      <c r="K80" s="24" t="s">
        <v>309</v>
      </c>
      <c r="L80" s="24" t="s">
        <v>299</v>
      </c>
      <c r="M80" s="24" t="s">
        <v>310</v>
      </c>
      <c r="N80" s="24" t="s">
        <v>301</v>
      </c>
      <c r="O80" s="24" t="s">
        <v>311</v>
      </c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</row>
    <row r="81" s="6" customFormat="1" spans="1:97">
      <c r="A81" s="18"/>
      <c r="B81" s="13"/>
      <c r="C81" s="12"/>
      <c r="D81" s="15"/>
      <c r="E81" s="15"/>
      <c r="F81" s="15"/>
      <c r="G81" s="15"/>
      <c r="H81" s="15"/>
      <c r="I81" s="19"/>
      <c r="J81" s="19"/>
      <c r="K81" s="20"/>
      <c r="L81" s="20"/>
      <c r="M81" s="20"/>
      <c r="N81" s="20"/>
      <c r="O81" s="20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</row>
    <row r="82" s="6" customFormat="1" spans="1:97">
      <c r="A82" s="18"/>
      <c r="B82" s="13"/>
      <c r="C82" s="12"/>
      <c r="D82" s="16" t="s">
        <v>64</v>
      </c>
      <c r="E82" s="16" t="s">
        <v>46</v>
      </c>
      <c r="F82" s="16" t="s">
        <v>45</v>
      </c>
      <c r="G82" s="16" t="s">
        <v>40</v>
      </c>
      <c r="H82" s="16" t="s">
        <v>49</v>
      </c>
      <c r="I82" s="21" t="s">
        <v>60</v>
      </c>
      <c r="J82" s="21" t="s">
        <v>46</v>
      </c>
      <c r="K82" s="22" t="s">
        <v>61</v>
      </c>
      <c r="L82" s="22" t="s">
        <v>57</v>
      </c>
      <c r="M82" s="22" t="s">
        <v>46</v>
      </c>
      <c r="N82" s="22" t="s">
        <v>65</v>
      </c>
      <c r="O82" s="22" t="s">
        <v>37</v>
      </c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</row>
    <row r="83" s="6" customFormat="1" spans="1:97">
      <c r="A83" s="18"/>
      <c r="B83" s="13"/>
      <c r="C83" s="12"/>
      <c r="D83" s="17" t="s">
        <v>312</v>
      </c>
      <c r="E83" s="17" t="s">
        <v>313</v>
      </c>
      <c r="F83" s="17" t="s">
        <v>314</v>
      </c>
      <c r="G83" s="17" t="s">
        <v>315</v>
      </c>
      <c r="H83" s="17" t="s">
        <v>316</v>
      </c>
      <c r="I83" s="23" t="s">
        <v>317</v>
      </c>
      <c r="J83" s="23" t="s">
        <v>318</v>
      </c>
      <c r="K83" s="24" t="s">
        <v>319</v>
      </c>
      <c r="L83" s="24" t="s">
        <v>320</v>
      </c>
      <c r="M83" s="24" t="s">
        <v>321</v>
      </c>
      <c r="N83" s="24" t="s">
        <v>322</v>
      </c>
      <c r="O83" s="24" t="s">
        <v>323</v>
      </c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</row>
    <row r="84" s="6" customFormat="1" spans="1:97">
      <c r="A84" s="18"/>
      <c r="B84" s="13"/>
      <c r="C84" s="12"/>
      <c r="D84" s="16"/>
      <c r="E84" s="16"/>
      <c r="F84" s="16"/>
      <c r="G84" s="16"/>
      <c r="H84" s="16"/>
      <c r="I84" s="21"/>
      <c r="J84" s="21"/>
      <c r="K84" s="22"/>
      <c r="L84" s="22"/>
      <c r="M84" s="22"/>
      <c r="N84" s="22"/>
      <c r="O84" s="22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</row>
    <row r="85" s="6" customFormat="1" spans="1:97">
      <c r="A85" s="18"/>
      <c r="B85" s="13"/>
      <c r="C85" s="12"/>
      <c r="D85" s="15"/>
      <c r="E85" s="15"/>
      <c r="F85" s="15"/>
      <c r="G85" s="15"/>
      <c r="H85" s="15"/>
      <c r="I85" s="19"/>
      <c r="J85" s="19"/>
      <c r="K85" s="20"/>
      <c r="L85" s="20"/>
      <c r="M85" s="20"/>
      <c r="N85" s="20"/>
      <c r="O85" s="20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</row>
    <row r="86" s="6" customFormat="1" spans="1:97">
      <c r="A86" s="18"/>
      <c r="B86" s="13"/>
      <c r="C86" s="12"/>
      <c r="D86" s="16" t="s">
        <v>22</v>
      </c>
      <c r="E86" s="16" t="s">
        <v>61</v>
      </c>
      <c r="F86" s="16" t="s">
        <v>60</v>
      </c>
      <c r="G86" s="16" t="s">
        <v>57</v>
      </c>
      <c r="H86" s="16" t="s">
        <v>54</v>
      </c>
      <c r="I86" s="21" t="s">
        <v>54</v>
      </c>
      <c r="J86" s="21" t="s">
        <v>62</v>
      </c>
      <c r="K86" s="22" t="s">
        <v>55</v>
      </c>
      <c r="L86" s="22" t="s">
        <v>46</v>
      </c>
      <c r="M86" s="22" t="s">
        <v>42</v>
      </c>
      <c r="N86" s="22" t="s">
        <v>58</v>
      </c>
      <c r="O86" s="22" t="s">
        <v>59</v>
      </c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</row>
    <row r="87" s="6" customFormat="1" spans="1:97">
      <c r="A87" s="18"/>
      <c r="B87" s="13"/>
      <c r="C87" s="12"/>
      <c r="D87" s="17" t="s">
        <v>324</v>
      </c>
      <c r="E87" s="17" t="s">
        <v>325</v>
      </c>
      <c r="F87" s="17" t="s">
        <v>326</v>
      </c>
      <c r="G87" s="17" t="s">
        <v>305</v>
      </c>
      <c r="H87" s="17" t="s">
        <v>316</v>
      </c>
      <c r="I87" s="23" t="s">
        <v>327</v>
      </c>
      <c r="J87" s="23" t="s">
        <v>328</v>
      </c>
      <c r="K87" s="24" t="s">
        <v>329</v>
      </c>
      <c r="L87" s="24" t="s">
        <v>330</v>
      </c>
      <c r="M87" s="24" t="s">
        <v>331</v>
      </c>
      <c r="N87" s="24" t="s">
        <v>332</v>
      </c>
      <c r="O87" s="24" t="s">
        <v>333</v>
      </c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</row>
    <row r="88" s="6" customFormat="1" spans="1:97">
      <c r="A88" s="18"/>
      <c r="B88" s="13"/>
      <c r="C88" s="12"/>
      <c r="D88" s="16"/>
      <c r="E88" s="16"/>
      <c r="F88" s="16"/>
      <c r="G88" s="16"/>
      <c r="H88" s="16"/>
      <c r="I88" s="21"/>
      <c r="J88" s="21"/>
      <c r="K88" s="22"/>
      <c r="L88" s="22"/>
      <c r="M88" s="22"/>
      <c r="N88" s="22"/>
      <c r="O88" s="22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</row>
    <row r="89" s="6" customFormat="1" spans="1:97">
      <c r="A89" s="18"/>
      <c r="B89" s="13"/>
      <c r="C89" s="12"/>
      <c r="D89" s="15"/>
      <c r="E89" s="15"/>
      <c r="F89" s="15"/>
      <c r="G89" s="15"/>
      <c r="H89" s="15"/>
      <c r="I89" s="19"/>
      <c r="J89" s="19"/>
      <c r="K89" s="20"/>
      <c r="L89" s="20"/>
      <c r="M89" s="20"/>
      <c r="N89" s="20"/>
      <c r="O89" s="20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</row>
    <row r="90" s="6" customFormat="1" spans="1:97">
      <c r="A90" s="18"/>
      <c r="B90" s="13"/>
      <c r="C90" s="12"/>
      <c r="D90" s="16" t="s">
        <v>24</v>
      </c>
      <c r="E90" s="16" t="s">
        <v>44</v>
      </c>
      <c r="F90" s="16" t="s">
        <v>22</v>
      </c>
      <c r="G90" s="16" t="s">
        <v>48</v>
      </c>
      <c r="H90" s="16" t="s">
        <v>27</v>
      </c>
      <c r="I90" s="21" t="s">
        <v>48</v>
      </c>
      <c r="J90" s="21" t="s">
        <v>47</v>
      </c>
      <c r="K90" s="22" t="s">
        <v>46</v>
      </c>
      <c r="L90" s="22" t="s">
        <v>49</v>
      </c>
      <c r="M90" s="22" t="s">
        <v>49</v>
      </c>
      <c r="N90" s="22" t="s">
        <v>53</v>
      </c>
      <c r="O90" s="22" t="s">
        <v>46</v>
      </c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</row>
    <row r="91" s="6" customFormat="1" spans="1:97">
      <c r="A91" s="18"/>
      <c r="B91" s="13"/>
      <c r="C91" s="12"/>
      <c r="D91" s="17" t="s">
        <v>334</v>
      </c>
      <c r="E91" s="17" t="s">
        <v>335</v>
      </c>
      <c r="F91" s="17" t="s">
        <v>336</v>
      </c>
      <c r="G91" s="17" t="s">
        <v>337</v>
      </c>
      <c r="H91" s="17" t="s">
        <v>338</v>
      </c>
      <c r="I91" s="23" t="s">
        <v>339</v>
      </c>
      <c r="J91" s="23" t="s">
        <v>340</v>
      </c>
      <c r="K91" s="24" t="s">
        <v>341</v>
      </c>
      <c r="L91" s="24" t="s">
        <v>342</v>
      </c>
      <c r="M91" s="24" t="s">
        <v>343</v>
      </c>
      <c r="N91" s="24" t="s">
        <v>344</v>
      </c>
      <c r="O91" s="24" t="s">
        <v>345</v>
      </c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</row>
    <row r="92" s="6" customFormat="1" spans="1:97">
      <c r="A92" s="18"/>
      <c r="B92" s="13"/>
      <c r="C92" s="12"/>
      <c r="D92" s="15"/>
      <c r="E92" s="15"/>
      <c r="F92" s="15"/>
      <c r="G92" s="15"/>
      <c r="H92" s="15"/>
      <c r="I92" s="19"/>
      <c r="J92" s="19"/>
      <c r="K92" s="20"/>
      <c r="L92" s="20"/>
      <c r="M92" s="20"/>
      <c r="N92" s="20"/>
      <c r="O92" s="20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</row>
    <row r="93" s="6" customFormat="1" spans="1:97">
      <c r="A93" s="18"/>
      <c r="B93" s="13"/>
      <c r="C93" s="12"/>
      <c r="D93" s="16" t="s">
        <v>53</v>
      </c>
      <c r="E93" s="16" t="s">
        <v>65</v>
      </c>
      <c r="F93" s="16" t="s">
        <v>46</v>
      </c>
      <c r="G93" s="16" t="s">
        <v>56</v>
      </c>
      <c r="H93" s="16" t="s">
        <v>61</v>
      </c>
      <c r="I93" s="21" t="s">
        <v>41</v>
      </c>
      <c r="J93" s="21" t="s">
        <v>45</v>
      </c>
      <c r="K93" s="22" t="s">
        <v>56</v>
      </c>
      <c r="L93" s="22" t="s">
        <v>40</v>
      </c>
      <c r="M93" s="22" t="s">
        <v>37</v>
      </c>
      <c r="N93" s="22" t="s">
        <v>44</v>
      </c>
      <c r="O93" s="22" t="s">
        <v>41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</row>
    <row r="94" s="6" customFormat="1" spans="1:97">
      <c r="A94" s="18"/>
      <c r="B94" s="13"/>
      <c r="C94" s="12"/>
      <c r="D94" s="17" t="s">
        <v>346</v>
      </c>
      <c r="E94" s="17" t="s">
        <v>347</v>
      </c>
      <c r="F94" s="17" t="s">
        <v>348</v>
      </c>
      <c r="G94" s="17" t="s">
        <v>314</v>
      </c>
      <c r="H94" s="17" t="s">
        <v>338</v>
      </c>
      <c r="I94" s="23" t="s">
        <v>349</v>
      </c>
      <c r="J94" s="23" t="s">
        <v>350</v>
      </c>
      <c r="K94" s="24" t="s">
        <v>351</v>
      </c>
      <c r="L94" s="24" t="s">
        <v>352</v>
      </c>
      <c r="M94" s="24" t="s">
        <v>353</v>
      </c>
      <c r="N94" s="24" t="s">
        <v>344</v>
      </c>
      <c r="O94" s="24" t="s">
        <v>354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</row>
    <row r="95" s="6" customFormat="1" spans="1:97">
      <c r="A95" s="18"/>
      <c r="B95" s="13"/>
      <c r="C95" s="12"/>
      <c r="D95" s="16"/>
      <c r="E95" s="16"/>
      <c r="F95" s="16"/>
      <c r="G95" s="16"/>
      <c r="H95" s="16"/>
      <c r="I95" s="21"/>
      <c r="J95" s="21"/>
      <c r="K95" s="22"/>
      <c r="L95" s="22"/>
      <c r="M95" s="22"/>
      <c r="N95" s="22"/>
      <c r="O95" s="22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</row>
    <row r="96" s="6" customFormat="1" spans="1:97">
      <c r="A96" s="18"/>
      <c r="B96" s="13"/>
      <c r="C96" s="12"/>
      <c r="D96" s="15"/>
      <c r="E96" s="15"/>
      <c r="F96" s="15"/>
      <c r="G96" s="15"/>
      <c r="H96" s="15"/>
      <c r="I96" s="19"/>
      <c r="J96" s="19"/>
      <c r="K96" s="20"/>
      <c r="L96" s="20"/>
      <c r="M96" s="20"/>
      <c r="N96" s="20"/>
      <c r="O96" s="20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</row>
    <row r="97" s="6" customFormat="1" spans="1:97">
      <c r="A97" s="18"/>
      <c r="B97" s="13"/>
      <c r="C97" s="12"/>
      <c r="D97" s="16" t="s">
        <v>54</v>
      </c>
      <c r="E97" s="16" t="s">
        <v>35</v>
      </c>
      <c r="F97" s="16" t="s">
        <v>61</v>
      </c>
      <c r="G97" s="16" t="s">
        <v>37</v>
      </c>
      <c r="H97" s="16" t="s">
        <v>42</v>
      </c>
      <c r="I97" s="21" t="s">
        <v>49</v>
      </c>
      <c r="J97" s="21" t="s">
        <v>31</v>
      </c>
      <c r="K97" s="22" t="s">
        <v>38</v>
      </c>
      <c r="L97" s="22" t="s">
        <v>24</v>
      </c>
      <c r="M97" s="22" t="s">
        <v>33</v>
      </c>
      <c r="N97" s="22" t="s">
        <v>54</v>
      </c>
      <c r="O97" s="22" t="s">
        <v>31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</row>
    <row r="98" s="6" customFormat="1" spans="1:97">
      <c r="A98" s="18"/>
      <c r="B98" s="13"/>
      <c r="C98" s="12"/>
      <c r="D98" s="17" t="s">
        <v>355</v>
      </c>
      <c r="E98" s="17" t="s">
        <v>356</v>
      </c>
      <c r="F98" s="17" t="s">
        <v>357</v>
      </c>
      <c r="G98" s="17" t="s">
        <v>358</v>
      </c>
      <c r="H98" s="17" t="s">
        <v>359</v>
      </c>
      <c r="I98" s="23" t="s">
        <v>360</v>
      </c>
      <c r="J98" s="23" t="s">
        <v>361</v>
      </c>
      <c r="K98" s="24" t="s">
        <v>362</v>
      </c>
      <c r="L98" s="24" t="s">
        <v>363</v>
      </c>
      <c r="M98" s="24" t="s">
        <v>364</v>
      </c>
      <c r="N98" s="24" t="s">
        <v>365</v>
      </c>
      <c r="O98" s="24" t="s">
        <v>366</v>
      </c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</row>
    <row r="99" s="6" customFormat="1" spans="1:97">
      <c r="A99" s="18"/>
      <c r="B99" s="13"/>
      <c r="C99" s="12"/>
      <c r="D99" s="16"/>
      <c r="E99" s="16"/>
      <c r="F99" s="16"/>
      <c r="G99" s="16"/>
      <c r="H99" s="16"/>
      <c r="I99" s="21"/>
      <c r="J99" s="21"/>
      <c r="K99" s="22"/>
      <c r="L99" s="22"/>
      <c r="M99" s="22"/>
      <c r="N99" s="22"/>
      <c r="O99" s="22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</row>
    <row r="100" s="6" customFormat="1" spans="1:97">
      <c r="A100" s="18"/>
      <c r="B100" s="13"/>
      <c r="C100" s="12"/>
      <c r="D100" s="15"/>
      <c r="E100" s="15"/>
      <c r="F100" s="15"/>
      <c r="G100" s="15"/>
      <c r="H100" s="15"/>
      <c r="I100" s="19"/>
      <c r="J100" s="19"/>
      <c r="K100" s="20"/>
      <c r="L100" s="20"/>
      <c r="M100" s="20"/>
      <c r="N100" s="20"/>
      <c r="O100" s="20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</row>
    <row r="101" s="6" customFormat="1" spans="1:97">
      <c r="A101" s="18"/>
      <c r="B101" s="13"/>
      <c r="C101" s="18"/>
      <c r="D101" s="16" t="s">
        <v>49</v>
      </c>
      <c r="E101" s="16" t="s">
        <v>31</v>
      </c>
      <c r="F101" s="16" t="s">
        <v>31</v>
      </c>
      <c r="G101" s="16" t="s">
        <v>54</v>
      </c>
      <c r="H101" s="16" t="s">
        <v>44</v>
      </c>
      <c r="I101" s="21" t="s">
        <v>52</v>
      </c>
      <c r="J101" s="21" t="s">
        <v>64</v>
      </c>
      <c r="K101" s="22" t="s">
        <v>65</v>
      </c>
      <c r="L101" s="22" t="s">
        <v>50</v>
      </c>
      <c r="M101" s="22" t="s">
        <v>56</v>
      </c>
      <c r="N101" s="22" t="s">
        <v>66</v>
      </c>
      <c r="O101" s="22" t="s">
        <v>45</v>
      </c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</row>
    <row r="102" s="6" customFormat="1" spans="1:97">
      <c r="A102" s="18"/>
      <c r="B102" s="13"/>
      <c r="C102" s="18"/>
      <c r="D102" s="17" t="s">
        <v>367</v>
      </c>
      <c r="E102" s="17" t="s">
        <v>368</v>
      </c>
      <c r="F102" s="17" t="s">
        <v>369</v>
      </c>
      <c r="G102" s="17" t="s">
        <v>313</v>
      </c>
      <c r="H102" s="17" t="s">
        <v>370</v>
      </c>
      <c r="I102" s="23" t="s">
        <v>371</v>
      </c>
      <c r="J102" s="23" t="s">
        <v>372</v>
      </c>
      <c r="K102" s="24" t="s">
        <v>373</v>
      </c>
      <c r="L102" s="24" t="s">
        <v>374</v>
      </c>
      <c r="M102" s="24" t="s">
        <v>375</v>
      </c>
      <c r="N102" s="24" t="s">
        <v>376</v>
      </c>
      <c r="O102" s="24" t="s">
        <v>377</v>
      </c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</row>
    <row r="103" s="6" customFormat="1" spans="1:97">
      <c r="A103" s="18"/>
      <c r="B103" s="13"/>
      <c r="C103" s="25"/>
      <c r="D103" s="15"/>
      <c r="E103" s="15"/>
      <c r="F103" s="15"/>
      <c r="G103" s="15"/>
      <c r="H103" s="15"/>
      <c r="I103" s="19"/>
      <c r="J103" s="19"/>
      <c r="K103" s="20"/>
      <c r="L103" s="20"/>
      <c r="M103" s="20"/>
      <c r="N103" s="20"/>
      <c r="O103" s="20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</row>
    <row r="104" s="6" customFormat="1" spans="1:97">
      <c r="A104" s="18"/>
      <c r="B104" s="13"/>
      <c r="C104" s="25"/>
      <c r="D104" s="16" t="s">
        <v>27</v>
      </c>
      <c r="E104" s="16" t="s">
        <v>47</v>
      </c>
      <c r="F104" s="16" t="s">
        <v>35</v>
      </c>
      <c r="G104" s="16" t="s">
        <v>50</v>
      </c>
      <c r="H104" s="16" t="s">
        <v>31</v>
      </c>
      <c r="I104" s="21" t="s">
        <v>31</v>
      </c>
      <c r="J104" s="21" t="s">
        <v>54</v>
      </c>
      <c r="K104" s="22" t="s">
        <v>31</v>
      </c>
      <c r="L104" s="22" t="s">
        <v>27</v>
      </c>
      <c r="M104" s="22" t="s">
        <v>54</v>
      </c>
      <c r="N104" s="22" t="s">
        <v>46</v>
      </c>
      <c r="O104" s="22" t="s">
        <v>35</v>
      </c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</row>
    <row r="105" s="6" customFormat="1" spans="1:97">
      <c r="A105" s="18"/>
      <c r="B105" s="13"/>
      <c r="C105" s="25"/>
      <c r="D105" s="17" t="s">
        <v>378</v>
      </c>
      <c r="E105" s="17" t="s">
        <v>379</v>
      </c>
      <c r="F105" s="17" t="s">
        <v>380</v>
      </c>
      <c r="G105" s="17" t="s">
        <v>381</v>
      </c>
      <c r="H105" s="17" t="s">
        <v>382</v>
      </c>
      <c r="I105" s="23" t="s">
        <v>383</v>
      </c>
      <c r="J105" s="23" t="s">
        <v>384</v>
      </c>
      <c r="K105" s="24" t="s">
        <v>385</v>
      </c>
      <c r="L105" s="24" t="s">
        <v>386</v>
      </c>
      <c r="M105" s="24" t="s">
        <v>375</v>
      </c>
      <c r="N105" s="24" t="s">
        <v>387</v>
      </c>
      <c r="O105" s="24" t="s">
        <v>388</v>
      </c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</row>
    <row r="106" s="6" customFormat="1" spans="1:97">
      <c r="A106" s="18"/>
      <c r="B106" s="13"/>
      <c r="C106" s="25"/>
      <c r="D106" s="16"/>
      <c r="E106" s="16"/>
      <c r="F106" s="16"/>
      <c r="G106" s="16"/>
      <c r="H106" s="16"/>
      <c r="I106" s="21"/>
      <c r="J106" s="21"/>
      <c r="K106" s="22"/>
      <c r="L106" s="22"/>
      <c r="M106" s="22"/>
      <c r="N106" s="22"/>
      <c r="O106" s="22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</row>
    <row r="107" s="6" customFormat="1" spans="1:97">
      <c r="A107" s="18"/>
      <c r="B107" s="13"/>
      <c r="C107" s="25"/>
      <c r="D107" s="15"/>
      <c r="E107" s="15"/>
      <c r="F107" s="15"/>
      <c r="G107" s="15"/>
      <c r="H107" s="15"/>
      <c r="I107" s="19"/>
      <c r="J107" s="19"/>
      <c r="K107" s="20"/>
      <c r="L107" s="20"/>
      <c r="M107" s="20"/>
      <c r="N107" s="20"/>
      <c r="O107" s="20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</row>
    <row r="108" s="6" customFormat="1" spans="1:97">
      <c r="A108" s="18"/>
      <c r="B108" s="13"/>
      <c r="C108" s="25"/>
      <c r="D108" s="16" t="s">
        <v>31</v>
      </c>
      <c r="E108" s="16" t="s">
        <v>56</v>
      </c>
      <c r="F108" s="16" t="s">
        <v>48</v>
      </c>
      <c r="G108" s="16" t="s">
        <v>35</v>
      </c>
      <c r="H108" s="16" t="s">
        <v>45</v>
      </c>
      <c r="I108" s="21" t="s">
        <v>44</v>
      </c>
      <c r="J108" s="21" t="s">
        <v>55</v>
      </c>
      <c r="K108" s="22" t="s">
        <v>33</v>
      </c>
      <c r="L108" s="22" t="s">
        <v>45</v>
      </c>
      <c r="M108" s="22" t="s">
        <v>64</v>
      </c>
      <c r="N108" s="22" t="s">
        <v>50</v>
      </c>
      <c r="O108" s="22" t="s">
        <v>61</v>
      </c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</row>
    <row r="109" s="6" customFormat="1" spans="1:97">
      <c r="A109" s="18"/>
      <c r="B109" s="13"/>
      <c r="C109" s="25"/>
      <c r="D109" s="17" t="s">
        <v>389</v>
      </c>
      <c r="E109" s="17" t="s">
        <v>390</v>
      </c>
      <c r="F109" s="17" t="s">
        <v>391</v>
      </c>
      <c r="G109" s="17" t="s">
        <v>392</v>
      </c>
      <c r="H109" s="17" t="s">
        <v>393</v>
      </c>
      <c r="I109" s="23" t="s">
        <v>394</v>
      </c>
      <c r="J109" s="23" t="s">
        <v>395</v>
      </c>
      <c r="K109" s="24" t="s">
        <v>396</v>
      </c>
      <c r="L109" s="24" t="s">
        <v>397</v>
      </c>
      <c r="M109" s="24" t="s">
        <v>398</v>
      </c>
      <c r="N109" s="24" t="s">
        <v>399</v>
      </c>
      <c r="O109" s="24" t="s">
        <v>400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</row>
    <row r="110" s="6" customFormat="1" spans="1:97">
      <c r="A110" s="18"/>
      <c r="B110" s="13"/>
      <c r="C110" s="25"/>
      <c r="D110" s="16"/>
      <c r="E110" s="16"/>
      <c r="F110" s="16"/>
      <c r="G110" s="16"/>
      <c r="H110" s="16"/>
      <c r="I110" s="21"/>
      <c r="J110" s="21"/>
      <c r="K110" s="22"/>
      <c r="L110" s="22"/>
      <c r="M110" s="22"/>
      <c r="N110" s="22"/>
      <c r="O110" s="22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</row>
    <row r="111" s="6" customFormat="1" spans="1:97">
      <c r="A111" s="18"/>
      <c r="B111" s="13"/>
      <c r="C111" s="25"/>
      <c r="D111" s="15"/>
      <c r="E111" s="15"/>
      <c r="F111" s="15"/>
      <c r="G111" s="15"/>
      <c r="H111" s="15"/>
      <c r="I111" s="19"/>
      <c r="J111" s="19"/>
      <c r="K111" s="20"/>
      <c r="L111" s="20"/>
      <c r="M111" s="20"/>
      <c r="N111" s="20"/>
      <c r="O111" s="20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</row>
    <row r="112" s="6" customFormat="1" spans="1:97">
      <c r="A112" s="18"/>
      <c r="B112" s="13"/>
      <c r="C112" s="25"/>
      <c r="D112" s="16" t="s">
        <v>44</v>
      </c>
      <c r="E112" s="16" t="s">
        <v>48</v>
      </c>
      <c r="F112" s="16" t="s">
        <v>54</v>
      </c>
      <c r="G112" s="16" t="s">
        <v>49</v>
      </c>
      <c r="H112" s="16" t="s">
        <v>33</v>
      </c>
      <c r="I112" s="21" t="s">
        <v>62</v>
      </c>
      <c r="J112" s="21" t="s">
        <v>61</v>
      </c>
      <c r="K112" s="22" t="s">
        <v>27</v>
      </c>
      <c r="L112" s="22" t="s">
        <v>54</v>
      </c>
      <c r="M112" s="22" t="s">
        <v>44</v>
      </c>
      <c r="N112" s="22" t="s">
        <v>52</v>
      </c>
      <c r="O112" s="22" t="s">
        <v>24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</row>
    <row r="113" s="6" customFormat="1" spans="1:97">
      <c r="A113" s="18"/>
      <c r="B113" s="13"/>
      <c r="C113" s="25"/>
      <c r="D113" s="17" t="s">
        <v>401</v>
      </c>
      <c r="E113" s="17" t="s">
        <v>402</v>
      </c>
      <c r="F113" s="17" t="s">
        <v>403</v>
      </c>
      <c r="G113" s="17" t="s">
        <v>404</v>
      </c>
      <c r="H113" s="17" t="s">
        <v>405</v>
      </c>
      <c r="I113" s="23" t="s">
        <v>406</v>
      </c>
      <c r="J113" s="23" t="s">
        <v>407</v>
      </c>
      <c r="K113" s="24" t="s">
        <v>408</v>
      </c>
      <c r="L113" s="24" t="s">
        <v>409</v>
      </c>
      <c r="M113" s="24" t="s">
        <v>410</v>
      </c>
      <c r="N113" s="24" t="s">
        <v>411</v>
      </c>
      <c r="O113" s="24" t="s">
        <v>412</v>
      </c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</row>
    <row r="114" s="6" customFormat="1" spans="1:97">
      <c r="A114" s="18"/>
      <c r="B114" s="13"/>
      <c r="C114" s="25"/>
      <c r="D114" s="15"/>
      <c r="E114" s="15"/>
      <c r="F114" s="15"/>
      <c r="G114" s="15"/>
      <c r="H114" s="15"/>
      <c r="I114" s="19"/>
      <c r="J114" s="19"/>
      <c r="K114" s="20"/>
      <c r="L114" s="20"/>
      <c r="M114" s="20"/>
      <c r="N114" s="20"/>
      <c r="O114" s="20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</row>
    <row r="115" s="6" customFormat="1" spans="1:97">
      <c r="A115" s="18"/>
      <c r="B115" s="13"/>
      <c r="C115" s="25"/>
      <c r="D115" s="16" t="s">
        <v>35</v>
      </c>
      <c r="E115" s="16" t="s">
        <v>54</v>
      </c>
      <c r="F115" s="16" t="s">
        <v>27</v>
      </c>
      <c r="G115" s="16" t="s">
        <v>33</v>
      </c>
      <c r="H115" s="16" t="s">
        <v>47</v>
      </c>
      <c r="I115" s="21" t="s">
        <v>55</v>
      </c>
      <c r="J115" s="21" t="s">
        <v>49</v>
      </c>
      <c r="K115" s="22" t="s">
        <v>42</v>
      </c>
      <c r="L115" s="22" t="s">
        <v>33</v>
      </c>
      <c r="M115" s="22" t="s">
        <v>48</v>
      </c>
      <c r="N115" s="22" t="s">
        <v>24</v>
      </c>
      <c r="O115" s="22" t="s">
        <v>56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</row>
    <row r="116" s="6" customFormat="1" spans="1:97">
      <c r="A116" s="18"/>
      <c r="B116" s="13"/>
      <c r="C116" s="25"/>
      <c r="D116" s="17" t="s">
        <v>413</v>
      </c>
      <c r="E116" s="17" t="s">
        <v>414</v>
      </c>
      <c r="F116" s="17" t="s">
        <v>415</v>
      </c>
      <c r="G116" s="17" t="s">
        <v>416</v>
      </c>
      <c r="H116" s="17" t="s">
        <v>417</v>
      </c>
      <c r="I116" s="23" t="s">
        <v>418</v>
      </c>
      <c r="J116" s="23" t="s">
        <v>419</v>
      </c>
      <c r="K116" s="24" t="s">
        <v>420</v>
      </c>
      <c r="L116" s="24" t="s">
        <v>421</v>
      </c>
      <c r="M116" s="24" t="s">
        <v>422</v>
      </c>
      <c r="N116" s="24" t="s">
        <v>423</v>
      </c>
      <c r="O116" s="24" t="s">
        <v>424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</row>
    <row r="117" s="6" customFormat="1" spans="1:97">
      <c r="A117" s="18"/>
      <c r="B117" s="13"/>
      <c r="C117" s="25"/>
      <c r="D117" s="16"/>
      <c r="E117" s="16"/>
      <c r="F117" s="16"/>
      <c r="G117" s="16"/>
      <c r="H117" s="16"/>
      <c r="I117" s="21"/>
      <c r="J117" s="21"/>
      <c r="K117" s="22"/>
      <c r="L117" s="22"/>
      <c r="M117" s="22"/>
      <c r="N117" s="22"/>
      <c r="O117" s="22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</row>
    <row r="118" s="6" customFormat="1" spans="1:97">
      <c r="A118" s="18"/>
      <c r="B118" s="13"/>
      <c r="C118" s="25"/>
      <c r="D118" s="15"/>
      <c r="E118" s="15"/>
      <c r="F118" s="15"/>
      <c r="G118" s="15"/>
      <c r="H118" s="15"/>
      <c r="I118" s="19"/>
      <c r="J118" s="19"/>
      <c r="K118" s="20"/>
      <c r="L118" s="20"/>
      <c r="M118" s="20"/>
      <c r="N118" s="20"/>
      <c r="O118" s="20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</row>
    <row r="119" s="6" customFormat="1" spans="1:97">
      <c r="A119" s="18"/>
      <c r="B119" s="13"/>
      <c r="C119" s="25"/>
      <c r="D119" s="16" t="s">
        <v>41</v>
      </c>
      <c r="E119" s="16" t="s">
        <v>49</v>
      </c>
      <c r="F119" s="16" t="s">
        <v>33</v>
      </c>
      <c r="G119" s="16" t="s">
        <v>41</v>
      </c>
      <c r="H119" s="16" t="s">
        <v>35</v>
      </c>
      <c r="I119" s="21" t="s">
        <v>45</v>
      </c>
      <c r="J119" s="21" t="s">
        <v>33</v>
      </c>
      <c r="K119" s="22" t="s">
        <v>41</v>
      </c>
      <c r="L119" s="22" t="s">
        <v>31</v>
      </c>
      <c r="M119" s="22" t="s">
        <v>45</v>
      </c>
      <c r="N119" s="22" t="s">
        <v>35</v>
      </c>
      <c r="O119" s="22" t="s">
        <v>49</v>
      </c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</row>
    <row r="120" s="6" customFormat="1" spans="1:97">
      <c r="A120" s="18"/>
      <c r="B120" s="13"/>
      <c r="C120" s="25"/>
      <c r="D120" s="17" t="s">
        <v>425</v>
      </c>
      <c r="E120" s="17" t="s">
        <v>426</v>
      </c>
      <c r="F120" s="17" t="s">
        <v>427</v>
      </c>
      <c r="G120" s="17" t="s">
        <v>428</v>
      </c>
      <c r="H120" s="17" t="s">
        <v>417</v>
      </c>
      <c r="I120" s="23" t="s">
        <v>429</v>
      </c>
      <c r="J120" s="23" t="s">
        <v>430</v>
      </c>
      <c r="K120" s="24" t="s">
        <v>431</v>
      </c>
      <c r="L120" s="24" t="s">
        <v>432</v>
      </c>
      <c r="M120" s="24" t="s">
        <v>433</v>
      </c>
      <c r="N120" s="24" t="s">
        <v>434</v>
      </c>
      <c r="O120" s="24" t="s">
        <v>435</v>
      </c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</row>
    <row r="121" s="6" customFormat="1" spans="1:97">
      <c r="A121" s="18"/>
      <c r="B121" s="13"/>
      <c r="C121" s="25"/>
      <c r="D121" s="16"/>
      <c r="E121" s="16"/>
      <c r="F121" s="16"/>
      <c r="G121" s="16"/>
      <c r="H121" s="16"/>
      <c r="I121" s="21"/>
      <c r="J121" s="21"/>
      <c r="K121" s="22"/>
      <c r="L121" s="22"/>
      <c r="M121" s="22"/>
      <c r="N121" s="22"/>
      <c r="O121" s="22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</row>
    <row r="122" s="6" customFormat="1" spans="1:97">
      <c r="A122" s="18"/>
      <c r="B122" s="13"/>
      <c r="C122" s="25"/>
      <c r="D122" s="15"/>
      <c r="E122" s="15"/>
      <c r="F122" s="15"/>
      <c r="G122" s="15"/>
      <c r="H122" s="15"/>
      <c r="I122" s="19"/>
      <c r="J122" s="19"/>
      <c r="K122" s="20"/>
      <c r="L122" s="20"/>
      <c r="M122" s="20"/>
      <c r="N122" s="20"/>
      <c r="O122" s="20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</row>
    <row r="123" s="6" customFormat="1" spans="1:97">
      <c r="A123" s="18"/>
      <c r="B123" s="13"/>
      <c r="C123" s="25"/>
      <c r="D123" s="16" t="s">
        <v>45</v>
      </c>
      <c r="E123" s="16" t="s">
        <v>62</v>
      </c>
      <c r="F123" s="16" t="s">
        <v>62</v>
      </c>
      <c r="G123" s="16" t="s">
        <v>27</v>
      </c>
      <c r="H123" s="16" t="s">
        <v>50</v>
      </c>
      <c r="I123" s="21" t="s">
        <v>50</v>
      </c>
      <c r="J123" s="21" t="s">
        <v>27</v>
      </c>
      <c r="K123" s="22" t="s">
        <v>54</v>
      </c>
      <c r="L123" s="22" t="s">
        <v>47</v>
      </c>
      <c r="M123" s="22" t="s">
        <v>63</v>
      </c>
      <c r="N123" s="22" t="s">
        <v>41</v>
      </c>
      <c r="O123" s="22" t="s">
        <v>27</v>
      </c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</row>
    <row r="124" s="6" customFormat="1" spans="1:97">
      <c r="A124" s="18"/>
      <c r="B124" s="13"/>
      <c r="C124" s="25"/>
      <c r="D124" s="17" t="s">
        <v>436</v>
      </c>
      <c r="E124" s="17" t="s">
        <v>437</v>
      </c>
      <c r="F124" s="17" t="s">
        <v>438</v>
      </c>
      <c r="G124" s="17" t="s">
        <v>439</v>
      </c>
      <c r="H124" s="17" t="s">
        <v>440</v>
      </c>
      <c r="I124" s="23" t="s">
        <v>441</v>
      </c>
      <c r="J124" s="23" t="s">
        <v>430</v>
      </c>
      <c r="K124" s="24" t="s">
        <v>442</v>
      </c>
      <c r="L124" s="24" t="s">
        <v>443</v>
      </c>
      <c r="M124" s="24" t="s">
        <v>444</v>
      </c>
      <c r="N124" s="24" t="s">
        <v>445</v>
      </c>
      <c r="O124" s="24" t="s">
        <v>446</v>
      </c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</row>
    <row r="125" s="6" customFormat="1" spans="1:97">
      <c r="A125" s="18"/>
      <c r="B125" s="13"/>
      <c r="C125" s="25"/>
      <c r="D125" s="15"/>
      <c r="E125" s="15"/>
      <c r="F125" s="15"/>
      <c r="G125" s="15"/>
      <c r="H125" s="15"/>
      <c r="I125" s="19"/>
      <c r="J125" s="19"/>
      <c r="K125" s="20"/>
      <c r="L125" s="20"/>
      <c r="M125" s="20"/>
      <c r="N125" s="20"/>
      <c r="O125" s="20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</row>
    <row r="126" s="6" customFormat="1" spans="1:97">
      <c r="A126" s="18"/>
      <c r="B126" s="13"/>
      <c r="C126" s="25"/>
      <c r="D126" s="16" t="s">
        <v>62</v>
      </c>
      <c r="E126" s="16" t="s">
        <v>45</v>
      </c>
      <c r="F126" s="16" t="s">
        <v>47</v>
      </c>
      <c r="G126" s="16" t="s">
        <v>55</v>
      </c>
      <c r="H126" s="16" t="s">
        <v>56</v>
      </c>
      <c r="I126" s="21" t="s">
        <v>40</v>
      </c>
      <c r="J126" s="21" t="s">
        <v>40</v>
      </c>
      <c r="K126" s="22" t="s">
        <v>40</v>
      </c>
      <c r="L126" s="22" t="s">
        <v>63</v>
      </c>
      <c r="M126" s="22" t="s">
        <v>60</v>
      </c>
      <c r="N126" s="22" t="s">
        <v>27</v>
      </c>
      <c r="O126" s="22" t="s">
        <v>47</v>
      </c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</row>
    <row r="127" s="6" customFormat="1" spans="1:97">
      <c r="A127" s="18"/>
      <c r="B127" s="13"/>
      <c r="C127" s="25"/>
      <c r="D127" s="17" t="s">
        <v>436</v>
      </c>
      <c r="E127" s="17" t="s">
        <v>447</v>
      </c>
      <c r="F127" s="17" t="s">
        <v>448</v>
      </c>
      <c r="G127" s="17" t="s">
        <v>449</v>
      </c>
      <c r="H127" s="17" t="s">
        <v>450</v>
      </c>
      <c r="I127" s="23" t="s">
        <v>451</v>
      </c>
      <c r="J127" s="23" t="s">
        <v>452</v>
      </c>
      <c r="K127" s="24" t="s">
        <v>453</v>
      </c>
      <c r="L127" s="24" t="s">
        <v>454</v>
      </c>
      <c r="M127" s="24" t="s">
        <v>444</v>
      </c>
      <c r="N127" s="24" t="s">
        <v>455</v>
      </c>
      <c r="O127" s="24" t="s">
        <v>456</v>
      </c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</row>
    <row r="128" s="6" customFormat="1" spans="1:97">
      <c r="A128" s="18"/>
      <c r="B128" s="13"/>
      <c r="C128" s="25"/>
      <c r="D128" s="16"/>
      <c r="E128" s="16"/>
      <c r="F128" s="16"/>
      <c r="G128" s="16"/>
      <c r="H128" s="16"/>
      <c r="I128" s="21"/>
      <c r="J128" s="21"/>
      <c r="K128" s="22"/>
      <c r="L128" s="22"/>
      <c r="M128" s="22"/>
      <c r="N128" s="22"/>
      <c r="O128" s="22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</row>
    <row r="129" s="6" customFormat="1" spans="1:97">
      <c r="A129" s="18"/>
      <c r="B129" s="13"/>
      <c r="C129" s="25"/>
      <c r="D129" s="15"/>
      <c r="E129" s="15"/>
      <c r="F129" s="15"/>
      <c r="G129" s="15"/>
      <c r="H129" s="15"/>
      <c r="I129" s="19"/>
      <c r="J129" s="19"/>
      <c r="K129" s="20"/>
      <c r="L129" s="20"/>
      <c r="M129" s="20"/>
      <c r="N129" s="20"/>
      <c r="O129" s="20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/>
      <c r="BL129" s="18"/>
      <c r="BM129" s="18"/>
      <c r="BN129" s="18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</row>
    <row r="130" s="6" customFormat="1" spans="1:97">
      <c r="A130" s="18"/>
      <c r="B130" s="13"/>
      <c r="C130" s="25"/>
      <c r="D130" s="16" t="s">
        <v>39</v>
      </c>
      <c r="E130" s="16" t="s">
        <v>27</v>
      </c>
      <c r="F130" s="16" t="s">
        <v>50</v>
      </c>
      <c r="G130" s="16" t="s">
        <v>64</v>
      </c>
      <c r="H130" s="16" t="s">
        <v>37</v>
      </c>
      <c r="I130" s="21" t="s">
        <v>27</v>
      </c>
      <c r="J130" s="21" t="s">
        <v>25</v>
      </c>
      <c r="K130" s="22" t="s">
        <v>64</v>
      </c>
      <c r="L130" s="22" t="s">
        <v>48</v>
      </c>
      <c r="M130" s="22" t="s">
        <v>27</v>
      </c>
      <c r="N130" s="22" t="s">
        <v>62</v>
      </c>
      <c r="O130" s="22" t="s">
        <v>64</v>
      </c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</row>
    <row r="131" s="6" customFormat="1" spans="1:97">
      <c r="A131" s="18"/>
      <c r="B131" s="13"/>
      <c r="C131" s="25"/>
      <c r="D131" s="17" t="s">
        <v>457</v>
      </c>
      <c r="E131" s="17" t="s">
        <v>458</v>
      </c>
      <c r="F131" s="17" t="s">
        <v>459</v>
      </c>
      <c r="G131" s="17" t="s">
        <v>449</v>
      </c>
      <c r="H131" s="17" t="s">
        <v>460</v>
      </c>
      <c r="I131" s="23" t="s">
        <v>461</v>
      </c>
      <c r="J131" s="23" t="s">
        <v>462</v>
      </c>
      <c r="K131" s="24" t="s">
        <v>463</v>
      </c>
      <c r="L131" s="24" t="s">
        <v>464</v>
      </c>
      <c r="M131" s="24" t="s">
        <v>465</v>
      </c>
      <c r="N131" s="24" t="s">
        <v>466</v>
      </c>
      <c r="O131" s="24" t="s">
        <v>467</v>
      </c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</row>
    <row r="132" s="6" customFormat="1" spans="1:97">
      <c r="A132" s="18"/>
      <c r="B132" s="13"/>
      <c r="C132" s="25"/>
      <c r="D132" s="16"/>
      <c r="E132" s="16"/>
      <c r="F132" s="16"/>
      <c r="G132" s="16"/>
      <c r="H132" s="16"/>
      <c r="I132" s="21"/>
      <c r="J132" s="21"/>
      <c r="K132" s="22"/>
      <c r="L132" s="22"/>
      <c r="M132" s="22"/>
      <c r="N132" s="22"/>
      <c r="O132" s="22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</row>
    <row r="133" s="6" customFormat="1" spans="1:97">
      <c r="A133" s="18"/>
      <c r="B133" s="13"/>
      <c r="C133" s="25"/>
      <c r="D133" s="15"/>
      <c r="E133" s="15"/>
      <c r="F133" s="15"/>
      <c r="G133" s="15"/>
      <c r="H133" s="15"/>
      <c r="I133" s="19"/>
      <c r="J133" s="19"/>
      <c r="K133" s="20"/>
      <c r="L133" s="20"/>
      <c r="M133" s="20"/>
      <c r="N133" s="20"/>
      <c r="O133" s="20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</row>
    <row r="134" s="6" customFormat="1" spans="1:97">
      <c r="A134" s="18"/>
      <c r="B134" s="13"/>
      <c r="C134" s="25"/>
      <c r="D134" s="16" t="s">
        <v>47</v>
      </c>
      <c r="E134" s="16" t="s">
        <v>39</v>
      </c>
      <c r="F134" s="16" t="s">
        <v>66</v>
      </c>
      <c r="G134" s="16" t="s">
        <v>31</v>
      </c>
      <c r="H134" s="16" t="s">
        <v>62</v>
      </c>
      <c r="I134" s="21" t="s">
        <v>35</v>
      </c>
      <c r="J134" s="26" t="s">
        <v>63</v>
      </c>
      <c r="K134" s="22" t="s">
        <v>35</v>
      </c>
      <c r="L134" s="22" t="s">
        <v>62</v>
      </c>
      <c r="M134" s="22" t="s">
        <v>61</v>
      </c>
      <c r="N134" s="22" t="s">
        <v>64</v>
      </c>
      <c r="O134" s="22" t="s">
        <v>66</v>
      </c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</row>
    <row r="135" s="6" customFormat="1" spans="1:97">
      <c r="A135" s="18"/>
      <c r="B135" s="13"/>
      <c r="C135" s="25"/>
      <c r="D135" s="17" t="s">
        <v>468</v>
      </c>
      <c r="E135" s="17" t="s">
        <v>469</v>
      </c>
      <c r="F135" s="17" t="s">
        <v>470</v>
      </c>
      <c r="G135" s="17" t="s">
        <v>471</v>
      </c>
      <c r="H135" s="17" t="s">
        <v>472</v>
      </c>
      <c r="I135" s="23" t="s">
        <v>473</v>
      </c>
      <c r="J135" s="23" t="s">
        <v>474</v>
      </c>
      <c r="K135" s="24" t="s">
        <v>475</v>
      </c>
      <c r="L135" s="24" t="s">
        <v>476</v>
      </c>
      <c r="M135" s="24" t="s">
        <v>477</v>
      </c>
      <c r="N135" s="24" t="s">
        <v>478</v>
      </c>
      <c r="O135" s="24" t="s">
        <v>467</v>
      </c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</row>
    <row r="136" s="6" customFormat="1" spans="1:97">
      <c r="A136" s="18"/>
      <c r="B136" s="13"/>
      <c r="C136" s="25"/>
      <c r="D136" s="15"/>
      <c r="E136" s="15"/>
      <c r="F136" s="15"/>
      <c r="G136" s="15"/>
      <c r="H136" s="15"/>
      <c r="I136" s="19"/>
      <c r="J136" s="19"/>
      <c r="K136" s="20"/>
      <c r="L136" s="20"/>
      <c r="M136" s="20"/>
      <c r="N136" s="20"/>
      <c r="O136" s="20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</row>
    <row r="137" s="6" customFormat="1" spans="1:97">
      <c r="A137" s="18"/>
      <c r="B137" s="13"/>
      <c r="C137" s="25"/>
      <c r="D137" s="16" t="s">
        <v>50</v>
      </c>
      <c r="E137" s="16" t="s">
        <v>50</v>
      </c>
      <c r="F137" s="16" t="s">
        <v>41</v>
      </c>
      <c r="G137" s="16" t="s">
        <v>62</v>
      </c>
      <c r="H137" s="16" t="s">
        <v>67</v>
      </c>
      <c r="I137" s="21" t="s">
        <v>66</v>
      </c>
      <c r="J137" s="21" t="s">
        <v>56</v>
      </c>
      <c r="K137" s="22" t="s">
        <v>63</v>
      </c>
      <c r="L137" s="22" t="s">
        <v>67</v>
      </c>
      <c r="M137" s="22" t="s">
        <v>35</v>
      </c>
      <c r="N137" s="22" t="s">
        <v>68</v>
      </c>
      <c r="O137" s="22" t="s">
        <v>43</v>
      </c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</row>
    <row r="138" s="6" customFormat="1" spans="1:97">
      <c r="A138" s="18"/>
      <c r="B138" s="13"/>
      <c r="C138" s="25"/>
      <c r="D138" s="17" t="s">
        <v>479</v>
      </c>
      <c r="E138" s="17" t="s">
        <v>480</v>
      </c>
      <c r="F138" s="17" t="s">
        <v>426</v>
      </c>
      <c r="G138" s="17" t="s">
        <v>481</v>
      </c>
      <c r="H138" s="17" t="s">
        <v>482</v>
      </c>
      <c r="I138" s="23" t="s">
        <v>483</v>
      </c>
      <c r="J138" s="23" t="s">
        <v>484</v>
      </c>
      <c r="K138" s="24" t="s">
        <v>485</v>
      </c>
      <c r="L138" s="24" t="s">
        <v>486</v>
      </c>
      <c r="M138" s="24" t="s">
        <v>487</v>
      </c>
      <c r="N138" s="24" t="s">
        <v>488</v>
      </c>
      <c r="O138" s="24" t="s">
        <v>489</v>
      </c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</row>
    <row r="139" s="6" customFormat="1" spans="1:97">
      <c r="A139" s="18"/>
      <c r="B139" s="13"/>
      <c r="C139" s="25"/>
      <c r="D139" s="16"/>
      <c r="E139" s="16"/>
      <c r="F139" s="16"/>
      <c r="G139" s="16"/>
      <c r="H139" s="16"/>
      <c r="I139" s="21"/>
      <c r="J139" s="21"/>
      <c r="K139" s="22"/>
      <c r="L139" s="22"/>
      <c r="M139" s="22"/>
      <c r="N139" s="22"/>
      <c r="O139" s="22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</row>
    <row r="140" s="6" customFormat="1" spans="1:97">
      <c r="A140" s="18"/>
      <c r="B140" s="13"/>
      <c r="C140" s="25"/>
      <c r="D140" s="15"/>
      <c r="E140" s="15"/>
      <c r="F140" s="15"/>
      <c r="G140" s="15"/>
      <c r="H140" s="15"/>
      <c r="I140" s="19"/>
      <c r="J140" s="19"/>
      <c r="K140" s="20"/>
      <c r="L140" s="20"/>
      <c r="M140" s="20"/>
      <c r="N140" s="20"/>
      <c r="O140" s="20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</row>
    <row r="141" s="6" customFormat="1" spans="1:97">
      <c r="A141" s="18"/>
      <c r="B141" s="13"/>
      <c r="C141" s="25"/>
      <c r="D141" s="16" t="s">
        <v>25</v>
      </c>
      <c r="E141" s="16" t="s">
        <v>66</v>
      </c>
      <c r="F141" s="16" t="s">
        <v>68</v>
      </c>
      <c r="G141" s="16" t="s">
        <v>47</v>
      </c>
      <c r="H141" s="16" t="s">
        <v>68</v>
      </c>
      <c r="I141" s="21" t="s">
        <v>64</v>
      </c>
      <c r="J141" s="21" t="s">
        <v>66</v>
      </c>
      <c r="K141" s="22" t="s">
        <v>67</v>
      </c>
      <c r="L141" s="22" t="s">
        <v>66</v>
      </c>
      <c r="M141" s="27" t="s">
        <v>50</v>
      </c>
      <c r="N141" s="22" t="s">
        <v>47</v>
      </c>
      <c r="O141" s="27" t="s">
        <v>67</v>
      </c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  <c r="BI141" s="18"/>
      <c r="BJ141" s="18"/>
      <c r="BK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</row>
    <row r="142" s="6" customFormat="1" spans="1:97">
      <c r="A142" s="18"/>
      <c r="B142" s="13"/>
      <c r="C142" s="25"/>
      <c r="D142" s="17" t="s">
        <v>490</v>
      </c>
      <c r="E142" s="17" t="s">
        <v>491</v>
      </c>
      <c r="F142" s="17" t="s">
        <v>437</v>
      </c>
      <c r="G142" s="17" t="s">
        <v>492</v>
      </c>
      <c r="H142" s="17" t="s">
        <v>482</v>
      </c>
      <c r="I142" s="23" t="s">
        <v>493</v>
      </c>
      <c r="J142" s="23" t="s">
        <v>494</v>
      </c>
      <c r="K142" s="24" t="s">
        <v>495</v>
      </c>
      <c r="L142" s="24" t="s">
        <v>496</v>
      </c>
      <c r="M142" s="24" t="s">
        <v>497</v>
      </c>
      <c r="N142" s="24" t="s">
        <v>498</v>
      </c>
      <c r="O142" s="24" t="s">
        <v>499</v>
      </c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</row>
    <row r="143" s="6" customFormat="1" spans="1:97">
      <c r="A143" s="18"/>
      <c r="B143" s="13"/>
      <c r="C143" s="25"/>
      <c r="D143" s="16"/>
      <c r="E143" s="16"/>
      <c r="F143" s="16"/>
      <c r="G143" s="16"/>
      <c r="H143" s="16"/>
      <c r="I143" s="21"/>
      <c r="J143" s="21"/>
      <c r="K143" s="22"/>
      <c r="L143" s="22"/>
      <c r="M143" s="22"/>
      <c r="N143" s="22"/>
      <c r="O143" s="22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  <c r="BI143" s="18"/>
      <c r="BJ143" s="18"/>
      <c r="BK143" s="18"/>
      <c r="BL143" s="18"/>
      <c r="BM143" s="18"/>
      <c r="BN143" s="18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</row>
    <row r="144" s="6" customFormat="1" spans="1:97">
      <c r="A144" s="18"/>
      <c r="B144" s="13"/>
      <c r="C144" s="25"/>
      <c r="D144" s="15"/>
      <c r="E144" s="15"/>
      <c r="F144" s="15"/>
      <c r="G144" s="15"/>
      <c r="H144" s="15"/>
      <c r="I144" s="19"/>
      <c r="J144" s="19"/>
      <c r="K144" s="20"/>
      <c r="L144" s="20"/>
      <c r="M144" s="20"/>
      <c r="N144" s="20"/>
      <c r="O144" s="20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  <c r="BI144" s="18"/>
      <c r="BJ144" s="18"/>
      <c r="BK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</row>
    <row r="145" s="6" customFormat="1" spans="1:97">
      <c r="A145" s="18"/>
      <c r="B145" s="13"/>
      <c r="C145" s="25"/>
      <c r="D145" s="16" t="s">
        <v>51</v>
      </c>
      <c r="E145" s="16" t="s">
        <v>64</v>
      </c>
      <c r="F145" s="16" t="s">
        <v>55</v>
      </c>
      <c r="G145" s="16" t="s">
        <v>25</v>
      </c>
      <c r="H145" s="16" t="s">
        <v>64</v>
      </c>
      <c r="I145" s="21" t="s">
        <v>33</v>
      </c>
      <c r="J145" s="21" t="s">
        <v>50</v>
      </c>
      <c r="K145" s="22" t="s">
        <v>62</v>
      </c>
      <c r="L145" s="22" t="s">
        <v>64</v>
      </c>
      <c r="M145" s="22" t="s">
        <v>41</v>
      </c>
      <c r="N145" s="22" t="s">
        <v>49</v>
      </c>
      <c r="O145" s="22" t="s">
        <v>62</v>
      </c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  <c r="BI145" s="18"/>
      <c r="BJ145" s="18"/>
      <c r="BK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</row>
    <row r="146" s="6" customFormat="1" spans="1:97">
      <c r="A146" s="18"/>
      <c r="B146" s="13"/>
      <c r="C146" s="25"/>
      <c r="D146" s="17" t="s">
        <v>490</v>
      </c>
      <c r="E146" s="17" t="s">
        <v>500</v>
      </c>
      <c r="F146" s="17" t="s">
        <v>501</v>
      </c>
      <c r="G146" s="17" t="s">
        <v>414</v>
      </c>
      <c r="H146" s="17" t="s">
        <v>502</v>
      </c>
      <c r="I146" s="23" t="s">
        <v>493</v>
      </c>
      <c r="J146" s="23" t="s">
        <v>503</v>
      </c>
      <c r="K146" s="24" t="s">
        <v>495</v>
      </c>
      <c r="L146" s="24" t="s">
        <v>504</v>
      </c>
      <c r="M146" s="24" t="s">
        <v>505</v>
      </c>
      <c r="N146" s="24" t="s">
        <v>506</v>
      </c>
      <c r="O146" s="24" t="s">
        <v>507</v>
      </c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</row>
    <row r="147" s="6" customFormat="1" spans="1:97">
      <c r="A147" s="18"/>
      <c r="B147" s="13"/>
      <c r="C147" s="25"/>
      <c r="D147" s="25"/>
      <c r="E147" s="15"/>
      <c r="F147" s="15"/>
      <c r="G147" s="15"/>
      <c r="H147" s="15"/>
      <c r="I147" s="19"/>
      <c r="J147" s="19"/>
      <c r="K147" s="20"/>
      <c r="L147" s="20"/>
      <c r="M147" s="20"/>
      <c r="N147" s="20"/>
      <c r="O147" s="20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</row>
    <row r="148" s="6" customFormat="1" spans="1:97">
      <c r="A148" s="18"/>
      <c r="B148" s="13"/>
      <c r="C148" s="25"/>
      <c r="D148" s="25"/>
      <c r="E148" s="16" t="s">
        <v>51</v>
      </c>
      <c r="F148" s="16" t="s">
        <v>51</v>
      </c>
      <c r="G148" s="16" t="s">
        <v>51</v>
      </c>
      <c r="H148" s="16" t="s">
        <v>51</v>
      </c>
      <c r="I148" s="21" t="s">
        <v>51</v>
      </c>
      <c r="J148" s="21" t="s">
        <v>51</v>
      </c>
      <c r="K148" s="22" t="s">
        <v>51</v>
      </c>
      <c r="L148" s="22" t="s">
        <v>51</v>
      </c>
      <c r="M148" s="22" t="s">
        <v>51</v>
      </c>
      <c r="N148" s="22" t="s">
        <v>51</v>
      </c>
      <c r="O148" s="22" t="s">
        <v>51</v>
      </c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</row>
    <row r="149" s="6" customFormat="1" spans="1:97">
      <c r="A149" s="18"/>
      <c r="B149" s="13"/>
      <c r="C149" s="25"/>
      <c r="D149" s="25"/>
      <c r="E149" s="17" t="s">
        <v>508</v>
      </c>
      <c r="F149" s="17" t="s">
        <v>501</v>
      </c>
      <c r="G149" s="17" t="s">
        <v>426</v>
      </c>
      <c r="H149" s="17" t="s">
        <v>509</v>
      </c>
      <c r="I149" s="23" t="s">
        <v>510</v>
      </c>
      <c r="J149" s="23" t="s">
        <v>511</v>
      </c>
      <c r="K149" s="24" t="s">
        <v>512</v>
      </c>
      <c r="L149" s="24" t="s">
        <v>513</v>
      </c>
      <c r="M149" s="24" t="s">
        <v>505</v>
      </c>
      <c r="N149" s="24" t="s">
        <v>514</v>
      </c>
      <c r="O149" s="24" t="s">
        <v>515</v>
      </c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  <c r="BI149" s="18"/>
      <c r="BJ149" s="18"/>
      <c r="BK149" s="18"/>
      <c r="BL149" s="18"/>
      <c r="BM149" s="18"/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</row>
    <row r="150" s="6" customFormat="1" spans="1:97">
      <c r="A150" s="18"/>
      <c r="B150" s="13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</row>
    <row r="151" s="6" customFormat="1" spans="1:97">
      <c r="A151" s="18"/>
      <c r="B151" s="13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</row>
    <row r="152" s="6" customFormat="1" spans="1:97">
      <c r="A152" s="18"/>
      <c r="B152" s="13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</row>
    <row r="153" s="6" customFormat="1" spans="1:97">
      <c r="A153" s="18"/>
      <c r="B153" s="13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  <c r="BI153" s="18"/>
      <c r="BJ153" s="18"/>
      <c r="BK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</row>
    <row r="154" s="6" customFormat="1" spans="1:97">
      <c r="A154" s="18"/>
      <c r="B154" s="13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18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</row>
    <row r="155" s="6" customFormat="1" spans="1:97">
      <c r="A155" s="18"/>
      <c r="B155" s="13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  <c r="BI155" s="18"/>
      <c r="BJ155" s="18"/>
      <c r="BK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</row>
    <row r="156" s="6" customFormat="1" spans="1:97">
      <c r="A156" s="18"/>
      <c r="B156" s="13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</row>
    <row r="157" s="6" customFormat="1" spans="1:97">
      <c r="A157" s="18"/>
      <c r="B157" s="13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</row>
    <row r="158" s="6" customFormat="1" spans="1:97">
      <c r="A158" s="18"/>
      <c r="B158" s="13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  <c r="BI158" s="18"/>
      <c r="BJ158" s="18"/>
      <c r="BK158" s="18"/>
      <c r="BL158" s="18"/>
      <c r="BM158" s="18"/>
      <c r="BN158" s="18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</row>
    <row r="159" s="6" customFormat="1" spans="1:97">
      <c r="A159" s="18"/>
      <c r="B159" s="13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</row>
    <row r="160" s="6" customFormat="1" spans="1:97">
      <c r="A160" s="18"/>
      <c r="B160" s="13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</row>
    <row r="161" s="6" customFormat="1" spans="1:97">
      <c r="A161" s="18"/>
      <c r="B161" s="13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</row>
    <row r="162" s="6" customFormat="1" spans="1:97">
      <c r="A162" s="18"/>
      <c r="B162" s="13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</row>
    <row r="163" s="6" customFormat="1" spans="1:97">
      <c r="A163" s="18"/>
      <c r="B163" s="13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</row>
    <row r="164" s="6" customFormat="1" spans="1:97">
      <c r="A164" s="18"/>
      <c r="B164" s="13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</row>
    <row r="165" s="6" customFormat="1" spans="1:97">
      <c r="A165" s="18"/>
      <c r="B165" s="13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</row>
    <row r="166" s="6" customFormat="1" spans="1:97">
      <c r="A166" s="18"/>
      <c r="B166" s="13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</row>
    <row r="167" s="6" customFormat="1" spans="1:97">
      <c r="A167" s="18"/>
      <c r="B167" s="13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</row>
    <row r="168" s="6" customFormat="1" spans="1:97">
      <c r="A168" s="18"/>
      <c r="B168" s="13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</row>
    <row r="169" s="6" customFormat="1" spans="1:97">
      <c r="A169" s="18"/>
      <c r="B169" s="13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</row>
    <row r="170" s="6" customFormat="1" spans="1:97">
      <c r="A170" s="18"/>
      <c r="B170" s="13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</row>
    <row r="171" s="6" customFormat="1" spans="1:97">
      <c r="A171" s="18"/>
      <c r="B171" s="13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</row>
    <row r="172" s="6" customFormat="1" spans="1:97">
      <c r="A172" s="18"/>
      <c r="B172" s="13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</row>
    <row r="173" s="6" customFormat="1" spans="1:97">
      <c r="A173" s="18"/>
      <c r="B173" s="13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</row>
    <row r="174" s="6" customFormat="1" spans="1:97">
      <c r="A174" s="18"/>
      <c r="B174" s="13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  <c r="BI174" s="18"/>
      <c r="BJ174" s="18"/>
      <c r="BK174" s="18"/>
      <c r="BL174" s="18"/>
      <c r="BM174" s="18"/>
      <c r="BN174" s="18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</row>
    <row r="175" s="6" customFormat="1" spans="1:97">
      <c r="A175" s="18"/>
      <c r="B175" s="13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</row>
    <row r="176" s="6" customFormat="1" spans="1:97">
      <c r="A176" s="18"/>
      <c r="B176" s="13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  <c r="BI176" s="18"/>
      <c r="BJ176" s="18"/>
      <c r="BK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</row>
    <row r="177" s="6" customFormat="1" spans="1:97">
      <c r="A177" s="18"/>
      <c r="B177" s="13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  <c r="BL177" s="18"/>
      <c r="BM177" s="18"/>
      <c r="BN177" s="18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</row>
    <row r="178" s="6" customFormat="1" spans="1:97">
      <c r="A178" s="18"/>
      <c r="B178" s="13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  <c r="BL178" s="18"/>
      <c r="BM178" s="18"/>
      <c r="BN178" s="18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</row>
    <row r="179" s="6" customFormat="1" spans="1:97">
      <c r="A179" s="18"/>
      <c r="B179" s="13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</row>
    <row r="180" s="6" customFormat="1" spans="1:97">
      <c r="A180" s="18"/>
      <c r="B180" s="13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</row>
    <row r="181" s="6" customFormat="1" spans="1:97">
      <c r="A181" s="18"/>
      <c r="B181" s="13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</row>
    <row r="182" s="6" customFormat="1" spans="1:97">
      <c r="A182" s="18"/>
      <c r="B182" s="13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18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</row>
    <row r="183" s="6" customFormat="1" spans="1:97">
      <c r="A183" s="18"/>
      <c r="B183" s="13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  <c r="BI183" s="18"/>
      <c r="BJ183" s="18"/>
      <c r="BK183" s="18"/>
      <c r="BL183" s="18"/>
      <c r="BM183" s="18"/>
      <c r="BN183" s="18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</row>
    <row r="184" s="6" customFormat="1" spans="1:97">
      <c r="A184" s="18"/>
      <c r="B184" s="13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  <c r="BI184" s="18"/>
      <c r="BJ184" s="18"/>
      <c r="BK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</row>
    <row r="185" s="6" customFormat="1" spans="1:97">
      <c r="A185" s="18"/>
      <c r="B185" s="13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</row>
    <row r="186" s="6" customFormat="1" spans="1:97">
      <c r="A186" s="18"/>
      <c r="B186" s="13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  <c r="BL186" s="18"/>
      <c r="BM186" s="18"/>
      <c r="BN186" s="18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</row>
    <row r="187" s="6" customFormat="1" spans="1:97">
      <c r="A187" s="18"/>
      <c r="B187" s="13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</row>
    <row r="188" s="6" customFormat="1" spans="1:97">
      <c r="A188" s="18"/>
      <c r="B188" s="13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  <c r="BI188" s="18"/>
      <c r="BJ188" s="18"/>
      <c r="BK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</row>
    <row r="189" s="6" customFormat="1" spans="1:97">
      <c r="A189" s="18"/>
      <c r="B189" s="13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</row>
    <row r="190" s="6" customFormat="1" spans="1:97">
      <c r="A190" s="18"/>
      <c r="B190" s="13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</row>
    <row r="191" s="6" customFormat="1" spans="1:97">
      <c r="A191" s="18"/>
      <c r="B191" s="13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</row>
    <row r="192" s="6" customFormat="1" spans="1:97">
      <c r="A192" s="18"/>
      <c r="B192" s="13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</row>
    <row r="193" s="6" customFormat="1" spans="1:97">
      <c r="A193" s="18"/>
      <c r="B193" s="13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  <c r="BI193" s="18"/>
      <c r="BJ193" s="18"/>
      <c r="BK193" s="18"/>
      <c r="BL193" s="18"/>
      <c r="BM193" s="18"/>
      <c r="BN193" s="18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</row>
    <row r="194" s="6" customFormat="1" spans="1:97">
      <c r="A194" s="18"/>
      <c r="B194" s="13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</row>
    <row r="195" s="6" customFormat="1" spans="1:97">
      <c r="A195" s="18"/>
      <c r="B195" s="13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</row>
    <row r="196" s="6" customFormat="1" spans="1:97">
      <c r="A196" s="18"/>
      <c r="B196" s="13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</row>
    <row r="197" s="6" customFormat="1" spans="1:97">
      <c r="A197" s="18"/>
      <c r="B197" s="13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</row>
    <row r="198" s="6" customFormat="1" spans="1:97">
      <c r="A198" s="18"/>
      <c r="B198" s="13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8"/>
      <c r="BC198" s="18"/>
      <c r="BD198" s="18"/>
      <c r="BE198" s="18"/>
      <c r="BF198" s="18"/>
      <c r="BG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</row>
    <row r="199" s="6" customFormat="1" spans="1:97">
      <c r="A199" s="18"/>
      <c r="B199" s="13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</row>
    <row r="200" s="6" customFormat="1" spans="1:97">
      <c r="A200" s="18"/>
      <c r="B200" s="13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  <c r="BI200" s="18"/>
      <c r="BJ200" s="18"/>
      <c r="BK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</row>
    <row r="201" s="7" customFormat="1" spans="1:1">
      <c r="A201" s="8"/>
    </row>
    <row r="202" s="7" customFormat="1" spans="1:1">
      <c r="A202" s="8"/>
    </row>
    <row r="203" s="7" customFormat="1" spans="1:1">
      <c r="A203" s="8"/>
    </row>
    <row r="204" s="7" customFormat="1" spans="1:1">
      <c r="A204" s="8"/>
    </row>
  </sheetData>
  <sheetProtection formatCells="0" formatColumns="0" formatRows="0" insertHyperlinks="0"/>
  <mergeCells count="97">
    <mergeCell ref="A2:A3"/>
    <mergeCell ref="B1:B200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BP2:BP3"/>
    <mergeCell ref="BQ2:BQ3"/>
    <mergeCell ref="BR2:BR3"/>
    <mergeCell ref="BS2:BS3"/>
    <mergeCell ref="BT2:BT3"/>
    <mergeCell ref="BU2:BU3"/>
    <mergeCell ref="BV2:BV3"/>
    <mergeCell ref="BW2:BW3"/>
    <mergeCell ref="BX2:BX3"/>
    <mergeCell ref="BY2:BY3"/>
    <mergeCell ref="BZ2:BZ3"/>
    <mergeCell ref="CA2:CA3"/>
    <mergeCell ref="CB2:CB3"/>
    <mergeCell ref="CC2:CC3"/>
    <mergeCell ref="CD2:CD3"/>
    <mergeCell ref="CE2:CE3"/>
    <mergeCell ref="CF2:CF3"/>
    <mergeCell ref="CG2:CG3"/>
    <mergeCell ref="CH2:CH3"/>
    <mergeCell ref="CI2:CI3"/>
    <mergeCell ref="CJ2:CJ3"/>
    <mergeCell ref="CK2:CK3"/>
    <mergeCell ref="CL2:CL3"/>
    <mergeCell ref="CM2:CM3"/>
    <mergeCell ref="CN2:CN3"/>
    <mergeCell ref="CO2:CO3"/>
    <mergeCell ref="CP2:CP3"/>
    <mergeCell ref="CQ2:CQ3"/>
    <mergeCell ref="CR2:CR3"/>
    <mergeCell ref="CS2:CS3"/>
  </mergeCells>
  <hyperlinks>
    <hyperlink ref="D5" r:id="rId2" display="占玄辉" tooltip="https://client.qun.qq.com/qun_vote/javascript:;"/>
    <hyperlink ref="D9" r:id="rId2" display="柯常铝" tooltip="https://client.qun.qq.com/qun_vote/javascript:;"/>
    <hyperlink ref="D13" r:id="rId2" display="乔坤" tooltip="https://client.qun.qq.com/qun_vote/javascript:;"/>
    <hyperlink ref="D16" r:id="rId2" display="杨草晖" tooltip="https://client.qun.qq.com/qun_vote/javascript:;"/>
    <hyperlink ref="D20" r:id="rId2" display="周洋" tooltip="https://client.qun.qq.com/qun_vote/javascript:;"/>
    <hyperlink ref="D24" r:id="rId2" display="涂天赐" tooltip="https://client.qun.qq.com/qun_vote/javascript:;"/>
    <hyperlink ref="D27" r:id="rId2" display="陈创业" tooltip="https://client.qun.qq.com/qun_vote/javascript:;"/>
    <hyperlink ref="D31" r:id="rId2" display="丁江涛" tooltip="https://client.qun.qq.com/qun_vote/javascript:;"/>
    <hyperlink ref="D35" r:id="rId2" display="毛永恒" tooltip="https://client.qun.qq.com/qun_vote/javascript:;"/>
    <hyperlink ref="D38" r:id="rId2" display="熊立武" tooltip="https://client.qun.qq.com/qun_vote/javascript:;"/>
    <hyperlink ref="D42" r:id="rId2" display="刘腾" tooltip="https://client.qun.qq.com/qun_vote/javascript:;"/>
    <hyperlink ref="D46" r:id="rId2" display="王思雨" tooltip="https://client.qun.qq.com/qun_vote/javascript:;"/>
    <hyperlink ref="D49" r:id="rId2" display="黄锐" tooltip="https://client.qun.qq.com/qun_vote/javascript:;"/>
    <hyperlink ref="D53" r:id="rId2" display="朱磊" tooltip="https://client.qun.qq.com/qun_vote/javascript:;"/>
    <hyperlink ref="D57" r:id="rId2" display="周浩" tooltip="https://client.qun.qq.com/qun_vote/javascript:;"/>
    <hyperlink ref="D60" r:id="rId2" display="丁江" tooltip="https://client.qun.qq.com/qun_vote/javascript:;"/>
    <hyperlink ref="D64" r:id="rId2" display="李文霞" tooltip="https://client.qun.qq.com/qun_vote/javascript:;"/>
    <hyperlink ref="D68" r:id="rId2" display="柯雨婷" tooltip="https://client.qun.qq.com/qun_vote/javascript:;"/>
    <hyperlink ref="D71" r:id="rId2" display="徐文锃" tooltip="https://client.qun.qq.com/qun_vote/javascript:;"/>
    <hyperlink ref="D75" r:id="rId2" display="柯宇豪" tooltip="https://client.qun.qq.com/qun_vote/javascript:;"/>
    <hyperlink ref="D79" r:id="rId2" display="柯金梁" tooltip="https://client.qun.qq.com/qun_vote/javascript:;"/>
    <hyperlink ref="D82" r:id="rId2" display="陈相" tooltip="https://client.qun.qq.com/qun_vote/javascript:;"/>
    <hyperlink ref="D86" r:id="rId2" display="蔡振龙" tooltip="https://client.qun.qq.com/qun_vote/javascript:;"/>
    <hyperlink ref="D90" r:id="rId2" display="余飞" tooltip="https://client.qun.qq.com/qun_vote/javascript:;"/>
    <hyperlink ref="D93" r:id="rId2" display="余良成" tooltip="https://client.qun.qq.com/qun_vote/javascript:;"/>
    <hyperlink ref="D97" r:id="rId2" display="黄文辉" tooltip="https://client.qun.qq.com/qun_vote/javascript:;"/>
    <hyperlink ref="D101" r:id="rId2" display="郭衍钢" tooltip="https://client.qun.qq.com/qun_vote/javascript:;"/>
    <hyperlink ref="D104" r:id="rId2" display="马坚强" tooltip="https://client.qun.qq.com/qun_vote/javascript:;"/>
    <hyperlink ref="D108" r:id="rId2" display="赵卓然" tooltip="https://client.qun.qq.com/qun_vote/javascript:;"/>
    <hyperlink ref="D112" r:id="rId2" display="吴自强" tooltip="https://client.qun.qq.com/qun_vote/javascript:;"/>
    <hyperlink ref="D115" r:id="rId2" display="翁凯凯" tooltip="https://client.qun.qq.com/qun_vote/javascript:;"/>
    <hyperlink ref="D119" r:id="rId2" display="项康乐" tooltip="https://client.qun.qq.com/qun_vote/javascript:;"/>
    <hyperlink ref="D123" r:id="rId2" display="黄璟亮" tooltip="https://client.qun.qq.com/qun_vote/javascript:;"/>
    <hyperlink ref="D126" r:id="rId2" display="胡栋杰" tooltip="https://client.qun.qq.com/qun_vote/javascript:;"/>
    <hyperlink ref="D130" r:id="rId2" display="舒成昌" tooltip="https://client.qun.qq.com/qun_vote/javascript:;"/>
    <hyperlink ref="D134" r:id="rId2" display="费伟" tooltip="https://client.qun.qq.com/qun_vote/javascript:;"/>
    <hyperlink ref="D137" r:id="rId2" display="张扬" tooltip="https://client.qun.qq.com/qun_vote/javascript:;"/>
    <hyperlink ref="D141" r:id="rId2" display="阮光强" tooltip="https://client.qun.qq.com/qun_vote/javascript:;"/>
    <hyperlink ref="D145" r:id="rId2" display="周美霖" tooltip="https://client.qun.qq.com/qun_vote/javascript:;"/>
    <hyperlink ref="E5" r:id="rId2" display="柯常铝" tooltip="https://client.qun.qq.com/qun_vote/javascript:;"/>
    <hyperlink ref="E9" r:id="rId2" display="乔坤" tooltip="https://client.qun.qq.com/qun_vote/javascript:;"/>
    <hyperlink ref="E13" r:id="rId2" display="阮光强" tooltip="https://client.qun.qq.com/qun_vote/javascript:;"/>
    <hyperlink ref="E16" r:id="rId2" display="周洋" tooltip="https://client.qun.qq.com/qun_vote/javascript:;"/>
    <hyperlink ref="E20" r:id="rId2" display="柯雨婷" tooltip="https://client.qun.qq.com/qun_vote/javascript:;"/>
    <hyperlink ref="E24" r:id="rId2" display="丁江涛" tooltip="https://client.qun.qq.com/qun_vote/javascript:;"/>
    <hyperlink ref="E27" r:id="rId2" display="杨草晖" tooltip="https://client.qun.qq.com/qun_vote/javascript:;"/>
    <hyperlink ref="E31" r:id="rId2" display="项康乐" tooltip="https://client.qun.qq.com/qun_vote/javascript:;"/>
    <hyperlink ref="E35" r:id="rId2" display="朱磊" tooltip="https://client.qun.qq.com/qun_vote/javascript:;"/>
    <hyperlink ref="E38" r:id="rId2" display="余良成" tooltip="https://client.qun.qq.com/qun_vote/javascript:;"/>
    <hyperlink ref="E42" r:id="rId2" display="李文霞" tooltip="https://client.qun.qq.com/qun_vote/javascript:;"/>
    <hyperlink ref="E46" r:id="rId2" display="熊立武" tooltip="https://client.qun.qq.com/qun_vote/javascript:;"/>
    <hyperlink ref="E49" r:id="rId2" display="冯俊" tooltip="https://client.qun.qq.com/qun_vote/javascript:;"/>
    <hyperlink ref="E53" r:id="rId2" display="蔡振龙" tooltip="https://client.qun.qq.com/qun_vote/javascript:;"/>
    <hyperlink ref="E57" r:id="rId2" display="黄锐" tooltip="https://client.qun.qq.com/qun_vote/javascript:;"/>
    <hyperlink ref="E60" r:id="rId2" display="余飞" tooltip="https://client.qun.qq.com/qun_vote/javascript:;"/>
    <hyperlink ref="E64" r:id="rId2" display="王思雨" tooltip="https://client.qun.qq.com/qun_vote/javascript:;"/>
    <hyperlink ref="E68" r:id="rId2" display="涂天赐" tooltip="https://client.qun.qq.com/qun_vote/javascript:;"/>
    <hyperlink ref="E71" r:id="rId2" display="丁江" tooltip="https://client.qun.qq.com/qun_vote/javascript:;"/>
    <hyperlink ref="E75" r:id="rId2" display="柯金梁" tooltip="https://client.qun.qq.com/qun_vote/javascript:;"/>
    <hyperlink ref="E79" r:id="rId2" display="刘腾" tooltip="https://client.qun.qq.com/qun_vote/javascript:;"/>
    <hyperlink ref="E82" r:id="rId2" display="周浩" tooltip="https://client.qun.qq.com/qun_vote/javascript:;"/>
    <hyperlink ref="E86" r:id="rId2" display="徐文锃" tooltip="https://client.qun.qq.com/qun_vote/javascript:;"/>
    <hyperlink ref="E90" r:id="rId2" display="吴自强" tooltip="https://client.qun.qq.com/qun_vote/javascript:;"/>
    <hyperlink ref="E93" r:id="rId2" display="柯宇豪" tooltip="https://client.qun.qq.com/qun_vote/javascript:;"/>
    <hyperlink ref="E97" r:id="rId2" display="翁凯凯" tooltip="https://client.qun.qq.com/qun_vote/javascript:;"/>
    <hyperlink ref="E101" r:id="rId2" display="赵卓然" tooltip="https://client.qun.qq.com/qun_vote/javascript:;"/>
    <hyperlink ref="E104" r:id="rId2" display="费伟" tooltip="https://client.qun.qq.com/qun_vote/javascript:;"/>
    <hyperlink ref="E108" r:id="rId2" display="陈创业" tooltip="https://client.qun.qq.com/qun_vote/javascript:;"/>
    <hyperlink ref="E112" r:id="rId2" display="毛永恒" tooltip="https://client.qun.qq.com/qun_vote/javascript:;"/>
    <hyperlink ref="E115" r:id="rId2" display="黄文辉" tooltip="https://client.qun.qq.com/qun_vote/javascript:;"/>
    <hyperlink ref="E119" r:id="rId2" display="郭衍钢" tooltip="https://client.qun.qq.com/qun_vote/javascript:;"/>
    <hyperlink ref="E123" r:id="rId2" display="胡栋杰" tooltip="https://client.qun.qq.com/qun_vote/javascript:;"/>
    <hyperlink ref="E126" r:id="rId2" display="黄璟亮" tooltip="https://client.qun.qq.com/qun_vote/javascript:;"/>
    <hyperlink ref="E130" r:id="rId2" display="马坚强" tooltip="https://client.qun.qq.com/qun_vote/javascript:;"/>
    <hyperlink ref="E134" r:id="rId2" display="舒成昌" tooltip="https://client.qun.qq.com/qun_vote/javascript:;"/>
    <hyperlink ref="E137" r:id="rId2" display="张扬" tooltip="https://client.qun.qq.com/qun_vote/javascript:;"/>
    <hyperlink ref="E141" r:id="rId2" display="占玄辉" tooltip="https://client.qun.qq.com/qun_vote/javascript:;"/>
    <hyperlink ref="E145" r:id="rId2" display="陈相" tooltip="https://client.qun.qq.com/qun_vote/javascript:;"/>
    <hyperlink ref="F5" r:id="rId2" display="周洋" tooltip="https://client.qun.qq.com/qun_vote/javascript:;"/>
    <hyperlink ref="F9" r:id="rId2" display="乔坤" tooltip="https://client.qun.qq.com/qun_vote/javascript:;"/>
    <hyperlink ref="F13" r:id="rId2" display="柯常铝" tooltip="https://client.qun.qq.com/qun_vote/javascript:;"/>
    <hyperlink ref="F16" r:id="rId2" display="陈相" tooltip="https://client.qun.qq.com/qun_vote/javascript:;"/>
    <hyperlink ref="F20" r:id="rId2" display="阮光强" tooltip="https://client.qun.qq.com/qun_vote/javascript:;"/>
    <hyperlink ref="F24" r:id="rId2" display="丁江涛" tooltip="https://client.qun.qq.com/qun_vote/javascript:;"/>
    <hyperlink ref="F27" r:id="rId2" display="刘腾" tooltip="https://client.qun.qq.com/qun_vote/javascript:;"/>
    <hyperlink ref="F31" r:id="rId2" display="舒成昌" tooltip="https://client.qun.qq.com/qun_vote/javascript:;"/>
    <hyperlink ref="F35" r:id="rId2" display="陈创业" tooltip="https://client.qun.qq.com/qun_vote/javascript:;"/>
    <hyperlink ref="F38" r:id="rId2" display="黄锐" tooltip="https://client.qun.qq.com/qun_vote/javascript:;"/>
    <hyperlink ref="F42" r:id="rId2" display="朱磊" tooltip="https://client.qun.qq.com/qun_vote/javascript:;"/>
    <hyperlink ref="F46" r:id="rId2" display="杨草晖" tooltip="https://client.qun.qq.com/qun_vote/javascript:;"/>
    <hyperlink ref="F49" r:id="rId2" display="涂天赐" tooltip="https://client.qun.qq.com/qun_vote/javascript:;"/>
    <hyperlink ref="F53" r:id="rId2" display="熊立武" tooltip="https://client.qun.qq.com/qun_vote/javascript:;"/>
    <hyperlink ref="F57" r:id="rId2" display="余良成" tooltip="https://client.qun.qq.com/qun_vote/javascript:;"/>
    <hyperlink ref="F60" r:id="rId2" display="丁江" tooltip="https://client.qun.qq.com/qun_vote/javascript:;"/>
    <hyperlink ref="F64" r:id="rId2" display="吴自强" tooltip="https://client.qun.qq.com/qun_vote/javascript:;"/>
    <hyperlink ref="F68" r:id="rId2" display="郭衍钢" tooltip="https://client.qun.qq.com/qun_vote/javascript:;"/>
    <hyperlink ref="F71" r:id="rId2" display="李文霞" tooltip="https://client.qun.qq.com/qun_vote/javascript:;"/>
    <hyperlink ref="F75" r:id="rId2" display="柯宇豪" tooltip="https://client.qun.qq.com/qun_vote/javascript:;"/>
    <hyperlink ref="F79" r:id="rId2" display="余飞" tooltip="https://client.qun.qq.com/qun_vote/javascript:;"/>
    <hyperlink ref="F82" r:id="rId2" display="黄璟亮" tooltip="https://client.qun.qq.com/qun_vote/javascript:;"/>
    <hyperlink ref="F86" r:id="rId2" display="柯雨婷" tooltip="https://client.qun.qq.com/qun_vote/javascript:;"/>
    <hyperlink ref="F90" r:id="rId2" display="蔡振龙" tooltip="https://client.qun.qq.com/qun_vote/javascript:;"/>
    <hyperlink ref="F93" r:id="rId2" display="周浩" tooltip="https://client.qun.qq.com/qun_vote/javascript:;"/>
    <hyperlink ref="F97" r:id="rId2" display="徐文锃" tooltip="https://client.qun.qq.com/qun_vote/javascript:;"/>
    <hyperlink ref="F101" r:id="rId2" display="赵卓然" tooltip="https://client.qun.qq.com/qun_vote/javascript:;"/>
    <hyperlink ref="F104" r:id="rId2" display="翁凯凯" tooltip="https://client.qun.qq.com/qun_vote/javascript:;"/>
    <hyperlink ref="F108" r:id="rId2" display="毛永恒" tooltip="https://client.qun.qq.com/qun_vote/javascript:;"/>
    <hyperlink ref="F112" r:id="rId2" display="黄文辉" tooltip="https://client.qun.qq.com/qun_vote/javascript:;"/>
    <hyperlink ref="F115" r:id="rId2" display="马坚强" tooltip="https://client.qun.qq.com/qun_vote/javascript:;"/>
    <hyperlink ref="F119" r:id="rId2" display="柯金梁" tooltip="https://client.qun.qq.com/qun_vote/javascript:;"/>
    <hyperlink ref="F123" r:id="rId2" display="胡栋杰" tooltip="https://client.qun.qq.com/qun_vote/javascript:;"/>
    <hyperlink ref="F126" r:id="rId2" display="费伟" tooltip="https://client.qun.qq.com/qun_vote/javascript:;"/>
    <hyperlink ref="F130" r:id="rId2" display="张扬" tooltip="https://client.qun.qq.com/qun_vote/javascript:;"/>
    <hyperlink ref="F134" r:id="rId2" display="占玄辉" tooltip="https://client.qun.qq.com/qun_vote/javascript:;"/>
    <hyperlink ref="F137" r:id="rId2" display="项康乐" tooltip="https://client.qun.qq.com/qun_vote/javascript:;"/>
    <hyperlink ref="F141" r:id="rId2" display="王思雨" tooltip="https://client.qun.qq.com/qun_vote/javascript:;"/>
    <hyperlink ref="F145" r:id="rId2" display="冯俊" tooltip="https://client.qun.qq.com/qun_vote/javascript:;"/>
    <hyperlink ref="F148" r:id="rId2" display="周美霖" tooltip="https://client.qun.qq.com/qun_vote/javascript:;"/>
    <hyperlink ref="E148" r:id="rId2" display="周美霖" tooltip="https://client.qun.qq.com/qun_vote/javascript:;"/>
    <hyperlink ref="G5" r:id="rId2" display="乔坤" tooltip="https://client.qun.qq.com/qun_vote/javascript:;"/>
    <hyperlink ref="G9" r:id="rId2" display="熊立武" tooltip="https://client.qun.qq.com/qun_vote/javascript:;"/>
    <hyperlink ref="G13" r:id="rId2" display="王思雨" tooltip="https://client.qun.qq.com/qun_vote/javascript:;"/>
    <hyperlink ref="G16" r:id="rId2" display="吴自强" tooltip="https://client.qun.qq.com/qun_vote/javascript:;"/>
    <hyperlink ref="G20" r:id="rId2" display="柯雨婷" tooltip="https://client.qun.qq.com/qun_vote/javascript:;"/>
    <hyperlink ref="G24" r:id="rId2" display="丁江涛" tooltip="https://client.qun.qq.com/qun_vote/javascript:;"/>
    <hyperlink ref="G27" r:id="rId2" display="占玄辉" tooltip="https://client.qun.qq.com/qun_vote/javascript:;"/>
    <hyperlink ref="G31" r:id="rId2" display="舒成昌" tooltip="https://client.qun.qq.com/qun_vote/javascript:;"/>
    <hyperlink ref="G35" r:id="rId2" display="余良成" tooltip="https://client.qun.qq.com/qun_vote/javascript:;"/>
    <hyperlink ref="G38" r:id="rId2" display="涂天赐" tooltip="https://client.qun.qq.com/qun_vote/javascript:;"/>
    <hyperlink ref="G42" r:id="rId2" display="李文霞" tooltip="https://client.qun.qq.com/qun_vote/javascript:;"/>
    <hyperlink ref="G46" r:id="rId2" display="朱磊" tooltip="https://client.qun.qq.com/qun_vote/javascript:;"/>
    <hyperlink ref="G49" r:id="rId2" display="周浩" tooltip="https://client.qun.qq.com/qun_vote/javascript:;"/>
    <hyperlink ref="G53" r:id="rId2" display="柯宇豪" tooltip="https://client.qun.qq.com/qun_vote/javascript:;"/>
    <hyperlink ref="G57" r:id="rId2" display="蔡振龙" tooltip="https://client.qun.qq.com/qun_vote/javascript:;"/>
    <hyperlink ref="G60" r:id="rId2" display="柯常铝" tooltip="https://client.qun.qq.com/qun_vote/javascript:;"/>
    <hyperlink ref="G64" r:id="rId2" display="黄璟亮" tooltip="https://client.qun.qq.com/qun_vote/javascript:;"/>
    <hyperlink ref="G68" r:id="rId2" display="余飞" tooltip="https://client.qun.qq.com/qun_vote/javascript:;"/>
    <hyperlink ref="G71" r:id="rId2" display="杨草晖" tooltip="https://client.qun.qq.com/qun_vote/javascript:;"/>
    <hyperlink ref="G75" r:id="rId2" display="徐文锃" tooltip="https://client.qun.qq.com/qun_vote/javascript:;"/>
    <hyperlink ref="G79" r:id="rId2" display="周洋" tooltip="https://client.qun.qq.com/qun_vote/javascript:;"/>
    <hyperlink ref="G82" r:id="rId2" display="刘腾" tooltip="https://client.qun.qq.com/qun_vote/javascript:;"/>
    <hyperlink ref="G86" r:id="rId2" display="丁江" tooltip="https://client.qun.qq.com/qun_vote/javascript:;"/>
    <hyperlink ref="G90" r:id="rId2" display="毛永恒" tooltip="https://client.qun.qq.com/qun_vote/javascript:;"/>
    <hyperlink ref="G93" r:id="rId2" display="陈创业" tooltip="https://client.qun.qq.com/qun_vote/javascript:;"/>
    <hyperlink ref="G97" r:id="rId2" display="黄锐" tooltip="https://client.qun.qq.com/qun_vote/javascript:;"/>
    <hyperlink ref="G101" r:id="rId2" display="黄文辉" tooltip="https://client.qun.qq.com/qun_vote/javascript:;"/>
    <hyperlink ref="G104" r:id="rId2" display="张扬" tooltip="https://client.qun.qq.com/qun_vote/javascript:;"/>
    <hyperlink ref="G108" r:id="rId2" display="翁凯凯" tooltip="https://client.qun.qq.com/qun_vote/javascript:;"/>
    <hyperlink ref="G112" r:id="rId2" display="郭衍钢" tooltip="https://client.qun.qq.com/qun_vote/javascript:;"/>
    <hyperlink ref="G115" r:id="rId2" display="柯金梁" tooltip="https://client.qun.qq.com/qun_vote/javascript:;"/>
    <hyperlink ref="G119" r:id="rId2" display="项康乐" tooltip="https://client.qun.qq.com/qun_vote/javascript:;"/>
    <hyperlink ref="G123" r:id="rId2" display="马坚强" tooltip="https://client.qun.qq.com/qun_vote/javascript:;"/>
    <hyperlink ref="G126" r:id="rId2" display="冯俊" tooltip="https://client.qun.qq.com/qun_vote/javascript:;"/>
    <hyperlink ref="G130" r:id="rId2" display="陈相" tooltip="https://client.qun.qq.com/qun_vote/javascript:;"/>
    <hyperlink ref="G134" r:id="rId2" display="赵卓然" tooltip="https://client.qun.qq.com/qun_vote/javascript:;"/>
    <hyperlink ref="G137" r:id="rId2" display="胡栋杰" tooltip="https://client.qun.qq.com/qun_vote/javascript:;"/>
    <hyperlink ref="G141" r:id="rId2" display="费伟" tooltip="https://client.qun.qq.com/qun_vote/javascript:;"/>
    <hyperlink ref="G145" r:id="rId2" display="阮光强" tooltip="https://client.qun.qq.com/qun_vote/javascript:;"/>
    <hyperlink ref="G148" r:id="rId2" display="周美霖" tooltip="https://client.qun.qq.com/qun_vote/javascript:;"/>
    <hyperlink ref="H5" r:id="rId2" display="丁江涛" tooltip="https://client.qun.qq.com/qun_vote/javascript:;"/>
    <hyperlink ref="H9" r:id="rId2" display="舒成昌" tooltip="https://client.qun.qq.com/qun_vote/javascript:;"/>
    <hyperlink ref="H13" r:id="rId2" display="占玄辉" tooltip="https://client.qun.qq.com/qun_vote/javascript:;"/>
    <hyperlink ref="H16" r:id="rId2" display="阮光强" tooltip="https://client.qun.qq.com/qun_vote/javascript:;"/>
    <hyperlink ref="H20" r:id="rId2" display="李文霞" tooltip="https://client.qun.qq.com/qun_vote/javascript:;"/>
    <hyperlink ref="H24" r:id="rId2" display="熊立武" tooltip="https://client.qun.qq.com/qun_vote/javascript:;"/>
    <hyperlink ref="H27" r:id="rId2" display="乔坤" tooltip="https://client.qun.qq.com/qun_vote/javascript:;"/>
    <hyperlink ref="H31" r:id="rId2" display="余良成" tooltip="https://client.qun.qq.com/qun_vote/javascript:;"/>
    <hyperlink ref="H35" r:id="rId2" display="丁江" tooltip="https://client.qun.qq.com/qun_vote/javascript:;"/>
    <hyperlink ref="H38" r:id="rId2" display="涂天赐" tooltip="https://client.qun.qq.com/qun_vote/javascript:;"/>
    <hyperlink ref="H42" r:id="rId2" display="柯雨婷" tooltip="https://client.qun.qq.com/qun_vote/javascript:;"/>
    <hyperlink ref="H46" r:id="rId2" display="毛永恒" tooltip="https://client.qun.qq.com/qun_vote/javascript:;"/>
    <hyperlink ref="H49" r:id="rId2" display="冯俊" tooltip="https://client.qun.qq.com/qun_vote/javascript:;"/>
    <hyperlink ref="H53" r:id="rId2" display="杨草晖" tooltip="https://client.qun.qq.com/qun_vote/javascript:;"/>
    <hyperlink ref="H57" r:id="rId2" display="柯常铝" tooltip="https://client.qun.qq.com/qun_vote/javascript:;"/>
    <hyperlink ref="H60" r:id="rId2" display="柯宇豪" tooltip="https://client.qun.qq.com/qun_vote/javascript:;"/>
    <hyperlink ref="H64" r:id="rId2" display="蔡振龙" tooltip="https://client.qun.qq.com/qun_vote/javascript:;"/>
    <hyperlink ref="H68" r:id="rId2" display="周浩" tooltip="https://client.qun.qq.com/qun_vote/javascript:;"/>
    <hyperlink ref="H71" r:id="rId2" display="项康乐" tooltip="https://client.qun.qq.com/qun_vote/javascript:;"/>
    <hyperlink ref="H75" r:id="rId2" display="余飞" tooltip="https://client.qun.qq.com/qun_vote/javascript:;"/>
    <hyperlink ref="H79" r:id="rId2" display="刘腾" tooltip="https://client.qun.qq.com/qun_vote/javascript:;"/>
    <hyperlink ref="H82" r:id="rId2" display="郭衍钢" tooltip="https://client.qun.qq.com/qun_vote/javascript:;"/>
    <hyperlink ref="H86" r:id="rId2" display="黄文辉" tooltip="https://client.qun.qq.com/qun_vote/javascript:;"/>
    <hyperlink ref="H90" r:id="rId2" display="马坚强" tooltip="https://client.qun.qq.com/qun_vote/javascript:;"/>
    <hyperlink ref="H93" r:id="rId2" display="徐文锃" tooltip="https://client.qun.qq.com/qun_vote/javascript:;"/>
    <hyperlink ref="H97" r:id="rId2" display="朱磊" tooltip="https://client.qun.qq.com/qun_vote/javascript:;"/>
    <hyperlink ref="H101" r:id="rId2" display="吴自强" tooltip="https://client.qun.qq.com/qun_vote/javascript:;"/>
    <hyperlink ref="H104" r:id="rId2" display="赵卓然" tooltip="https://client.qun.qq.com/qun_vote/javascript:;"/>
    <hyperlink ref="H108" r:id="rId2" display="黄璟亮" tooltip="https://client.qun.qq.com/qun_vote/javascript:;"/>
    <hyperlink ref="H112" r:id="rId2" display="柯金梁" tooltip="https://client.qun.qq.com/qun_vote/javascript:;"/>
    <hyperlink ref="H115" r:id="rId2" display="费伟" tooltip="https://client.qun.qq.com/qun_vote/javascript:;"/>
    <hyperlink ref="H119" r:id="rId2" display="翁凯凯" tooltip="https://client.qun.qq.com/qun_vote/javascript:;"/>
    <hyperlink ref="H123" r:id="rId2" display="张扬" tooltip="https://client.qun.qq.com/qun_vote/javascript:;"/>
    <hyperlink ref="H126" r:id="rId2" display="陈创业" tooltip="https://client.qun.qq.com/qun_vote/javascript:;"/>
    <hyperlink ref="H130" r:id="rId2" display="黄锐" tooltip="https://client.qun.qq.com/qun_vote/javascript:;"/>
    <hyperlink ref="H134" r:id="rId2" display="胡栋杰" tooltip="https://client.qun.qq.com/qun_vote/javascript:;"/>
    <hyperlink ref="H137" r:id="rId2" display="周洋" tooltip="https://client.qun.qq.com/qun_vote/javascript:;"/>
    <hyperlink ref="H141" r:id="rId2" display="王思雨" tooltip="https://client.qun.qq.com/qun_vote/javascript:;"/>
    <hyperlink ref="H145" r:id="rId2" display="陈相" tooltip="https://client.qun.qq.com/qun_vote/javascript:;"/>
    <hyperlink ref="H148" r:id="rId2" display="周美霖" tooltip="https://client.qun.qq.com/qun_vote/javascript:;"/>
    <hyperlink ref="I5" r:id="rId2" display="周洋" tooltip="https://client.qun.qq.com/qun_vote/javascript:;"/>
    <hyperlink ref="I9" r:id="rId2" display="李文霞" tooltip="https://client.qun.qq.com/qun_vote/javascript:;"/>
    <hyperlink ref="I13" r:id="rId2" display="阮光强" tooltip="https://client.qun.qq.com/qun_vote/javascript:;"/>
    <hyperlink ref="I16" r:id="rId2" display="丁江涛" tooltip="https://client.qun.qq.com/qun_vote/javascript:;"/>
    <hyperlink ref="I20" r:id="rId2" display="乔坤" tooltip="https://client.qun.qq.com/qun_vote/javascript:;"/>
    <hyperlink ref="I24" r:id="rId2" display="舒成昌" tooltip="https://client.qun.qq.com/qun_vote/javascript:;"/>
    <hyperlink ref="I27" r:id="rId2" display="黄锐" tooltip="https://client.qun.qq.com/qun_vote/javascript:;"/>
    <hyperlink ref="I31" r:id="rId2" display="蔡振龙" tooltip="https://client.qun.qq.com/qun_vote/javascript:;"/>
    <hyperlink ref="I35" r:id="rId2" display="周浩" tooltip="https://client.qun.qq.com/qun_vote/javascript:;"/>
    <hyperlink ref="I38" r:id="rId2" display="陈创业" tooltip="https://client.qun.qq.com/qun_vote/javascript:;"/>
    <hyperlink ref="I42" r:id="rId2" display="王思雨" tooltip="https://client.qun.qq.com/qun_vote/javascript:;"/>
    <hyperlink ref="I46" r:id="rId2" display="柯宇豪" tooltip="https://client.qun.qq.com/qun_vote/javascript:;"/>
    <hyperlink ref="I49" r:id="rId2" display="杨草晖" tooltip="https://client.qun.qq.com/qun_vote/javascript:;"/>
    <hyperlink ref="I53" r:id="rId2" display="余飞" tooltip="https://client.qun.qq.com/qun_vote/javascript:;"/>
    <hyperlink ref="I57" r:id="rId2" display="涂天赐" tooltip="https://client.qun.qq.com/qun_vote/javascript:;"/>
    <hyperlink ref="I60" r:id="rId2" display="费伟" tooltip="https://client.qun.qq.com/qun_vote/javascript:;"/>
    <hyperlink ref="I64" r:id="rId2" display="徐文锃" tooltip="https://client.qun.qq.com/qun_vote/javascript:;"/>
    <hyperlink ref="I68" r:id="rId2" display="余良成" tooltip="https://client.qun.qq.com/qun_vote/javascript:;"/>
    <hyperlink ref="I71" r:id="rId2" display="朱磊" tooltip="https://client.qun.qq.com/qun_vote/javascript:;"/>
    <hyperlink ref="I75" r:id="rId2" display="熊立武" tooltip="https://client.qun.qq.com/qun_vote/javascript:;"/>
    <hyperlink ref="I79" r:id="rId2" display="丁江" tooltip="https://client.qun.qq.com/qun_vote/javascript:;"/>
    <hyperlink ref="I82" r:id="rId2" display="柯雨婷" tooltip="https://client.qun.qq.com/qun_vote/javascript:;"/>
    <hyperlink ref="I86" r:id="rId2" display="黄文辉" tooltip="https://client.qun.qq.com/qun_vote/javascript:;"/>
    <hyperlink ref="I90" r:id="rId2" display="毛永恒" tooltip="https://client.qun.qq.com/qun_vote/javascript:;"/>
    <hyperlink ref="I93" r:id="rId2" display="项康乐" tooltip="https://client.qun.qq.com/qun_vote/javascript:;"/>
    <hyperlink ref="I97" r:id="rId2" display="郭衍钢" tooltip="https://client.qun.qq.com/qun_vote/javascript:;"/>
    <hyperlink ref="I101" r:id="rId2" display="柯常铝" tooltip="https://client.qun.qq.com/qun_vote/javascript:;"/>
    <hyperlink ref="I104" r:id="rId2" display="赵卓然" tooltip="https://client.qun.qq.com/qun_vote/javascript:;"/>
    <hyperlink ref="I108" r:id="rId2" display="吴自强" tooltip="https://client.qun.qq.com/qun_vote/javascript:;"/>
    <hyperlink ref="I112" r:id="rId2" display="胡栋杰" tooltip="https://client.qun.qq.com/qun_vote/javascript:;"/>
    <hyperlink ref="I115" r:id="rId2" display="冯俊" tooltip="https://client.qun.qq.com/qun_vote/javascript:;"/>
    <hyperlink ref="I119" r:id="rId2" display="黄璟亮" tooltip="https://client.qun.qq.com/qun_vote/javascript:;"/>
    <hyperlink ref="I123" r:id="rId2" display="张扬" tooltip="https://client.qun.qq.com/qun_vote/javascript:;"/>
    <hyperlink ref="I126" r:id="rId2" display="刘腾" tooltip="https://client.qun.qq.com/qun_vote/javascript:;"/>
    <hyperlink ref="I130" r:id="rId2" display="马坚强" tooltip="https://client.qun.qq.com/qun_vote/javascript:;"/>
    <hyperlink ref="I134" r:id="rId2" display="翁凯凯" tooltip="https://client.qun.qq.com/qun_vote/javascript:;"/>
    <hyperlink ref="I137" r:id="rId2" display="占玄辉" tooltip="https://client.qun.qq.com/qun_vote/javascript:;"/>
    <hyperlink ref="I141" r:id="rId2" display="陈相" tooltip="https://client.qun.qq.com/qun_vote/javascript:;"/>
    <hyperlink ref="I145" r:id="rId2" display="柯金梁" tooltip="https://client.qun.qq.com/qun_vote/javascript:;"/>
    <hyperlink ref="I148" r:id="rId2" display="周美霖" tooltip="https://client.qun.qq.com/qun_vote/javascript:;"/>
    <hyperlink ref="J5" r:id="rId2" display="王思雨" tooltip="https://client.qun.qq.com/qun_vote/javascript:;"/>
    <hyperlink ref="J9" r:id="rId2" display="涂天赐" tooltip="https://client.qun.qq.com/qun_vote/javascript:;"/>
    <hyperlink ref="J13" r:id="rId2" display="李文霞" tooltip="https://client.qun.qq.com/qun_vote/javascript:;"/>
    <hyperlink ref="J16" r:id="rId2" display="蔡振龙" tooltip="https://client.qun.qq.com/qun_vote/javascript:;"/>
    <hyperlink ref="J20" r:id="rId2" display="舒成昌" tooltip="https://client.qun.qq.com/qun_vote/javascript:;"/>
    <hyperlink ref="J24" r:id="rId2" display="周洋" tooltip="https://client.qun.qq.com/qun_vote/javascript:;"/>
    <hyperlink ref="J27" r:id="rId2" display="黄锐" tooltip="https://client.qun.qq.com/qun_vote/javascript:;"/>
    <hyperlink ref="J31" r:id="rId2" display="毛永恒" tooltip="https://client.qun.qq.com/qun_vote/javascript:;"/>
    <hyperlink ref="J35" r:id="rId2" display="丁江涛" tooltip="https://client.qun.qq.com/qun_vote/javascript:;"/>
    <hyperlink ref="J38" r:id="rId2" display="朱磊" tooltip="https://client.qun.qq.com/qun_vote/javascript:;"/>
    <hyperlink ref="J42" r:id="rId2" display="杨草晖" tooltip="https://client.qun.qq.com/qun_vote/javascript:;"/>
    <hyperlink ref="J46" r:id="rId2" display="乔坤" tooltip="https://client.qun.qq.com/qun_vote/javascript:;"/>
    <hyperlink ref="J49" r:id="rId2" display="余飞" tooltip="https://client.qun.qq.com/qun_vote/javascript:;"/>
    <hyperlink ref="J53" r:id="rId2" display="柯雨婷" tooltip="https://client.qun.qq.com/qun_vote/javascript:;"/>
    <hyperlink ref="J57" r:id="rId2" display="吴自强" tooltip="https://client.qun.qq.com/qun_vote/javascript:;"/>
    <hyperlink ref="J60" r:id="rId2" display="丁江" tooltip="https://client.qun.qq.com/qun_vote/javascript:;"/>
    <hyperlink ref="J64" r:id="rId2" display="柯常铝" tooltip="https://client.qun.qq.com/qun_vote/javascript:;"/>
    <hyperlink ref="J68" r:id="rId2" display="余良成" tooltip="https://client.qun.qq.com/qun_vote/javascript:;"/>
    <hyperlink ref="J71" r:id="rId2" display="翁凯凯" tooltip="https://client.qun.qq.com/qun_vote/javascript:;"/>
    <hyperlink ref="J75" r:id="rId2" display="项康乐" tooltip="https://client.qun.qq.com/qun_vote/javascript:;"/>
    <hyperlink ref="J79" r:id="rId2" display="柯宇豪" tooltip="https://client.qun.qq.com/qun_vote/javascript:;"/>
    <hyperlink ref="J82" r:id="rId2" display="周浩" tooltip="https://client.qun.qq.com/qun_vote/javascript:;"/>
    <hyperlink ref="J86" r:id="rId2" display="胡栋杰" tooltip="https://client.qun.qq.com/qun_vote/javascript:;"/>
    <hyperlink ref="J90" r:id="rId2" display="费伟" tooltip="https://client.qun.qq.com/qun_vote/javascript:;"/>
    <hyperlink ref="J93" r:id="rId2" display="黄璟亮" tooltip="https://client.qun.qq.com/qun_vote/javascript:;"/>
    <hyperlink ref="J97" r:id="rId2" display="赵卓然" tooltip="https://client.qun.qq.com/qun_vote/javascript:;"/>
    <hyperlink ref="J101" r:id="rId2" display="陈相" tooltip="https://client.qun.qq.com/qun_vote/javascript:;"/>
    <hyperlink ref="J104" r:id="rId2" display="黄文辉" tooltip="https://client.qun.qq.com/qun_vote/javascript:;"/>
    <hyperlink ref="J108" r:id="rId2" display="冯俊" tooltip="https://client.qun.qq.com/qun_vote/javascript:;"/>
    <hyperlink ref="J112" r:id="rId2" display="徐文锃" tooltip="https://client.qun.qq.com/qun_vote/javascript:;"/>
    <hyperlink ref="J115" r:id="rId2" display="郭衍钢" tooltip="https://client.qun.qq.com/qun_vote/javascript:;"/>
    <hyperlink ref="J119" r:id="rId2" display="柯金梁" tooltip="https://client.qun.qq.com/qun_vote/javascript:;"/>
    <hyperlink ref="J123" r:id="rId2" display="马坚强" tooltip="https://client.qun.qq.com/qun_vote/javascript:;"/>
    <hyperlink ref="J126" r:id="rId2" display="刘腾" tooltip="https://client.qun.qq.com/qun_vote/javascript:;"/>
    <hyperlink ref="J130" r:id="rId2" display="阮光强" tooltip="https://client.qun.qq.com/qun_vote/javascript:;"/>
    <hyperlink ref="J134" r:id="rId2" display="熊立武" tooltip="https://client.qun.qq.com/qun_vote/javascript:;"/>
    <hyperlink ref="J137" r:id="rId2" display="陈创业" tooltip="https://client.qun.qq.com/qun_vote/javascript:;"/>
    <hyperlink ref="J141" r:id="rId2" display="占玄辉" tooltip="https://client.qun.qq.com/qun_vote/javascript:;"/>
    <hyperlink ref="J145" r:id="rId2" display="张扬" tooltip="https://client.qun.qq.com/qun_vote/javascript:;"/>
    <hyperlink ref="J148" r:id="rId2" display="周美霖" tooltip="https://client.qun.qq.com/qun_vote/javascript:;"/>
    <hyperlink ref="K5" r:id="rId2" display="乔坤" tooltip="https://client.qun.qq.com/qun_vote/javascript:;"/>
    <hyperlink ref="K9" r:id="rId2" display="占玄辉" tooltip="https://client.qun.qq.com/qun_vote/javascript:;"/>
    <hyperlink ref="K13" r:id="rId2" display="余良成" tooltip="https://client.qun.qq.com/qun_vote/javascript:;"/>
    <hyperlink ref="K16" r:id="rId2" display="蔡振龙" tooltip="https://client.qun.qq.com/qun_vote/javascript:;"/>
    <hyperlink ref="K20" r:id="rId2" display="柯雨婷" tooltip="https://client.qun.qq.com/qun_vote/javascript:;"/>
    <hyperlink ref="K24" r:id="rId2" display="涂天赐" tooltip="https://client.qun.qq.com/qun_vote/javascript:;"/>
    <hyperlink ref="K27" r:id="rId2" display="丁江涛" tooltip="https://client.qun.qq.com/qun_vote/javascript:;"/>
    <hyperlink ref="K31" r:id="rId2" display="吴自强" tooltip="https://client.qun.qq.com/qun_vote/javascript:;"/>
    <hyperlink ref="K35" r:id="rId2" display="舒成昌" tooltip="https://client.qun.qq.com/qun_vote/javascript:;"/>
    <hyperlink ref="K38" r:id="rId2" display="费伟" tooltip="https://client.qun.qq.com/qun_vote/javascript:;"/>
    <hyperlink ref="K42" r:id="rId2" display="余飞" tooltip="https://client.qun.qq.com/qun_vote/javascript:;"/>
    <hyperlink ref="K46" r:id="rId2" display="黄璟亮" tooltip="https://client.qun.qq.com/qun_vote/javascript:;"/>
    <hyperlink ref="K49" r:id="rId2" display="阮光强" tooltip="https://client.qun.qq.com/qun_vote/javascript:;"/>
    <hyperlink ref="K53" r:id="rId2" display="郭衍钢" tooltip="https://client.qun.qq.com/qun_vote/javascript:;"/>
    <hyperlink ref="K57" r:id="rId2" display="黄锐" tooltip="https://client.qun.qq.com/qun_vote/javascript:;"/>
    <hyperlink ref="K60" r:id="rId2" display="张扬" tooltip="https://client.qun.qq.com/qun_vote/javascript:;"/>
    <hyperlink ref="K64" r:id="rId2" display="柯常铝" tooltip="https://client.qun.qq.com/qun_vote/javascript:;"/>
    <hyperlink ref="K68" r:id="rId2" display="丁江" tooltip="https://client.qun.qq.com/qun_vote/javascript:;"/>
    <hyperlink ref="K71" r:id="rId2" display="杨草晖" tooltip="https://client.qun.qq.com/qun_vote/javascript:;"/>
    <hyperlink ref="K75" r:id="rId2" display="毛永恒" tooltip="https://client.qun.qq.com/qun_vote/javascript:;"/>
    <hyperlink ref="K79" r:id="rId2" display="王思雨" tooltip="https://client.qun.qq.com/qun_vote/javascript:;"/>
    <hyperlink ref="K82" r:id="rId2" display="徐文锃" tooltip="https://client.qun.qq.com/qun_vote/javascript:;"/>
    <hyperlink ref="K86" r:id="rId2" display="冯俊" tooltip="https://client.qun.qq.com/qun_vote/javascript:;"/>
    <hyperlink ref="K90" r:id="rId2" display="周浩" tooltip="https://client.qun.qq.com/qun_vote/javascript:;"/>
    <hyperlink ref="K93" r:id="rId2" display="陈创业" tooltip="https://client.qun.qq.com/qun_vote/javascript:;"/>
    <hyperlink ref="K97" r:id="rId2" display="李文霞" tooltip="https://client.qun.qq.com/qun_vote/javascript:;"/>
    <hyperlink ref="K101" r:id="rId2" display="柯宇豪" tooltip="https://client.qun.qq.com/qun_vote/javascript:;"/>
    <hyperlink ref="K104" r:id="rId2" display="赵卓然" tooltip="https://client.qun.qq.com/qun_vote/javascript:;"/>
    <hyperlink ref="K108" r:id="rId2" display="柯金梁" tooltip="https://client.qun.qq.com/qun_vote/javascript:;"/>
    <hyperlink ref="K112" r:id="rId2" display="马坚强" tooltip="https://client.qun.qq.com/qun_vote/javascript:;"/>
    <hyperlink ref="K115" r:id="rId2" display="朱磊" tooltip="https://client.qun.qq.com/qun_vote/javascript:;"/>
    <hyperlink ref="K119" r:id="rId2" display="项康乐" tooltip="https://client.qun.qq.com/qun_vote/javascript:;"/>
    <hyperlink ref="K123" r:id="rId2" display="黄文辉" tooltip="https://client.qun.qq.com/qun_vote/javascript:;"/>
    <hyperlink ref="K126" r:id="rId2" display="刘腾" tooltip="https://client.qun.qq.com/qun_vote/javascript:;"/>
    <hyperlink ref="K130" r:id="rId2" display="陈相" tooltip="https://client.qun.qq.com/qun_vote/javascript:;"/>
    <hyperlink ref="K134" r:id="rId2" display="翁凯凯" tooltip="https://client.qun.qq.com/qun_vote/javascript:;"/>
    <hyperlink ref="K137" r:id="rId2" display="熊立武" tooltip="https://client.qun.qq.com/qun_vote/javascript:;"/>
    <hyperlink ref="K141" r:id="rId2" display="周洋" tooltip="https://client.qun.qq.com/qun_vote/javascript:;"/>
    <hyperlink ref="K145" r:id="rId2" display="胡栋杰" tooltip="https://client.qun.qq.com/qun_vote/javascript:;"/>
    <hyperlink ref="K148" r:id="rId2" display="周美霖" tooltip="https://client.qun.qq.com/qun_vote/javascript:;"/>
    <hyperlink ref="L5" r:id="rId2" display="柯雨婷" tooltip="https://client.qun.qq.com/qun_vote/javascript:;"/>
    <hyperlink ref="L9" r:id="rId2" display="李文霞" tooltip="https://client.qun.qq.com/qun_vote/javascript:;"/>
    <hyperlink ref="L13" r:id="rId2" display="舒成昌" tooltip="https://client.qun.qq.com/qun_vote/javascript:;"/>
    <hyperlink ref="L16" r:id="rId2" display="丁江涛" tooltip="https://client.qun.qq.com/qun_vote/javascript:;"/>
    <hyperlink ref="L20" r:id="rId2" display="乔坤" tooltip="https://client.qun.qq.com/qun_vote/javascript:;"/>
    <hyperlink ref="L24" r:id="rId2" display="阮光强" tooltip="https://client.qun.qq.com/qun_vote/javascript:;"/>
    <hyperlink ref="L27" r:id="rId2" display="涂天赐" tooltip="https://client.qun.qq.com/qun_vote/javascript:;"/>
    <hyperlink ref="L31" r:id="rId2" display="朱磊" tooltip="https://client.qun.qq.com/qun_vote/javascript:;"/>
    <hyperlink ref="L35" r:id="rId2" display="翁凯凯" tooltip="https://client.qun.qq.com/qun_vote/javascript:;"/>
    <hyperlink ref="L38" r:id="rId2" display="王思雨" tooltip="https://client.qun.qq.com/qun_vote/javascript:;"/>
    <hyperlink ref="L42" r:id="rId2" display="陈创业" tooltip="https://client.qun.qq.com/qun_vote/javascript:;"/>
    <hyperlink ref="L46" r:id="rId2" display="徐文锃" tooltip="https://client.qun.qq.com/qun_vote/javascript:;"/>
    <hyperlink ref="L49" r:id="rId2" display="黄锐" tooltip="https://client.qun.qq.com/qun_vote/javascript:;"/>
    <hyperlink ref="L53" r:id="rId2" display="柯宇豪" tooltip="https://client.qun.qq.com/qun_vote/javascript:;"/>
    <hyperlink ref="L57" r:id="rId2" display="杨草晖" tooltip="https://client.qun.qq.com/qun_vote/javascript:;"/>
    <hyperlink ref="L60" r:id="rId2" display="柯常铝" tooltip="https://client.qun.qq.com/qun_vote/javascript:;"/>
    <hyperlink ref="L64" r:id="rId2" display="冯俊" tooltip="https://client.qun.qq.com/qun_vote/javascript:;"/>
    <hyperlink ref="L68" r:id="rId2" display="吴自强" tooltip="https://client.qun.qq.com/qun_vote/javascript:;"/>
    <hyperlink ref="L71" r:id="rId2" display="余良成" tooltip="https://client.qun.qq.com/qun_vote/javascript:;"/>
    <hyperlink ref="L75" r:id="rId2" display="蔡振龙" tooltip="https://client.qun.qq.com/qun_vote/javascript:;"/>
    <hyperlink ref="L79" r:id="rId2" display="项康乐" tooltip="https://client.qun.qq.com/qun_vote/javascript:;"/>
    <hyperlink ref="L82" r:id="rId2" display="丁江" tooltip="https://client.qun.qq.com/qun_vote/javascript:;"/>
    <hyperlink ref="L86" r:id="rId2" display="周浩" tooltip="https://client.qun.qq.com/qun_vote/javascript:;"/>
    <hyperlink ref="L90" r:id="rId2" display="郭衍钢" tooltip="https://client.qun.qq.com/qun_vote/javascript:;"/>
    <hyperlink ref="L93" r:id="rId2" display="刘腾" tooltip="https://client.qun.qq.com/qun_vote/javascript:;"/>
    <hyperlink ref="L97" r:id="rId2" display="余飞" tooltip="https://client.qun.qq.com/qun_vote/javascript:;"/>
    <hyperlink ref="L101" r:id="rId2" display="张扬" tooltip="https://client.qun.qq.com/qun_vote/javascript:;"/>
    <hyperlink ref="L104" r:id="rId2" display="马坚强" tooltip="https://client.qun.qq.com/qun_vote/javascript:;"/>
    <hyperlink ref="L108" r:id="rId2" display="黄璟亮" tooltip="https://client.qun.qq.com/qun_vote/javascript:;"/>
    <hyperlink ref="L112" r:id="rId2" display="黄文辉" tooltip="https://client.qun.qq.com/qun_vote/javascript:;"/>
    <hyperlink ref="L115" r:id="rId2" display="柯金梁" tooltip="https://client.qun.qq.com/qun_vote/javascript:;"/>
    <hyperlink ref="L119" r:id="rId2" display="赵卓然" tooltip="https://client.qun.qq.com/qun_vote/javascript:;"/>
    <hyperlink ref="L123" r:id="rId2" display="费伟" tooltip="https://client.qun.qq.com/qun_vote/javascript:;"/>
    <hyperlink ref="L126" r:id="rId2" display="熊立武" tooltip="https://client.qun.qq.com/qun_vote/javascript:;"/>
    <hyperlink ref="L130" r:id="rId2" display="毛永恒" tooltip="https://client.qun.qq.com/qun_vote/javascript:;"/>
    <hyperlink ref="L134" r:id="rId2" display="胡栋杰" tooltip="https://client.qun.qq.com/qun_vote/javascript:;"/>
    <hyperlink ref="L137" r:id="rId2" display="周洋" tooltip="https://client.qun.qq.com/qun_vote/javascript:;"/>
    <hyperlink ref="L141" r:id="rId2" display="占玄辉" tooltip="https://client.qun.qq.com/qun_vote/javascript:;"/>
    <hyperlink ref="L145" r:id="rId2" display="陈相" tooltip="https://client.qun.qq.com/qun_vote/javascript:;"/>
    <hyperlink ref="L148" r:id="rId2" display="周美霖" tooltip="https://client.qun.qq.com/qun_vote/javascript:;"/>
    <hyperlink ref="M5" r:id="rId2" display="乔坤" tooltip="https://client.qun.qq.com/qun_vote/javascript:;"/>
    <hyperlink ref="M9" r:id="rId2" display="丁江涛" tooltip="https://client.qun.qq.com/qun_vote/javascript:;"/>
    <hyperlink ref="M13" r:id="rId2" display="胡栋杰" tooltip="https://client.qun.qq.com/qun_vote/javascript:;"/>
    <hyperlink ref="M16" r:id="rId2" display="杨草晖" tooltip="https://client.qun.qq.com/qun_vote/javascript:;"/>
    <hyperlink ref="M20" r:id="rId2" display="周洋" tooltip="https://client.qun.qq.com/qun_vote/javascript:;"/>
    <hyperlink ref="M24" r:id="rId2" display="费伟" tooltip="https://client.qun.qq.com/qun_vote/javascript:;"/>
    <hyperlink ref="M27" r:id="rId2" display="涂天赐" tooltip="https://client.qun.qq.com/qun_vote/javascript:;"/>
    <hyperlink ref="M31" r:id="rId2" display="占玄辉" tooltip="https://client.qun.qq.com/qun_vote/javascript:;"/>
    <hyperlink ref="M35" r:id="rId2" display="舒成昌" tooltip="https://client.qun.qq.com/qun_vote/javascript:;"/>
    <hyperlink ref="M38" r:id="rId2" display="李文霞" tooltip="https://client.qun.qq.com/qun_vote/javascript:;"/>
    <hyperlink ref="M42" r:id="rId2" display="阮光强" tooltip="https://client.qun.qq.com/qun_vote/javascript:;"/>
    <hyperlink ref="M46" r:id="rId2" display="王思雨" tooltip="https://client.qun.qq.com/qun_vote/javascript:;"/>
    <hyperlink ref="M49" r:id="rId2" display="蔡振龙" tooltip="https://client.qun.qq.com/qun_vote/javascript:;"/>
    <hyperlink ref="M53" r:id="rId2" display="赵卓然" tooltip="https://client.qun.qq.com/qun_vote/javascript:;"/>
    <hyperlink ref="M57" r:id="rId2" display="柯常铝" tooltip="https://client.qun.qq.com/qun_vote/javascript:;"/>
    <hyperlink ref="M60" r:id="rId2" display="余良成" tooltip="https://client.qun.qq.com/qun_vote/javascript:;"/>
    <hyperlink ref="M64" r:id="rId2" display="余飞" tooltip="https://client.qun.qq.com/qun_vote/javascript:;"/>
    <hyperlink ref="M68" r:id="rId2" display="冯俊" tooltip="https://client.qun.qq.com/qun_vote/javascript:;"/>
    <hyperlink ref="M71" r:id="rId2" display="刘腾" tooltip="https://client.qun.qq.com/qun_vote/javascript:;"/>
    <hyperlink ref="M75" r:id="rId2" display="丁江" tooltip="https://client.qun.qq.com/qun_vote/javascript:;"/>
    <hyperlink ref="M79" r:id="rId2" display="柯宇豪" tooltip="https://client.qun.qq.com/qun_vote/javascript:;"/>
    <hyperlink ref="M82" r:id="rId2" display="周浩" tooltip="https://client.qun.qq.com/qun_vote/javascript:;"/>
    <hyperlink ref="M86" r:id="rId2" display="朱磊" tooltip="https://client.qun.qq.com/qun_vote/javascript:;"/>
    <hyperlink ref="M90" r:id="rId2" display="郭衍钢" tooltip="https://client.qun.qq.com/qun_vote/javascript:;"/>
    <hyperlink ref="M93" r:id="rId2" display="黄锐" tooltip="https://client.qun.qq.com/qun_vote/javascript:;"/>
    <hyperlink ref="M97" r:id="rId2" display="柯金梁" tooltip="https://client.qun.qq.com/qun_vote/javascript:;"/>
    <hyperlink ref="M101" r:id="rId2" display="陈创业" tooltip="https://client.qun.qq.com/qun_vote/javascript:;"/>
    <hyperlink ref="M104" r:id="rId2" display="黄文辉" tooltip="https://client.qun.qq.com/qun_vote/javascript:;"/>
    <hyperlink ref="M108" r:id="rId2" display="陈相" tooltip="https://client.qun.qq.com/qun_vote/javascript:;"/>
    <hyperlink ref="M112" r:id="rId2" display="吴自强" tooltip="https://client.qun.qq.com/qun_vote/javascript:;"/>
    <hyperlink ref="M115" r:id="rId2" display="毛永恒" tooltip="https://client.qun.qq.com/qun_vote/javascript:;"/>
    <hyperlink ref="M119" r:id="rId2" display="黄璟亮" tooltip="https://client.qun.qq.com/qun_vote/javascript:;"/>
    <hyperlink ref="M123" r:id="rId2" display="熊立武" tooltip="https://client.qun.qq.com/qun_vote/javascript:;"/>
    <hyperlink ref="M126" r:id="rId2" display="柯雨婷" tooltip="https://client.qun.qq.com/qun_vote/javascript:;"/>
    <hyperlink ref="M130" r:id="rId2" display="马坚强" tooltip="https://client.qun.qq.com/qun_vote/javascript:;"/>
    <hyperlink ref="M134" r:id="rId2" display="徐文锃" tooltip="https://client.qun.qq.com/qun_vote/javascript:;"/>
    <hyperlink ref="M137" r:id="rId2" display="翁凯凯" tooltip="https://client.qun.qq.com/qun_vote/javascript:;"/>
    <hyperlink ref="M141" r:id="rId2" display="张扬" tooltip="https://client.qun.qq.com/qun_vote/javascript:;"/>
    <hyperlink ref="M145" r:id="rId2" display="项康乐" tooltip="https://client.qun.qq.com/qun_vote/javascript:;"/>
    <hyperlink ref="M148" r:id="rId2" display="周美霖" tooltip="https://client.qun.qq.com/qun_vote/javascript:;"/>
    <hyperlink ref="N5" r:id="rId2" display="周洋" tooltip="https://client.qun.qq.com/qun_vote/javascript:;"/>
    <hyperlink ref="N9" r:id="rId2" display="乔坤" tooltip="https://client.qun.qq.com/qun_vote/javascript:;"/>
    <hyperlink ref="N13" r:id="rId2" display="蔡振龙" tooltip="https://client.qun.qq.com/qun_vote/javascript:;"/>
    <hyperlink ref="N16" r:id="rId2" display="丁江涛" tooltip="https://client.qun.qq.com/qun_vote/javascript:;"/>
    <hyperlink ref="N20" r:id="rId2" display="阮光强" tooltip="https://client.qun.qq.com/qun_vote/javascript:;"/>
    <hyperlink ref="N24" r:id="rId2" display="涂天赐" tooltip="https://client.qun.qq.com/qun_vote/javascript:;"/>
    <hyperlink ref="N27" r:id="rId2" display="熊立武" tooltip="https://client.qun.qq.com/qun_vote/javascript:;"/>
    <hyperlink ref="N31" r:id="rId2" display="李文霞" tooltip="https://client.qun.qq.com/qun_vote/javascript:;"/>
    <hyperlink ref="N35" r:id="rId2" display="舒成昌" tooltip="https://client.qun.qq.com/qun_vote/javascript:;"/>
    <hyperlink ref="N38" r:id="rId2" display="毛永恒" tooltip="https://client.qun.qq.com/qun_vote/javascript:;"/>
    <hyperlink ref="N42" r:id="rId2" display="赵卓然" tooltip="https://client.qun.qq.com/qun_vote/javascript:;"/>
    <hyperlink ref="N46" r:id="rId2" display="朱磊" tooltip="https://client.qun.qq.com/qun_vote/javascript:;"/>
    <hyperlink ref="N49" r:id="rId2" display="丁江" tooltip="https://client.qun.qq.com/qun_vote/javascript:;"/>
    <hyperlink ref="N53" r:id="rId2" display="冯俊" tooltip="https://client.qun.qq.com/qun_vote/javascript:;"/>
    <hyperlink ref="N57" r:id="rId2" display="刘腾" tooltip="https://client.qun.qq.com/qun_vote/javascript:;"/>
    <hyperlink ref="N60" r:id="rId2" display="陈创业" tooltip="https://client.qun.qq.com/qun_vote/javascript:;"/>
    <hyperlink ref="N64" r:id="rId2" display="徐文锃" tooltip="https://client.qun.qq.com/qun_vote/javascript:;"/>
    <hyperlink ref="N68" r:id="rId2" display="柯雨婷" tooltip="https://client.qun.qq.com/qun_vote/javascript:;"/>
    <hyperlink ref="N71" r:id="rId2" display="柯金梁" tooltip="https://client.qun.qq.com/qun_vote/javascript:;"/>
    <hyperlink ref="N75" r:id="rId2" display="黄锐" tooltip="https://client.qun.qq.com/qun_vote/javascript:;"/>
    <hyperlink ref="N79" r:id="rId2" display="黄璟亮" tooltip="https://client.qun.qq.com/qun_vote/javascript:;"/>
    <hyperlink ref="N82" r:id="rId2" display="柯宇豪" tooltip="https://client.qun.qq.com/qun_vote/javascript:;"/>
    <hyperlink ref="N86" r:id="rId2" display="杨草晖" tooltip="https://client.qun.qq.com/qun_vote/javascript:;"/>
    <hyperlink ref="N90" r:id="rId2" display="余良成" tooltip="https://client.qun.qq.com/qun_vote/javascript:;"/>
    <hyperlink ref="N93" r:id="rId2" display="吴自强" tooltip="https://client.qun.qq.com/qun_vote/javascript:;"/>
    <hyperlink ref="N97" r:id="rId2" display="黄文辉" tooltip="https://client.qun.qq.com/qun_vote/javascript:;"/>
    <hyperlink ref="N101" r:id="rId2" display="占玄辉" tooltip="https://client.qun.qq.com/qun_vote/javascript:;"/>
    <hyperlink ref="N104" r:id="rId2" display="周浩" tooltip="https://client.qun.qq.com/qun_vote/javascript:;"/>
    <hyperlink ref="N108" r:id="rId2" display="张扬" tooltip="https://client.qun.qq.com/qun_vote/javascript:;"/>
    <hyperlink ref="N112" r:id="rId2" display="柯常铝" tooltip="https://client.qun.qq.com/qun_vote/javascript:;"/>
    <hyperlink ref="N115" r:id="rId2" display="余飞" tooltip="https://client.qun.qq.com/qun_vote/javascript:;"/>
    <hyperlink ref="N119" r:id="rId2" display="翁凯凯" tooltip="https://client.qun.qq.com/qun_vote/javascript:;"/>
    <hyperlink ref="N123" r:id="rId2" display="项康乐" tooltip="https://client.qun.qq.com/qun_vote/javascript:;"/>
    <hyperlink ref="N126" r:id="rId2" display="马坚强" tooltip="https://client.qun.qq.com/qun_vote/javascript:;"/>
    <hyperlink ref="N130" r:id="rId2" display="胡栋杰" tooltip="https://client.qun.qq.com/qun_vote/javascript:;"/>
    <hyperlink ref="N134" r:id="rId2" display="陈相" tooltip="https://client.qun.qq.com/qun_vote/javascript:;"/>
    <hyperlink ref="N137" r:id="rId2" display="王思雨" tooltip="https://client.qun.qq.com/qun_vote/javascript:;"/>
    <hyperlink ref="N141" r:id="rId2" display="费伟" tooltip="https://client.qun.qq.com/qun_vote/javascript:;"/>
    <hyperlink ref="N145" r:id="rId2" display="郭衍钢" tooltip="https://client.qun.qq.com/qun_vote/javascript:;"/>
    <hyperlink ref="N148" r:id="rId2" display="周美霖" tooltip="https://client.qun.qq.com/qun_vote/javascript:;"/>
    <hyperlink ref="O5" r:id="rId2" display="蔡振龙" tooltip="https://client.qun.qq.com/qun_vote/javascript:;"/>
    <hyperlink ref="O9" r:id="rId2" display="舒成昌" tooltip="https://client.qun.qq.com/qun_vote/javascript:;"/>
    <hyperlink ref="O13" r:id="rId2" display="丁江涛" tooltip="https://client.qun.qq.com/qun_vote/javascript:;"/>
    <hyperlink ref="O16" r:id="rId2" display="刘腾" tooltip="https://client.qun.qq.com/qun_vote/javascript:;"/>
    <hyperlink ref="O20" r:id="rId2" display="阮光强" tooltip="https://client.qun.qq.com/qun_vote/javascript:;"/>
    <hyperlink ref="O24" r:id="rId2" display="王思雨" tooltip="https://client.qun.qq.com/qun_vote/javascript:;"/>
    <hyperlink ref="O27" r:id="rId2" display="丁江" tooltip="https://client.qun.qq.com/qun_vote/javascript:;"/>
    <hyperlink ref="O31" r:id="rId2" display="朱磊" tooltip="https://client.qun.qq.com/qun_vote/javascript:;"/>
    <hyperlink ref="O35" r:id="rId2" display="吴自强" tooltip="https://client.qun.qq.com/qun_vote/javascript:;"/>
    <hyperlink ref="O38" r:id="rId2" display="柯常铝" tooltip="https://client.qun.qq.com/qun_vote/javascript:;"/>
    <hyperlink ref="O42" r:id="rId2" display="柯金梁" tooltip="https://client.qun.qq.com/qun_vote/javascript:;"/>
    <hyperlink ref="O46" r:id="rId2" display="冯俊" tooltip="https://client.qun.qq.com/qun_vote/javascript:;"/>
    <hyperlink ref="O49" r:id="rId2" display="李文霞" tooltip="https://client.qun.qq.com/qun_vote/javascript:;"/>
    <hyperlink ref="O53" r:id="rId2" display="杨草晖" tooltip="https://client.qun.qq.com/qun_vote/javascript:;"/>
    <hyperlink ref="O57" r:id="rId2" display="张扬" tooltip="https://client.qun.qq.com/qun_vote/javascript:;"/>
    <hyperlink ref="O60" r:id="rId2" display="毛永恒" tooltip="https://client.qun.qq.com/qun_vote/javascript:;"/>
    <hyperlink ref="O64" r:id="rId2" display="柯宇豪" tooltip="https://client.qun.qq.com/qun_vote/javascript:;"/>
    <hyperlink ref="O68" r:id="rId2" display="黄文辉" tooltip="https://client.qun.qq.com/qun_vote/javascript:;"/>
    <hyperlink ref="O71" r:id="rId2" display="柯雨婷" tooltip="https://client.qun.qq.com/qun_vote/javascript:;"/>
    <hyperlink ref="O75" r:id="rId2" display="熊立武" tooltip="https://client.qun.qq.com/qun_vote/javascript:;"/>
    <hyperlink ref="O79" r:id="rId2" display="余良成" tooltip="https://client.qun.qq.com/qun_vote/javascript:;"/>
    <hyperlink ref="O82" r:id="rId2" display="黄锐" tooltip="https://client.qun.qq.com/qun_vote/javascript:;"/>
    <hyperlink ref="O86" r:id="rId2" display="涂天赐" tooltip="https://client.qun.qq.com/qun_vote/javascript:;"/>
    <hyperlink ref="O90" r:id="rId2" display="周浩" tooltip="https://client.qun.qq.com/qun_vote/javascript:;"/>
    <hyperlink ref="O93" r:id="rId2" display="项康乐" tooltip="https://client.qun.qq.com/qun_vote/javascript:;"/>
    <hyperlink ref="O97" r:id="rId2" display="赵卓然" tooltip="https://client.qun.qq.com/qun_vote/javascript:;"/>
    <hyperlink ref="O101" r:id="rId2" display="黄璟亮" tooltip="https://client.qun.qq.com/qun_vote/javascript:;"/>
    <hyperlink ref="O104" r:id="rId2" display="翁凯凯" tooltip="https://client.qun.qq.com/qun_vote/javascript:;"/>
    <hyperlink ref="O108" r:id="rId2" display="徐文锃" tooltip="https://client.qun.qq.com/qun_vote/javascript:;"/>
    <hyperlink ref="O112" r:id="rId2" display="余飞" tooltip="https://client.qun.qq.com/qun_vote/javascript:;"/>
    <hyperlink ref="O115" r:id="rId2" display="陈创业" tooltip="https://client.qun.qq.com/qun_vote/javascript:;"/>
    <hyperlink ref="O119" r:id="rId2" display="郭衍钢" tooltip="https://client.qun.qq.com/qun_vote/javascript:;"/>
    <hyperlink ref="O123" r:id="rId2" display="马坚强" tooltip="https://client.qun.qq.com/qun_vote/javascript:;"/>
    <hyperlink ref="O126" r:id="rId2" display="费伟" tooltip="https://client.qun.qq.com/qun_vote/javascript:;"/>
    <hyperlink ref="O130" r:id="rId2" display="陈相" tooltip="https://client.qun.qq.com/qun_vote/javascript:;"/>
    <hyperlink ref="O134" r:id="rId2" display="占玄辉" tooltip="https://client.qun.qq.com/qun_vote/javascript:;"/>
    <hyperlink ref="O137" r:id="rId2" display="乔坤" tooltip="https://client.qun.qq.com/qun_vote/javascript:;"/>
    <hyperlink ref="O141" r:id="rId2" display="周洋" tooltip="https://client.qun.qq.com/qun_vote/javascript:;"/>
    <hyperlink ref="O145" r:id="rId2" display="胡栋杰" tooltip="https://client.qun.qq.com/qun_vote/javascript:;"/>
    <hyperlink ref="O148" r:id="rId2" display="周美霖" tooltip="https://client.qun.qq.com/qun_vote/javascript:;"/>
  </hyperlinks>
  <pageMargins left="0.75" right="0.75" top="1" bottom="1" header="0.5" footer="0.5"/>
  <pageSetup paperSize="9" orientation="portrait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C10"/>
  <sheetViews>
    <sheetView workbookViewId="0">
      <selection activeCell="C1" sqref="C$1:C$1048576"/>
    </sheetView>
  </sheetViews>
  <sheetFormatPr defaultColWidth="0" defaultRowHeight="13.5" zeroHeight="1" outlineLevelCol="2"/>
  <cols>
    <col min="1" max="1" width="18.25" style="1" customWidth="1"/>
    <col min="2" max="2" width="14" style="1" customWidth="1"/>
    <col min="3" max="3" width="12.375" style="1" hidden="1" customWidth="1"/>
    <col min="4" max="16384" width="0" style="1" hidden="1"/>
  </cols>
  <sheetData>
    <row r="1" spans="1:3">
      <c r="A1" s="2" t="s">
        <v>516</v>
      </c>
      <c r="B1" s="2" t="str">
        <f>MID(C1,1,1)&amp;"."&amp;MIDB(C1,2,1)&amp;"."&amp;MID(C1,3,1)&amp;"."&amp;MIDB(C1,4,1)</f>
        <v>2.0.3.3</v>
      </c>
      <c r="C1" s="3">
        <v>2033</v>
      </c>
    </row>
    <row r="2" spans="1:3">
      <c r="A2" s="2" t="s">
        <v>517</v>
      </c>
      <c r="B2" s="2" t="str">
        <f>DATA!A1</f>
        <v>21.02.09</v>
      </c>
      <c r="C2" s="3" t="str">
        <f>MID(DATA!A1,1,2)&amp;MID(DATA!A1,4,2)&amp;MID(DATA!A1,7,2)</f>
        <v>210209</v>
      </c>
    </row>
    <row r="3" s="1" customFormat="1" spans="1:3">
      <c r="A3" s="2" t="s">
        <v>518</v>
      </c>
      <c r="B3" s="4">
        <v>44236.7694907407</v>
      </c>
      <c r="C3" s="3"/>
    </row>
    <row r="4" spans="1:3">
      <c r="A4" s="3"/>
      <c r="B4" s="3"/>
      <c r="C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</sheetData>
  <sheetProtection password="C724" sheet="1" objects="1"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9220" r:id="rId3" name="Check_Updates">
          <controlPr defaultSize="0" r:id="rId4">
            <anchor moveWithCells="1">
              <from>
                <xdr:col>0</xdr:col>
                <xdr:colOff>495300</xdr:colOff>
                <xdr:row>5</xdr:row>
                <xdr:rowOff>123825</xdr:rowOff>
              </from>
              <to>
                <xdr:col>1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9220" r:id="rId3" name="Check_Updates"/>
      </mc:Fallback>
    </mc:AlternateContent>
    <mc:AlternateContent xmlns:mc="http://schemas.openxmlformats.org/markup-compatibility/2006">
      <mc:Choice Requires="x14">
        <control shapeId="9221" r:id="rId5" name="UpDATA">
          <controlPr defaultSize="0" r:id="rId6">
            <anchor moveWithCells="1">
              <from>
                <xdr:col>0</xdr:col>
                <xdr:colOff>485775</xdr:colOff>
                <xdr:row>8</xdr:row>
                <xdr:rowOff>38100</xdr:rowOff>
              </from>
              <to>
                <xdr:col>1</xdr:col>
                <xdr:colOff>542925</xdr:colOff>
                <xdr:row>9</xdr:row>
                <xdr:rowOff>114300</xdr:rowOff>
              </to>
            </anchor>
          </controlPr>
        </control>
      </mc:Choice>
      <mc:Fallback>
        <control shapeId="9221" r:id="rId5" name="Up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每日审计</vt:lpstr>
      <vt:lpstr>月度分析</vt:lpstr>
      <vt:lpstr>API2</vt:lpstr>
      <vt:lpstr>API1</vt:lpstr>
      <vt:lpstr>DATA</vt:lpstr>
      <vt:lpstr>控制台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*^_^*</cp:lastModifiedBy>
  <dcterms:created xsi:type="dcterms:W3CDTF">2020-02-22T11:01:00Z</dcterms:created>
  <dcterms:modified xsi:type="dcterms:W3CDTF">2021-02-10T10:49:18Z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